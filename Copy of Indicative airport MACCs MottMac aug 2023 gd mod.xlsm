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7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8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9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10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11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ottmac-my.sharepoint.com/personal/guy_doyle_mottmac_com/Documents/Desktop/active projects/"/>
    </mc:Choice>
  </mc:AlternateContent>
  <xr:revisionPtr revIDLastSave="11" documentId="8_{658552D4-0FAA-42F1-9B5E-5531FB967126}" xr6:coauthVersionLast="47" xr6:coauthVersionMax="47" xr10:uidLastSave="{035A6425-EE61-4ECE-9893-AB5D21042D09}"/>
  <bookViews>
    <workbookView xWindow="-110" yWindow="-110" windowWidth="19420" windowHeight="10420" tabRatio="870" firstSheet="4" activeTab="12" xr2:uid="{E745C3CB-BE53-4B0F-8648-8294E3049F1C}"/>
  </bookViews>
  <sheets>
    <sheet name="Control panel" sheetId="36" r:id="rId1"/>
    <sheet name="vehicle E calcs" sheetId="23" r:id="rId2"/>
    <sheet name="optimisation model" sheetId="1" state="hidden" r:id="rId3"/>
    <sheet name="simple cost calcs old" sheetId="21" state="hidden" r:id="rId4"/>
    <sheet name="time-factors" sheetId="34" r:id="rId5"/>
    <sheet name="base 2019" sheetId="25" r:id="rId6"/>
    <sheet name="2025" sheetId="26" r:id="rId7"/>
    <sheet name="2030" sheetId="27" r:id="rId8"/>
    <sheet name="2035" sheetId="28" r:id="rId9"/>
    <sheet name="2040" sheetId="29" r:id="rId10"/>
    <sheet name="Summary" sheetId="32" r:id="rId11"/>
    <sheet name="Summary_updatedformatting" sheetId="40" r:id="rId12"/>
    <sheet name="csv_output_2019" sheetId="37" r:id="rId13"/>
    <sheet name="csv_output_2040" sheetId="39" r:id="rId14"/>
  </sheets>
  <externalReferences>
    <externalReference r:id="rId15"/>
  </externalReferences>
  <definedNames>
    <definedName name="_xlnm._FilterDatabase" localSheetId="6" hidden="1">'2025'!$A$3:$AF$28</definedName>
    <definedName name="_xlnm._FilterDatabase" localSheetId="7" hidden="1">'2030'!$A$93:$AB$118</definedName>
    <definedName name="_xlnm._FilterDatabase" localSheetId="8" hidden="1">'2035'!$A$3:$AF$28</definedName>
    <definedName name="_xlnm._FilterDatabase" localSheetId="9" hidden="1">'2040'!$A$138:$AB$163</definedName>
    <definedName name="_xlnm._FilterDatabase" localSheetId="5" hidden="1">'base 2019'!$A$48:$AF$73</definedName>
    <definedName name="_xlnm._FilterDatabase" localSheetId="3" hidden="1">'simple cost calcs old'!$A$3:$AF$3</definedName>
    <definedName name="General2019">'base 2019'!$A$139:$AF$163</definedName>
    <definedName name="General2025">'2025'!$A$139:$AF$163</definedName>
    <definedName name="General2030">'2030'!$A$139:$AF$163</definedName>
    <definedName name="General2035">'2035'!$A$139:$AF$163</definedName>
    <definedName name="General2040">'2040'!$A$139:$AF$163</definedName>
    <definedName name="Large2019">'base 2019'!$A$4:$AF$28</definedName>
    <definedName name="Large2025">'2025'!$A$4:$AF$28</definedName>
    <definedName name="Large2030">'2030'!$A$4:$AF$28</definedName>
    <definedName name="Large2035">'2035'!$A$4:$AF$28</definedName>
    <definedName name="Large2040">'2040'!$A$4:$AF$28</definedName>
    <definedName name="Medium2019">'base 2019'!$A$49:$AF$73</definedName>
    <definedName name="Medium2025">'2025'!$A$49:$AF$73</definedName>
    <definedName name="Medium2030">'2030'!$A$49:$AF$73</definedName>
    <definedName name="Medium2035">'2035'!$A$49:$AF$73</definedName>
    <definedName name="Medium2040">'2040'!$A$49:$AF$73</definedName>
    <definedName name="Small2019">'base 2019'!$A$94:$AF$118</definedName>
    <definedName name="Small2025">'2025'!$A$94:$AF$118</definedName>
    <definedName name="Small2030">'2030'!$A$94:$AF$118</definedName>
    <definedName name="Small2035">'2035'!$A$94:$AF$118</definedName>
    <definedName name="Small2040">'2040'!$A$94:$AF$118</definedName>
    <definedName name="WBGOINDSLA">1</definedName>
    <definedName name="WBMIN">'optimisation model'!$J$7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37" l="1"/>
  <c r="C29" i="39"/>
  <c r="C27" i="39"/>
  <c r="C3" i="39"/>
  <c r="C4" i="39"/>
  <c r="C5" i="39"/>
  <c r="C6" i="39"/>
  <c r="C7" i="39"/>
  <c r="C8" i="39"/>
  <c r="C9" i="39"/>
  <c r="C10" i="39"/>
  <c r="C11" i="39"/>
  <c r="C12" i="39"/>
  <c r="C13" i="39"/>
  <c r="C14" i="39"/>
  <c r="C15" i="39"/>
  <c r="C16" i="39"/>
  <c r="C17" i="39"/>
  <c r="C18" i="39"/>
  <c r="C19" i="39"/>
  <c r="C20" i="39"/>
  <c r="C21" i="39"/>
  <c r="C22" i="39"/>
  <c r="C23" i="39"/>
  <c r="C24" i="39"/>
  <c r="C25" i="39"/>
  <c r="C26" i="39"/>
  <c r="C2" i="39"/>
  <c r="C27" i="37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" i="37"/>
  <c r="H31" i="25"/>
  <c r="I31" i="25"/>
  <c r="J31" i="25"/>
  <c r="K31" i="25"/>
  <c r="L31" i="25"/>
  <c r="M31" i="25"/>
  <c r="N31" i="25"/>
  <c r="O31" i="25"/>
  <c r="P31" i="25"/>
  <c r="Q31" i="25"/>
  <c r="R31" i="25"/>
  <c r="S31" i="25"/>
  <c r="T31" i="25"/>
  <c r="U31" i="25"/>
  <c r="V31" i="25"/>
  <c r="W31" i="25"/>
  <c r="X31" i="25"/>
  <c r="Y31" i="25"/>
  <c r="Z31" i="25"/>
  <c r="AA31" i="25"/>
  <c r="AB31" i="25"/>
  <c r="AC31" i="25"/>
  <c r="AD31" i="25"/>
  <c r="AE31" i="25"/>
  <c r="AF31" i="25"/>
  <c r="AG31" i="25"/>
  <c r="AH31" i="25"/>
  <c r="AI31" i="25"/>
  <c r="AJ31" i="25"/>
  <c r="AK31" i="25"/>
  <c r="H32" i="25"/>
  <c r="I32" i="25"/>
  <c r="J32" i="25"/>
  <c r="K32" i="25"/>
  <c r="L32" i="25"/>
  <c r="M32" i="25"/>
  <c r="N32" i="25"/>
  <c r="O32" i="25"/>
  <c r="P32" i="25"/>
  <c r="Q32" i="25"/>
  <c r="R32" i="25"/>
  <c r="S32" i="25"/>
  <c r="T32" i="25"/>
  <c r="U32" i="25"/>
  <c r="V32" i="25"/>
  <c r="W32" i="25"/>
  <c r="X32" i="25"/>
  <c r="Y32" i="25"/>
  <c r="Z32" i="25"/>
  <c r="AA32" i="25"/>
  <c r="AB32" i="25"/>
  <c r="AC32" i="25"/>
  <c r="AD32" i="25"/>
  <c r="AE32" i="25"/>
  <c r="AF32" i="25"/>
  <c r="AG32" i="25"/>
  <c r="AH32" i="25"/>
  <c r="AI32" i="25"/>
  <c r="AJ32" i="25"/>
  <c r="AK32" i="25"/>
  <c r="G32" i="25"/>
  <c r="G31" i="25"/>
  <c r="Z51" i="40" l="1"/>
  <c r="Y51" i="40"/>
  <c r="X51" i="40"/>
  <c r="W51" i="40"/>
  <c r="V51" i="40"/>
  <c r="U51" i="40"/>
  <c r="T51" i="40"/>
  <c r="S51" i="40"/>
  <c r="R51" i="40"/>
  <c r="Q51" i="40"/>
  <c r="P51" i="40"/>
  <c r="O51" i="40"/>
  <c r="N51" i="40"/>
  <c r="M51" i="40"/>
  <c r="L51" i="40"/>
  <c r="K51" i="40"/>
  <c r="J51" i="40"/>
  <c r="I51" i="40"/>
  <c r="H51" i="40"/>
  <c r="G51" i="40"/>
  <c r="F51" i="40"/>
  <c r="E51" i="40"/>
  <c r="D51" i="40"/>
  <c r="C51" i="40"/>
  <c r="Z49" i="40"/>
  <c r="Y49" i="40"/>
  <c r="X49" i="40"/>
  <c r="W49" i="40"/>
  <c r="V49" i="40"/>
  <c r="U49" i="40"/>
  <c r="T49" i="40"/>
  <c r="S49" i="40"/>
  <c r="R49" i="40"/>
  <c r="Q49" i="40"/>
  <c r="P49" i="40"/>
  <c r="O49" i="40"/>
  <c r="N49" i="40"/>
  <c r="M49" i="40"/>
  <c r="L49" i="40"/>
  <c r="K49" i="40"/>
  <c r="J49" i="40"/>
  <c r="I49" i="40"/>
  <c r="H49" i="40"/>
  <c r="G49" i="40"/>
  <c r="F49" i="40"/>
  <c r="E49" i="40"/>
  <c r="D49" i="40"/>
  <c r="C49" i="40"/>
  <c r="Z47" i="40"/>
  <c r="Y47" i="40"/>
  <c r="X47" i="40"/>
  <c r="W47" i="40"/>
  <c r="V47" i="40"/>
  <c r="U47" i="40"/>
  <c r="T47" i="40"/>
  <c r="S47" i="40"/>
  <c r="R47" i="40"/>
  <c r="Q47" i="40"/>
  <c r="P47" i="40"/>
  <c r="O47" i="40"/>
  <c r="N47" i="40"/>
  <c r="M47" i="40"/>
  <c r="L47" i="40"/>
  <c r="K47" i="40"/>
  <c r="J47" i="40"/>
  <c r="I47" i="40"/>
  <c r="H47" i="40"/>
  <c r="G47" i="40"/>
  <c r="F47" i="40"/>
  <c r="E47" i="40"/>
  <c r="D47" i="40"/>
  <c r="C47" i="40"/>
  <c r="Z45" i="40"/>
  <c r="Y45" i="40"/>
  <c r="X45" i="40"/>
  <c r="W45" i="40"/>
  <c r="V45" i="40"/>
  <c r="U45" i="40"/>
  <c r="T45" i="40"/>
  <c r="S45" i="40"/>
  <c r="R45" i="40"/>
  <c r="Q45" i="40"/>
  <c r="P45" i="40"/>
  <c r="O45" i="40"/>
  <c r="N45" i="40"/>
  <c r="M45" i="40"/>
  <c r="L45" i="40"/>
  <c r="K45" i="40"/>
  <c r="J45" i="40"/>
  <c r="I45" i="40"/>
  <c r="H45" i="40"/>
  <c r="G45" i="40"/>
  <c r="F45" i="40"/>
  <c r="E45" i="40"/>
  <c r="D45" i="40"/>
  <c r="C45" i="40"/>
  <c r="Z43" i="40"/>
  <c r="Y43" i="40"/>
  <c r="X43" i="40"/>
  <c r="W43" i="40"/>
  <c r="V43" i="40"/>
  <c r="U43" i="40"/>
  <c r="T43" i="40"/>
  <c r="S43" i="40"/>
  <c r="R43" i="40"/>
  <c r="Q43" i="40"/>
  <c r="P43" i="40"/>
  <c r="O43" i="40"/>
  <c r="N43" i="40"/>
  <c r="M43" i="40"/>
  <c r="L43" i="40"/>
  <c r="K43" i="40"/>
  <c r="J43" i="40"/>
  <c r="I43" i="40"/>
  <c r="H43" i="40"/>
  <c r="G43" i="40"/>
  <c r="F43" i="40"/>
  <c r="E43" i="40"/>
  <c r="D43" i="40"/>
  <c r="C43" i="40"/>
  <c r="Z41" i="40"/>
  <c r="Y41" i="40"/>
  <c r="X41" i="40"/>
  <c r="W41" i="40"/>
  <c r="V41" i="40"/>
  <c r="U41" i="40"/>
  <c r="T41" i="40"/>
  <c r="S41" i="40"/>
  <c r="R41" i="40"/>
  <c r="Q41" i="40"/>
  <c r="P41" i="40"/>
  <c r="O41" i="40"/>
  <c r="N41" i="40"/>
  <c r="M41" i="40"/>
  <c r="L41" i="40"/>
  <c r="K41" i="40"/>
  <c r="J41" i="40"/>
  <c r="I41" i="40"/>
  <c r="H41" i="40"/>
  <c r="G41" i="40"/>
  <c r="F41" i="40"/>
  <c r="E41" i="40"/>
  <c r="D41" i="40"/>
  <c r="C41" i="40"/>
  <c r="Z39" i="40"/>
  <c r="Y39" i="40"/>
  <c r="X39" i="40"/>
  <c r="W39" i="40"/>
  <c r="V39" i="40"/>
  <c r="U39" i="40"/>
  <c r="T39" i="40"/>
  <c r="S39" i="40"/>
  <c r="R39" i="40"/>
  <c r="Q39" i="40"/>
  <c r="P39" i="40"/>
  <c r="O39" i="40"/>
  <c r="N39" i="40"/>
  <c r="M39" i="40"/>
  <c r="L39" i="40"/>
  <c r="K39" i="40"/>
  <c r="J39" i="40"/>
  <c r="I39" i="40"/>
  <c r="H39" i="40"/>
  <c r="G39" i="40"/>
  <c r="F39" i="40"/>
  <c r="E39" i="40"/>
  <c r="D39" i="40"/>
  <c r="C39" i="40"/>
  <c r="Z37" i="40"/>
  <c r="Y37" i="40"/>
  <c r="X37" i="40"/>
  <c r="W37" i="40"/>
  <c r="V37" i="40"/>
  <c r="U37" i="40"/>
  <c r="T37" i="40"/>
  <c r="S37" i="40"/>
  <c r="R37" i="40"/>
  <c r="Q37" i="40"/>
  <c r="P37" i="40"/>
  <c r="O37" i="40"/>
  <c r="N37" i="40"/>
  <c r="M37" i="40"/>
  <c r="L37" i="40"/>
  <c r="K37" i="40"/>
  <c r="J37" i="40"/>
  <c r="I37" i="40"/>
  <c r="H37" i="40"/>
  <c r="G37" i="40"/>
  <c r="F37" i="40"/>
  <c r="E37" i="40"/>
  <c r="D37" i="40"/>
  <c r="C37" i="40"/>
  <c r="Z35" i="40"/>
  <c r="Y35" i="40"/>
  <c r="X35" i="40"/>
  <c r="W35" i="40"/>
  <c r="V35" i="40"/>
  <c r="U35" i="40"/>
  <c r="T35" i="40"/>
  <c r="S35" i="40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Z33" i="40"/>
  <c r="Y33" i="40"/>
  <c r="X33" i="40"/>
  <c r="W33" i="40"/>
  <c r="V33" i="40"/>
  <c r="U33" i="40"/>
  <c r="T33" i="40"/>
  <c r="S33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Z31" i="40"/>
  <c r="Y31" i="40"/>
  <c r="X31" i="40"/>
  <c r="W31" i="40"/>
  <c r="V31" i="40"/>
  <c r="U31" i="40"/>
  <c r="T31" i="40"/>
  <c r="S31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Z29" i="40"/>
  <c r="Y29" i="40"/>
  <c r="X29" i="40"/>
  <c r="W29" i="40"/>
  <c r="V29" i="40"/>
  <c r="U29" i="40"/>
  <c r="T29" i="40"/>
  <c r="S29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Z27" i="40"/>
  <c r="Y27" i="40"/>
  <c r="X27" i="40"/>
  <c r="W27" i="40"/>
  <c r="V27" i="40"/>
  <c r="U27" i="40"/>
  <c r="T27" i="40"/>
  <c r="S27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Z25" i="40"/>
  <c r="Y25" i="40"/>
  <c r="X25" i="40"/>
  <c r="W25" i="40"/>
  <c r="V25" i="40"/>
  <c r="U25" i="40"/>
  <c r="T25" i="40"/>
  <c r="S25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Z23" i="40"/>
  <c r="Y23" i="40"/>
  <c r="X23" i="40"/>
  <c r="W23" i="40"/>
  <c r="V23" i="40"/>
  <c r="U23" i="40"/>
  <c r="T23" i="40"/>
  <c r="S23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Z21" i="40"/>
  <c r="Y21" i="40"/>
  <c r="X21" i="40"/>
  <c r="W21" i="40"/>
  <c r="V21" i="40"/>
  <c r="U21" i="40"/>
  <c r="T21" i="40"/>
  <c r="S21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Z19" i="40"/>
  <c r="Y19" i="40"/>
  <c r="X19" i="40"/>
  <c r="W19" i="40"/>
  <c r="V19" i="40"/>
  <c r="U19" i="40"/>
  <c r="T19" i="40"/>
  <c r="S19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Z17" i="40"/>
  <c r="Y17" i="40"/>
  <c r="X17" i="40"/>
  <c r="W17" i="40"/>
  <c r="V17" i="40"/>
  <c r="U17" i="40"/>
  <c r="T17" i="40"/>
  <c r="S17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Z15" i="40"/>
  <c r="Y15" i="40"/>
  <c r="X15" i="40"/>
  <c r="W15" i="40"/>
  <c r="V15" i="40"/>
  <c r="U15" i="40"/>
  <c r="T15" i="40"/>
  <c r="S15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C15" i="40"/>
  <c r="Z13" i="40"/>
  <c r="Y13" i="40"/>
  <c r="X13" i="40"/>
  <c r="W13" i="40"/>
  <c r="V13" i="40"/>
  <c r="U13" i="40"/>
  <c r="T13" i="40"/>
  <c r="S13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C13" i="40"/>
  <c r="Z11" i="40"/>
  <c r="Y11" i="40"/>
  <c r="X11" i="40"/>
  <c r="W11" i="40"/>
  <c r="V11" i="40"/>
  <c r="U11" i="40"/>
  <c r="T11" i="40"/>
  <c r="S11" i="40"/>
  <c r="R11" i="40"/>
  <c r="Q11" i="40"/>
  <c r="P11" i="40"/>
  <c r="O11" i="40"/>
  <c r="N11" i="40"/>
  <c r="M11" i="40"/>
  <c r="L11" i="40"/>
  <c r="K11" i="40"/>
  <c r="J11" i="40"/>
  <c r="I11" i="40"/>
  <c r="H11" i="40"/>
  <c r="G11" i="40"/>
  <c r="F11" i="40"/>
  <c r="E11" i="40"/>
  <c r="D11" i="40"/>
  <c r="C11" i="40"/>
  <c r="Z9" i="40"/>
  <c r="Y9" i="40"/>
  <c r="X9" i="40"/>
  <c r="W9" i="40"/>
  <c r="V9" i="40"/>
  <c r="U9" i="40"/>
  <c r="T9" i="40"/>
  <c r="S9" i="40"/>
  <c r="R9" i="40"/>
  <c r="Q9" i="40"/>
  <c r="P9" i="40"/>
  <c r="O9" i="40"/>
  <c r="N9" i="40"/>
  <c r="M9" i="40"/>
  <c r="L9" i="40"/>
  <c r="K9" i="40"/>
  <c r="J9" i="40"/>
  <c r="I9" i="40"/>
  <c r="H9" i="40"/>
  <c r="G9" i="40"/>
  <c r="F9" i="40"/>
  <c r="E9" i="40"/>
  <c r="D9" i="40"/>
  <c r="C9" i="40"/>
  <c r="Z7" i="40"/>
  <c r="Y7" i="40"/>
  <c r="X7" i="40"/>
  <c r="W7" i="40"/>
  <c r="V7" i="40"/>
  <c r="U7" i="40"/>
  <c r="T7" i="40"/>
  <c r="S7" i="40"/>
  <c r="R7" i="40"/>
  <c r="Q7" i="40"/>
  <c r="P7" i="40"/>
  <c r="O7" i="40"/>
  <c r="N7" i="40"/>
  <c r="M7" i="40"/>
  <c r="L7" i="40"/>
  <c r="K7" i="40"/>
  <c r="J7" i="40"/>
  <c r="I7" i="40"/>
  <c r="H7" i="40"/>
  <c r="G7" i="40"/>
  <c r="F7" i="40"/>
  <c r="E7" i="40"/>
  <c r="D7" i="40"/>
  <c r="C7" i="40"/>
  <c r="Y5" i="40"/>
  <c r="W5" i="40"/>
  <c r="U5" i="40"/>
  <c r="S5" i="40"/>
  <c r="Q5" i="40"/>
  <c r="O5" i="40"/>
  <c r="M5" i="40"/>
  <c r="K5" i="40"/>
  <c r="I5" i="40"/>
  <c r="G5" i="40"/>
  <c r="E5" i="40"/>
  <c r="C5" i="40"/>
  <c r="Z5" i="40"/>
  <c r="X5" i="40"/>
  <c r="V5" i="40"/>
  <c r="T5" i="40"/>
  <c r="R5" i="40"/>
  <c r="P5" i="40"/>
  <c r="N5" i="40"/>
  <c r="L5" i="40"/>
  <c r="J5" i="40"/>
  <c r="H5" i="40"/>
  <c r="F5" i="40"/>
  <c r="D5" i="40"/>
  <c r="D26" i="39"/>
  <c r="B26" i="39"/>
  <c r="A26" i="39"/>
  <c r="D25" i="39"/>
  <c r="B25" i="39"/>
  <c r="A25" i="39"/>
  <c r="D24" i="39"/>
  <c r="B24" i="39"/>
  <c r="A24" i="39"/>
  <c r="D23" i="39"/>
  <c r="B23" i="39"/>
  <c r="A23" i="39"/>
  <c r="D22" i="39"/>
  <c r="B22" i="39"/>
  <c r="A22" i="39"/>
  <c r="D21" i="39"/>
  <c r="B21" i="39"/>
  <c r="A21" i="39"/>
  <c r="D20" i="39"/>
  <c r="B20" i="39"/>
  <c r="A20" i="39"/>
  <c r="D19" i="39"/>
  <c r="B19" i="39"/>
  <c r="A19" i="39"/>
  <c r="D18" i="39"/>
  <c r="B18" i="39"/>
  <c r="A18" i="39"/>
  <c r="D17" i="39"/>
  <c r="B17" i="39"/>
  <c r="A17" i="39"/>
  <c r="D16" i="39"/>
  <c r="B16" i="39"/>
  <c r="A16" i="39"/>
  <c r="D15" i="39"/>
  <c r="B15" i="39"/>
  <c r="A15" i="39"/>
  <c r="D14" i="39"/>
  <c r="B14" i="39"/>
  <c r="A14" i="39"/>
  <c r="D13" i="39"/>
  <c r="B13" i="39"/>
  <c r="A13" i="39"/>
  <c r="D12" i="39"/>
  <c r="B12" i="39"/>
  <c r="A12" i="39"/>
  <c r="D11" i="39"/>
  <c r="B11" i="39"/>
  <c r="A11" i="39"/>
  <c r="D10" i="39"/>
  <c r="B10" i="39"/>
  <c r="A10" i="39"/>
  <c r="D9" i="39"/>
  <c r="B9" i="39"/>
  <c r="A9" i="39"/>
  <c r="D8" i="39"/>
  <c r="B8" i="39"/>
  <c r="A8" i="39"/>
  <c r="D7" i="39"/>
  <c r="B7" i="39"/>
  <c r="A7" i="39"/>
  <c r="D6" i="39"/>
  <c r="B6" i="39"/>
  <c r="A6" i="39"/>
  <c r="D5" i="39"/>
  <c r="B5" i="39"/>
  <c r="A5" i="39"/>
  <c r="D4" i="39"/>
  <c r="B4" i="39"/>
  <c r="A4" i="39"/>
  <c r="D3" i="39"/>
  <c r="B3" i="39"/>
  <c r="A3" i="39"/>
  <c r="D2" i="39"/>
  <c r="B2" i="39"/>
  <c r="A2" i="39"/>
  <c r="A26" i="37"/>
  <c r="A25" i="37"/>
  <c r="A24" i="37"/>
  <c r="A23" i="37"/>
  <c r="A22" i="37"/>
  <c r="A21" i="37"/>
  <c r="A20" i="37"/>
  <c r="A19" i="37"/>
  <c r="A18" i="37"/>
  <c r="A17" i="37"/>
  <c r="A16" i="37"/>
  <c r="A15" i="37"/>
  <c r="A14" i="37"/>
  <c r="A13" i="37"/>
  <c r="A12" i="37"/>
  <c r="A11" i="37"/>
  <c r="A10" i="37"/>
  <c r="A9" i="37"/>
  <c r="A7" i="37"/>
  <c r="B26" i="37"/>
  <c r="B25" i="37"/>
  <c r="B24" i="37"/>
  <c r="B23" i="37"/>
  <c r="B22" i="37"/>
  <c r="B21" i="37"/>
  <c r="B20" i="37"/>
  <c r="B19" i="37"/>
  <c r="B18" i="37"/>
  <c r="B17" i="37"/>
  <c r="B16" i="37"/>
  <c r="B15" i="37"/>
  <c r="B14" i="37"/>
  <c r="B13" i="37"/>
  <c r="B12" i="37"/>
  <c r="B11" i="37"/>
  <c r="B10" i="37"/>
  <c r="B9" i="37"/>
  <c r="B8" i="37"/>
  <c r="B7" i="37"/>
  <c r="B6" i="37"/>
  <c r="B5" i="37"/>
  <c r="B4" i="37"/>
  <c r="B3" i="37"/>
  <c r="B2" i="37"/>
  <c r="A8" i="37"/>
  <c r="A6" i="37"/>
  <c r="A5" i="37"/>
  <c r="A4" i="37"/>
  <c r="A3" i="37"/>
  <c r="A2" i="37"/>
  <c r="D26" i="37" l="1"/>
  <c r="D25" i="37"/>
  <c r="D24" i="37"/>
  <c r="D23" i="37"/>
  <c r="D22" i="37"/>
  <c r="D21" i="37"/>
  <c r="D20" i="37"/>
  <c r="D19" i="37"/>
  <c r="D18" i="37"/>
  <c r="D17" i="37"/>
  <c r="D16" i="37"/>
  <c r="D15" i="37"/>
  <c r="D14" i="37"/>
  <c r="D13" i="37"/>
  <c r="D12" i="37"/>
  <c r="D11" i="37"/>
  <c r="D10" i="37"/>
  <c r="D9" i="37"/>
  <c r="D8" i="37"/>
  <c r="D7" i="37"/>
  <c r="D6" i="37"/>
  <c r="D5" i="37"/>
  <c r="D4" i="37"/>
  <c r="D3" i="37"/>
  <c r="D2" i="37"/>
  <c r="K145" i="29"/>
  <c r="J145" i="29"/>
  <c r="K142" i="29"/>
  <c r="J142" i="29"/>
  <c r="K143" i="29"/>
  <c r="J143" i="29"/>
  <c r="K141" i="29"/>
  <c r="J141" i="29"/>
  <c r="K140" i="29"/>
  <c r="J140" i="29"/>
  <c r="K139" i="29"/>
  <c r="J139" i="29"/>
  <c r="K144" i="29"/>
  <c r="J144" i="29"/>
  <c r="K159" i="29"/>
  <c r="J159" i="29"/>
  <c r="K158" i="29"/>
  <c r="J158" i="29"/>
  <c r="K147" i="29"/>
  <c r="J147" i="29"/>
  <c r="K155" i="29"/>
  <c r="J155" i="29"/>
  <c r="K163" i="29"/>
  <c r="J163" i="29"/>
  <c r="K148" i="29"/>
  <c r="J148" i="29"/>
  <c r="K146" i="29"/>
  <c r="J146" i="29"/>
  <c r="K149" i="29"/>
  <c r="J149" i="29"/>
  <c r="K162" i="29"/>
  <c r="J162" i="29"/>
  <c r="K154" i="29"/>
  <c r="J154" i="29"/>
  <c r="K161" i="29"/>
  <c r="J161" i="29"/>
  <c r="K153" i="29"/>
  <c r="J153" i="29"/>
  <c r="K150" i="29"/>
  <c r="J150" i="29"/>
  <c r="K160" i="29"/>
  <c r="J160" i="29"/>
  <c r="K152" i="29"/>
  <c r="J152" i="29"/>
  <c r="K156" i="29"/>
  <c r="J156" i="29"/>
  <c r="K157" i="29"/>
  <c r="J157" i="29"/>
  <c r="K151" i="29"/>
  <c r="J151" i="29"/>
  <c r="K100" i="29"/>
  <c r="J100" i="29"/>
  <c r="K97" i="29"/>
  <c r="J97" i="29"/>
  <c r="K98" i="29"/>
  <c r="J98" i="29"/>
  <c r="K96" i="29"/>
  <c r="J96" i="29"/>
  <c r="K95" i="29"/>
  <c r="J95" i="29"/>
  <c r="K94" i="29"/>
  <c r="J94" i="29"/>
  <c r="K99" i="29"/>
  <c r="J99" i="29"/>
  <c r="K114" i="29"/>
  <c r="J114" i="29"/>
  <c r="K113" i="29"/>
  <c r="J113" i="29"/>
  <c r="K102" i="29"/>
  <c r="J102" i="29"/>
  <c r="K110" i="29"/>
  <c r="J110" i="29"/>
  <c r="K118" i="29"/>
  <c r="J118" i="29"/>
  <c r="K103" i="29"/>
  <c r="J103" i="29"/>
  <c r="K101" i="29"/>
  <c r="J101" i="29"/>
  <c r="K104" i="29"/>
  <c r="J104" i="29"/>
  <c r="K117" i="29"/>
  <c r="J117" i="29"/>
  <c r="K109" i="29"/>
  <c r="J109" i="29"/>
  <c r="K116" i="29"/>
  <c r="J116" i="29"/>
  <c r="K108" i="29"/>
  <c r="J108" i="29"/>
  <c r="K105" i="29"/>
  <c r="J105" i="29"/>
  <c r="K115" i="29"/>
  <c r="J115" i="29"/>
  <c r="K107" i="29"/>
  <c r="J107" i="29"/>
  <c r="K111" i="29"/>
  <c r="J111" i="29"/>
  <c r="K112" i="29"/>
  <c r="J112" i="29"/>
  <c r="K106" i="29"/>
  <c r="J106" i="29"/>
  <c r="K55" i="29"/>
  <c r="J55" i="29"/>
  <c r="K52" i="29"/>
  <c r="J52" i="29"/>
  <c r="K53" i="29"/>
  <c r="J53" i="29"/>
  <c r="K51" i="29"/>
  <c r="J51" i="29"/>
  <c r="K50" i="29"/>
  <c r="J50" i="29"/>
  <c r="K49" i="29"/>
  <c r="J49" i="29"/>
  <c r="K54" i="29"/>
  <c r="J54" i="29"/>
  <c r="K69" i="29"/>
  <c r="J69" i="29"/>
  <c r="K68" i="29"/>
  <c r="J68" i="29"/>
  <c r="K57" i="29"/>
  <c r="J57" i="29"/>
  <c r="K65" i="29"/>
  <c r="J65" i="29"/>
  <c r="K73" i="29"/>
  <c r="J73" i="29"/>
  <c r="K58" i="29"/>
  <c r="J58" i="29"/>
  <c r="K56" i="29"/>
  <c r="J56" i="29"/>
  <c r="K59" i="29"/>
  <c r="J59" i="29"/>
  <c r="K72" i="29"/>
  <c r="J72" i="29"/>
  <c r="K64" i="29"/>
  <c r="J64" i="29"/>
  <c r="K71" i="29"/>
  <c r="J71" i="29"/>
  <c r="K63" i="29"/>
  <c r="J63" i="29"/>
  <c r="K60" i="29"/>
  <c r="J60" i="29"/>
  <c r="K70" i="29"/>
  <c r="J70" i="29"/>
  <c r="K62" i="29"/>
  <c r="J62" i="29"/>
  <c r="K66" i="29"/>
  <c r="J66" i="29"/>
  <c r="K67" i="29"/>
  <c r="J67" i="29"/>
  <c r="K61" i="29"/>
  <c r="J61" i="29"/>
  <c r="K10" i="29"/>
  <c r="J10" i="29"/>
  <c r="J5" i="29"/>
  <c r="K5" i="29"/>
  <c r="J6" i="29"/>
  <c r="K6" i="29"/>
  <c r="J8" i="29"/>
  <c r="K8" i="29"/>
  <c r="J7" i="29"/>
  <c r="K7" i="29"/>
  <c r="K4" i="29"/>
  <c r="J4" i="29"/>
  <c r="K9" i="29"/>
  <c r="J9" i="29"/>
  <c r="J23" i="29"/>
  <c r="K23" i="29"/>
  <c r="K22" i="29"/>
  <c r="J22" i="29"/>
  <c r="J24" i="29"/>
  <c r="K24" i="29"/>
  <c r="J21" i="29"/>
  <c r="K21" i="29"/>
  <c r="J17" i="29"/>
  <c r="K17" i="29"/>
  <c r="J25" i="29"/>
  <c r="K25" i="29"/>
  <c r="J15" i="29"/>
  <c r="K15" i="29"/>
  <c r="J18" i="29"/>
  <c r="K18" i="29"/>
  <c r="J26" i="29"/>
  <c r="K26" i="29"/>
  <c r="J19" i="29"/>
  <c r="K19" i="29"/>
  <c r="J27" i="29"/>
  <c r="K27" i="29"/>
  <c r="J14" i="29"/>
  <c r="K14" i="29"/>
  <c r="J11" i="29"/>
  <c r="K11" i="29"/>
  <c r="J13" i="29"/>
  <c r="K13" i="29"/>
  <c r="J28" i="29"/>
  <c r="K28" i="29"/>
  <c r="J20" i="29"/>
  <c r="K20" i="29"/>
  <c r="J12" i="29"/>
  <c r="K12" i="29"/>
  <c r="K16" i="29"/>
  <c r="J16" i="29"/>
  <c r="K10" i="28"/>
  <c r="J10" i="28"/>
  <c r="K7" i="28"/>
  <c r="J7" i="28"/>
  <c r="K8" i="28"/>
  <c r="J8" i="28"/>
  <c r="K6" i="28"/>
  <c r="J6" i="28"/>
  <c r="K5" i="28"/>
  <c r="J5" i="28"/>
  <c r="K4" i="28"/>
  <c r="J4" i="28"/>
  <c r="K9" i="28"/>
  <c r="J9" i="28"/>
  <c r="K23" i="28"/>
  <c r="J23" i="28"/>
  <c r="K22" i="28"/>
  <c r="J22" i="28"/>
  <c r="K12" i="28"/>
  <c r="J12" i="28"/>
  <c r="K20" i="28"/>
  <c r="J20" i="28"/>
  <c r="K28" i="28"/>
  <c r="J28" i="28"/>
  <c r="K13" i="28"/>
  <c r="J13" i="28"/>
  <c r="K11" i="28"/>
  <c r="J11" i="28"/>
  <c r="K14" i="28"/>
  <c r="J14" i="28"/>
  <c r="K27" i="28"/>
  <c r="J27" i="28"/>
  <c r="K19" i="28"/>
  <c r="J19" i="28"/>
  <c r="K26" i="28"/>
  <c r="J26" i="28"/>
  <c r="K18" i="28"/>
  <c r="J18" i="28"/>
  <c r="K15" i="28"/>
  <c r="J15" i="28"/>
  <c r="K25" i="28"/>
  <c r="J25" i="28"/>
  <c r="K17" i="28"/>
  <c r="J17" i="28"/>
  <c r="K21" i="28"/>
  <c r="J21" i="28"/>
  <c r="K24" i="28"/>
  <c r="J24" i="28"/>
  <c r="K16" i="28"/>
  <c r="J16" i="28"/>
  <c r="K55" i="28"/>
  <c r="J55" i="28"/>
  <c r="K52" i="28"/>
  <c r="J52" i="28"/>
  <c r="K53" i="28"/>
  <c r="J53" i="28"/>
  <c r="K51" i="28"/>
  <c r="J51" i="28"/>
  <c r="K50" i="28"/>
  <c r="J50" i="28"/>
  <c r="K49" i="28"/>
  <c r="J49" i="28"/>
  <c r="K54" i="28"/>
  <c r="J54" i="28"/>
  <c r="K68" i="28"/>
  <c r="J68" i="28"/>
  <c r="K67" i="28"/>
  <c r="J67" i="28"/>
  <c r="K57" i="28"/>
  <c r="J57" i="28"/>
  <c r="K65" i="28"/>
  <c r="J65" i="28"/>
  <c r="K73" i="28"/>
  <c r="J73" i="28"/>
  <c r="K58" i="28"/>
  <c r="J58" i="28"/>
  <c r="K56" i="28"/>
  <c r="J56" i="28"/>
  <c r="K59" i="28"/>
  <c r="J59" i="28"/>
  <c r="K72" i="28"/>
  <c r="J72" i="28"/>
  <c r="K64" i="28"/>
  <c r="J64" i="28"/>
  <c r="K71" i="28"/>
  <c r="J71" i="28"/>
  <c r="K63" i="28"/>
  <c r="J63" i="28"/>
  <c r="K60" i="28"/>
  <c r="J60" i="28"/>
  <c r="K70" i="28"/>
  <c r="J70" i="28"/>
  <c r="K62" i="28"/>
  <c r="J62" i="28"/>
  <c r="K66" i="28"/>
  <c r="J66" i="28"/>
  <c r="K69" i="28"/>
  <c r="J69" i="28"/>
  <c r="K61" i="28"/>
  <c r="J61" i="28"/>
  <c r="K100" i="28"/>
  <c r="J100" i="28"/>
  <c r="K97" i="28"/>
  <c r="J97" i="28"/>
  <c r="K98" i="28"/>
  <c r="J98" i="28"/>
  <c r="K96" i="28"/>
  <c r="J96" i="28"/>
  <c r="K95" i="28"/>
  <c r="J95" i="28"/>
  <c r="K94" i="28"/>
  <c r="J94" i="28"/>
  <c r="K99" i="28"/>
  <c r="J99" i="28"/>
  <c r="K113" i="28"/>
  <c r="J113" i="28"/>
  <c r="K112" i="28"/>
  <c r="J112" i="28"/>
  <c r="K102" i="28"/>
  <c r="J102" i="28"/>
  <c r="K110" i="28"/>
  <c r="J110" i="28"/>
  <c r="K118" i="28"/>
  <c r="J118" i="28"/>
  <c r="K103" i="28"/>
  <c r="J103" i="28"/>
  <c r="K101" i="28"/>
  <c r="J101" i="28"/>
  <c r="K104" i="28"/>
  <c r="J104" i="28"/>
  <c r="K117" i="28"/>
  <c r="J117" i="28"/>
  <c r="K109" i="28"/>
  <c r="J109" i="28"/>
  <c r="K116" i="28"/>
  <c r="J116" i="28"/>
  <c r="K108" i="28"/>
  <c r="J108" i="28"/>
  <c r="K105" i="28"/>
  <c r="J105" i="28"/>
  <c r="K115" i="28"/>
  <c r="J115" i="28"/>
  <c r="K107" i="28"/>
  <c r="J107" i="28"/>
  <c r="K111" i="28"/>
  <c r="J111" i="28"/>
  <c r="K114" i="28"/>
  <c r="J114" i="28"/>
  <c r="K106" i="28"/>
  <c r="J106" i="28"/>
  <c r="K10" i="27"/>
  <c r="J10" i="27"/>
  <c r="K7" i="27"/>
  <c r="J7" i="27"/>
  <c r="K8" i="27"/>
  <c r="J8" i="27"/>
  <c r="K6" i="27"/>
  <c r="J6" i="27"/>
  <c r="K5" i="27"/>
  <c r="J5" i="27"/>
  <c r="K4" i="27"/>
  <c r="J4" i="27"/>
  <c r="K9" i="27"/>
  <c r="J9" i="27"/>
  <c r="K23" i="27"/>
  <c r="J23" i="27"/>
  <c r="K22" i="27"/>
  <c r="J22" i="27"/>
  <c r="K12" i="27"/>
  <c r="J12" i="27"/>
  <c r="K20" i="27"/>
  <c r="J20" i="27"/>
  <c r="K28" i="27"/>
  <c r="J28" i="27"/>
  <c r="K13" i="27"/>
  <c r="J13" i="27"/>
  <c r="K11" i="27"/>
  <c r="J11" i="27"/>
  <c r="K14" i="27"/>
  <c r="J14" i="27"/>
  <c r="K27" i="27"/>
  <c r="J27" i="27"/>
  <c r="K19" i="27"/>
  <c r="J19" i="27"/>
  <c r="K26" i="27"/>
  <c r="J26" i="27"/>
  <c r="K18" i="27"/>
  <c r="J18" i="27"/>
  <c r="K15" i="27"/>
  <c r="J15" i="27"/>
  <c r="K25" i="27"/>
  <c r="J25" i="27"/>
  <c r="K17" i="27"/>
  <c r="J17" i="27"/>
  <c r="K21" i="27"/>
  <c r="J21" i="27"/>
  <c r="K24" i="27"/>
  <c r="J24" i="27"/>
  <c r="K16" i="27"/>
  <c r="J16" i="27"/>
  <c r="K55" i="27"/>
  <c r="J55" i="27"/>
  <c r="K52" i="27"/>
  <c r="J52" i="27"/>
  <c r="K53" i="27"/>
  <c r="J53" i="27"/>
  <c r="K51" i="27"/>
  <c r="J51" i="27"/>
  <c r="K50" i="27"/>
  <c r="J50" i="27"/>
  <c r="K49" i="27"/>
  <c r="J49" i="27"/>
  <c r="K54" i="27"/>
  <c r="J54" i="27"/>
  <c r="K68" i="27"/>
  <c r="J68" i="27"/>
  <c r="K67" i="27"/>
  <c r="J67" i="27"/>
  <c r="K57" i="27"/>
  <c r="J57" i="27"/>
  <c r="K65" i="27"/>
  <c r="J65" i="27"/>
  <c r="K73" i="27"/>
  <c r="J73" i="27"/>
  <c r="K58" i="27"/>
  <c r="J58" i="27"/>
  <c r="K56" i="27"/>
  <c r="J56" i="27"/>
  <c r="K59" i="27"/>
  <c r="J59" i="27"/>
  <c r="K72" i="27"/>
  <c r="J72" i="27"/>
  <c r="K64" i="27"/>
  <c r="J64" i="27"/>
  <c r="K71" i="27"/>
  <c r="J71" i="27"/>
  <c r="K63" i="27"/>
  <c r="J63" i="27"/>
  <c r="K60" i="27"/>
  <c r="J60" i="27"/>
  <c r="K70" i="27"/>
  <c r="J70" i="27"/>
  <c r="K62" i="27"/>
  <c r="J62" i="27"/>
  <c r="K66" i="27"/>
  <c r="J66" i="27"/>
  <c r="K69" i="27"/>
  <c r="J69" i="27"/>
  <c r="K61" i="27"/>
  <c r="J61" i="27"/>
  <c r="K100" i="27"/>
  <c r="J100" i="27"/>
  <c r="K97" i="27"/>
  <c r="J97" i="27"/>
  <c r="K98" i="27"/>
  <c r="J98" i="27"/>
  <c r="K96" i="27"/>
  <c r="J96" i="27"/>
  <c r="K95" i="27"/>
  <c r="J95" i="27"/>
  <c r="K94" i="27"/>
  <c r="J94" i="27"/>
  <c r="K99" i="27"/>
  <c r="J99" i="27"/>
  <c r="K113" i="27"/>
  <c r="J113" i="27"/>
  <c r="K112" i="27"/>
  <c r="J112" i="27"/>
  <c r="K102" i="27"/>
  <c r="J102" i="27"/>
  <c r="K110" i="27"/>
  <c r="J110" i="27"/>
  <c r="K118" i="27"/>
  <c r="J118" i="27"/>
  <c r="K103" i="27"/>
  <c r="J103" i="27"/>
  <c r="K101" i="27"/>
  <c r="J101" i="27"/>
  <c r="K104" i="27"/>
  <c r="J104" i="27"/>
  <c r="K117" i="27"/>
  <c r="J117" i="27"/>
  <c r="K109" i="27"/>
  <c r="J109" i="27"/>
  <c r="K116" i="27"/>
  <c r="J116" i="27"/>
  <c r="K108" i="27"/>
  <c r="J108" i="27"/>
  <c r="K105" i="27"/>
  <c r="J105" i="27"/>
  <c r="K115" i="27"/>
  <c r="J115" i="27"/>
  <c r="K107" i="27"/>
  <c r="J107" i="27"/>
  <c r="K111" i="27"/>
  <c r="J111" i="27"/>
  <c r="K114" i="27"/>
  <c r="J114" i="27"/>
  <c r="K106" i="27"/>
  <c r="J106" i="27"/>
  <c r="K10" i="26"/>
  <c r="J10" i="26"/>
  <c r="K7" i="26"/>
  <c r="J7" i="26"/>
  <c r="K8" i="26"/>
  <c r="J8" i="26"/>
  <c r="K6" i="26"/>
  <c r="J6" i="26"/>
  <c r="K5" i="26"/>
  <c r="J5" i="26"/>
  <c r="K4" i="26"/>
  <c r="J4" i="26"/>
  <c r="K9" i="26"/>
  <c r="J9" i="26"/>
  <c r="K23" i="26"/>
  <c r="J23" i="26"/>
  <c r="K22" i="26"/>
  <c r="J22" i="26"/>
  <c r="K12" i="26"/>
  <c r="J12" i="26"/>
  <c r="K20" i="26"/>
  <c r="J20" i="26"/>
  <c r="K28" i="26"/>
  <c r="J28" i="26"/>
  <c r="K13" i="26"/>
  <c r="J13" i="26"/>
  <c r="K11" i="26"/>
  <c r="J11" i="26"/>
  <c r="K14" i="26"/>
  <c r="J14" i="26"/>
  <c r="K27" i="26"/>
  <c r="J27" i="26"/>
  <c r="K19" i="26"/>
  <c r="J19" i="26"/>
  <c r="K26" i="26"/>
  <c r="J26" i="26"/>
  <c r="K18" i="26"/>
  <c r="J18" i="26"/>
  <c r="K15" i="26"/>
  <c r="J15" i="26"/>
  <c r="K25" i="26"/>
  <c r="J25" i="26"/>
  <c r="K17" i="26"/>
  <c r="J17" i="26"/>
  <c r="K21" i="26"/>
  <c r="J21" i="26"/>
  <c r="K24" i="26"/>
  <c r="J24" i="26"/>
  <c r="K16" i="26"/>
  <c r="J16" i="26"/>
  <c r="K55" i="26"/>
  <c r="J55" i="26"/>
  <c r="K52" i="26"/>
  <c r="J52" i="26"/>
  <c r="K53" i="26"/>
  <c r="J53" i="26"/>
  <c r="K51" i="26"/>
  <c r="J51" i="26"/>
  <c r="K50" i="26"/>
  <c r="J50" i="26"/>
  <c r="K49" i="26"/>
  <c r="J49" i="26"/>
  <c r="K54" i="26"/>
  <c r="J54" i="26"/>
  <c r="K68" i="26"/>
  <c r="J68" i="26"/>
  <c r="K67" i="26"/>
  <c r="J67" i="26"/>
  <c r="K57" i="26"/>
  <c r="J57" i="26"/>
  <c r="K65" i="26"/>
  <c r="J65" i="26"/>
  <c r="K73" i="26"/>
  <c r="J73" i="26"/>
  <c r="K58" i="26"/>
  <c r="J58" i="26"/>
  <c r="K56" i="26"/>
  <c r="J56" i="26"/>
  <c r="K59" i="26"/>
  <c r="J59" i="26"/>
  <c r="K72" i="26"/>
  <c r="J72" i="26"/>
  <c r="K64" i="26"/>
  <c r="J64" i="26"/>
  <c r="K71" i="26"/>
  <c r="J71" i="26"/>
  <c r="K63" i="26"/>
  <c r="J63" i="26"/>
  <c r="K60" i="26"/>
  <c r="J60" i="26"/>
  <c r="K70" i="26"/>
  <c r="J70" i="26"/>
  <c r="K62" i="26"/>
  <c r="J62" i="26"/>
  <c r="K66" i="26"/>
  <c r="J66" i="26"/>
  <c r="K69" i="26"/>
  <c r="J69" i="26"/>
  <c r="K61" i="26"/>
  <c r="J61" i="26"/>
  <c r="K100" i="26"/>
  <c r="J100" i="26"/>
  <c r="K97" i="26"/>
  <c r="J97" i="26"/>
  <c r="K98" i="26"/>
  <c r="J98" i="26"/>
  <c r="K96" i="26"/>
  <c r="J96" i="26"/>
  <c r="K95" i="26"/>
  <c r="J95" i="26"/>
  <c r="K94" i="26"/>
  <c r="J94" i="26"/>
  <c r="K99" i="26"/>
  <c r="J99" i="26"/>
  <c r="K113" i="26"/>
  <c r="J113" i="26"/>
  <c r="K112" i="26"/>
  <c r="J112" i="26"/>
  <c r="K102" i="26"/>
  <c r="J102" i="26"/>
  <c r="K110" i="26"/>
  <c r="J110" i="26"/>
  <c r="K118" i="26"/>
  <c r="J118" i="26"/>
  <c r="K103" i="26"/>
  <c r="J103" i="26"/>
  <c r="K101" i="26"/>
  <c r="J101" i="26"/>
  <c r="K104" i="26"/>
  <c r="J104" i="26"/>
  <c r="K117" i="26"/>
  <c r="J117" i="26"/>
  <c r="K109" i="26"/>
  <c r="J109" i="26"/>
  <c r="K116" i="26"/>
  <c r="J116" i="26"/>
  <c r="K108" i="26"/>
  <c r="J108" i="26"/>
  <c r="K105" i="26"/>
  <c r="J105" i="26"/>
  <c r="K115" i="26"/>
  <c r="J115" i="26"/>
  <c r="K107" i="26"/>
  <c r="J107" i="26"/>
  <c r="K111" i="26"/>
  <c r="J111" i="26"/>
  <c r="K114" i="26"/>
  <c r="J114" i="26"/>
  <c r="K106" i="26"/>
  <c r="J106" i="26"/>
  <c r="K10" i="25"/>
  <c r="J10" i="25"/>
  <c r="K7" i="25"/>
  <c r="J7" i="25"/>
  <c r="K8" i="25"/>
  <c r="J8" i="25"/>
  <c r="K6" i="25"/>
  <c r="J6" i="25"/>
  <c r="K5" i="25"/>
  <c r="J5" i="25"/>
  <c r="K4" i="25"/>
  <c r="J4" i="25"/>
  <c r="K9" i="25"/>
  <c r="J9" i="25"/>
  <c r="K23" i="25"/>
  <c r="J23" i="25"/>
  <c r="K22" i="25"/>
  <c r="J22" i="25"/>
  <c r="K12" i="25"/>
  <c r="J12" i="25"/>
  <c r="K20" i="25"/>
  <c r="J20" i="25"/>
  <c r="K28" i="25"/>
  <c r="J28" i="25"/>
  <c r="K13" i="25"/>
  <c r="J13" i="25"/>
  <c r="K11" i="25"/>
  <c r="J11" i="25"/>
  <c r="K14" i="25"/>
  <c r="J14" i="25"/>
  <c r="K27" i="25"/>
  <c r="J27" i="25"/>
  <c r="K19" i="25"/>
  <c r="J19" i="25"/>
  <c r="K26" i="25"/>
  <c r="J26" i="25"/>
  <c r="K18" i="25"/>
  <c r="J18" i="25"/>
  <c r="K15" i="25"/>
  <c r="J15" i="25"/>
  <c r="K25" i="25"/>
  <c r="J25" i="25"/>
  <c r="K17" i="25"/>
  <c r="J17" i="25"/>
  <c r="K21" i="25"/>
  <c r="J21" i="25"/>
  <c r="K24" i="25"/>
  <c r="J24" i="25"/>
  <c r="K16" i="25"/>
  <c r="J16" i="25"/>
  <c r="K55" i="25"/>
  <c r="J55" i="25"/>
  <c r="K52" i="25"/>
  <c r="J52" i="25"/>
  <c r="K53" i="25"/>
  <c r="J53" i="25"/>
  <c r="K51" i="25"/>
  <c r="J51" i="25"/>
  <c r="K50" i="25"/>
  <c r="J50" i="25"/>
  <c r="K49" i="25"/>
  <c r="J49" i="25"/>
  <c r="K54" i="25"/>
  <c r="J54" i="25"/>
  <c r="K68" i="25"/>
  <c r="J68" i="25"/>
  <c r="K67" i="25"/>
  <c r="J67" i="25"/>
  <c r="K57" i="25"/>
  <c r="J57" i="25"/>
  <c r="K65" i="25"/>
  <c r="J65" i="25"/>
  <c r="K73" i="25"/>
  <c r="J73" i="25"/>
  <c r="K58" i="25"/>
  <c r="J58" i="25"/>
  <c r="K56" i="25"/>
  <c r="J56" i="25"/>
  <c r="K59" i="25"/>
  <c r="J59" i="25"/>
  <c r="K72" i="25"/>
  <c r="J72" i="25"/>
  <c r="K64" i="25"/>
  <c r="J64" i="25"/>
  <c r="K71" i="25"/>
  <c r="J71" i="25"/>
  <c r="K63" i="25"/>
  <c r="J63" i="25"/>
  <c r="K60" i="25"/>
  <c r="J60" i="25"/>
  <c r="K70" i="25"/>
  <c r="J70" i="25"/>
  <c r="K62" i="25"/>
  <c r="J62" i="25"/>
  <c r="K66" i="25"/>
  <c r="J66" i="25"/>
  <c r="K69" i="25"/>
  <c r="J69" i="25"/>
  <c r="K61" i="25"/>
  <c r="J61" i="25"/>
  <c r="K100" i="25"/>
  <c r="J100" i="25"/>
  <c r="K97" i="25"/>
  <c r="J97" i="25"/>
  <c r="K98" i="25"/>
  <c r="J98" i="25"/>
  <c r="K96" i="25"/>
  <c r="J96" i="25"/>
  <c r="K95" i="25"/>
  <c r="J95" i="25"/>
  <c r="K94" i="25"/>
  <c r="J94" i="25"/>
  <c r="K99" i="25"/>
  <c r="J99" i="25"/>
  <c r="K113" i="25"/>
  <c r="J113" i="25"/>
  <c r="K112" i="25"/>
  <c r="J112" i="25"/>
  <c r="K102" i="25"/>
  <c r="J102" i="25"/>
  <c r="K110" i="25"/>
  <c r="J110" i="25"/>
  <c r="K118" i="25"/>
  <c r="J118" i="25"/>
  <c r="K103" i="25"/>
  <c r="J103" i="25"/>
  <c r="K101" i="25"/>
  <c r="J101" i="25"/>
  <c r="K104" i="25"/>
  <c r="J104" i="25"/>
  <c r="K117" i="25"/>
  <c r="J117" i="25"/>
  <c r="K109" i="25"/>
  <c r="J109" i="25"/>
  <c r="K116" i="25"/>
  <c r="J116" i="25"/>
  <c r="K108" i="25"/>
  <c r="J108" i="25"/>
  <c r="K105" i="25"/>
  <c r="J105" i="25"/>
  <c r="K115" i="25"/>
  <c r="J115" i="25"/>
  <c r="K107" i="25"/>
  <c r="J107" i="25"/>
  <c r="K111" i="25"/>
  <c r="J111" i="25"/>
  <c r="K114" i="25"/>
  <c r="J114" i="25"/>
  <c r="K106" i="25"/>
  <c r="J106" i="25"/>
  <c r="K145" i="28"/>
  <c r="J145" i="28"/>
  <c r="J140" i="28"/>
  <c r="K140" i="28"/>
  <c r="J141" i="28"/>
  <c r="K141" i="28"/>
  <c r="J143" i="28"/>
  <c r="K143" i="28"/>
  <c r="J142" i="28"/>
  <c r="K142" i="28"/>
  <c r="K139" i="28"/>
  <c r="J139" i="28"/>
  <c r="K144" i="28"/>
  <c r="J144" i="28"/>
  <c r="J158" i="28"/>
  <c r="K158" i="28"/>
  <c r="K157" i="28"/>
  <c r="J157" i="28"/>
  <c r="J159" i="28"/>
  <c r="K159" i="28"/>
  <c r="J156" i="28"/>
  <c r="K156" i="28"/>
  <c r="J152" i="28"/>
  <c r="K152" i="28"/>
  <c r="J160" i="28"/>
  <c r="K160" i="28"/>
  <c r="J150" i="28"/>
  <c r="K150" i="28"/>
  <c r="J153" i="28"/>
  <c r="K153" i="28"/>
  <c r="J161" i="28"/>
  <c r="K161" i="28"/>
  <c r="J154" i="28"/>
  <c r="K154" i="28"/>
  <c r="J162" i="28"/>
  <c r="K162" i="28"/>
  <c r="J149" i="28"/>
  <c r="K149" i="28"/>
  <c r="J146" i="28"/>
  <c r="K146" i="28"/>
  <c r="J148" i="28"/>
  <c r="K148" i="28"/>
  <c r="J163" i="28"/>
  <c r="K163" i="28"/>
  <c r="J155" i="28"/>
  <c r="K155" i="28"/>
  <c r="J147" i="28"/>
  <c r="K147" i="28"/>
  <c r="K151" i="28"/>
  <c r="J151" i="28"/>
  <c r="K145" i="27"/>
  <c r="J145" i="27"/>
  <c r="J140" i="27"/>
  <c r="K140" i="27"/>
  <c r="J141" i="27"/>
  <c r="K141" i="27"/>
  <c r="J143" i="27"/>
  <c r="K143" i="27"/>
  <c r="J142" i="27"/>
  <c r="K142" i="27"/>
  <c r="K139" i="27"/>
  <c r="J139" i="27"/>
  <c r="K144" i="27"/>
  <c r="J144" i="27"/>
  <c r="J158" i="27"/>
  <c r="K158" i="27"/>
  <c r="K157" i="27"/>
  <c r="J157" i="27"/>
  <c r="J159" i="27"/>
  <c r="K159" i="27"/>
  <c r="J156" i="27"/>
  <c r="K156" i="27"/>
  <c r="J152" i="27"/>
  <c r="K152" i="27"/>
  <c r="J160" i="27"/>
  <c r="K160" i="27"/>
  <c r="J150" i="27"/>
  <c r="K150" i="27"/>
  <c r="J153" i="27"/>
  <c r="K153" i="27"/>
  <c r="J161" i="27"/>
  <c r="K161" i="27"/>
  <c r="J154" i="27"/>
  <c r="K154" i="27"/>
  <c r="J162" i="27"/>
  <c r="K162" i="27"/>
  <c r="J149" i="27"/>
  <c r="K149" i="27"/>
  <c r="J146" i="27"/>
  <c r="K146" i="27"/>
  <c r="J148" i="27"/>
  <c r="K148" i="27"/>
  <c r="J163" i="27"/>
  <c r="K163" i="27"/>
  <c r="J155" i="27"/>
  <c r="K155" i="27"/>
  <c r="J147" i="27"/>
  <c r="K147" i="27"/>
  <c r="K151" i="27"/>
  <c r="J151" i="27"/>
  <c r="K145" i="26"/>
  <c r="J145" i="26"/>
  <c r="J140" i="26"/>
  <c r="K140" i="26"/>
  <c r="J141" i="26"/>
  <c r="K141" i="26"/>
  <c r="J143" i="26"/>
  <c r="K143" i="26"/>
  <c r="J142" i="26"/>
  <c r="K142" i="26"/>
  <c r="K139" i="26"/>
  <c r="J139" i="26"/>
  <c r="K144" i="26"/>
  <c r="J144" i="26"/>
  <c r="J158" i="26"/>
  <c r="K158" i="26"/>
  <c r="K157" i="26"/>
  <c r="J157" i="26"/>
  <c r="J159" i="26"/>
  <c r="K159" i="26"/>
  <c r="J156" i="26"/>
  <c r="K156" i="26"/>
  <c r="J152" i="26"/>
  <c r="K152" i="26"/>
  <c r="J160" i="26"/>
  <c r="K160" i="26"/>
  <c r="J150" i="26"/>
  <c r="K150" i="26"/>
  <c r="J153" i="26"/>
  <c r="K153" i="26"/>
  <c r="J161" i="26"/>
  <c r="K161" i="26"/>
  <c r="J154" i="26"/>
  <c r="K154" i="26"/>
  <c r="J162" i="26"/>
  <c r="K162" i="26"/>
  <c r="J149" i="26"/>
  <c r="K149" i="26"/>
  <c r="J146" i="26"/>
  <c r="K146" i="26"/>
  <c r="J148" i="26"/>
  <c r="K148" i="26"/>
  <c r="J163" i="26"/>
  <c r="K163" i="26"/>
  <c r="J155" i="26"/>
  <c r="K155" i="26"/>
  <c r="J147" i="26"/>
  <c r="K147" i="26"/>
  <c r="K151" i="26"/>
  <c r="J151" i="26"/>
  <c r="K142" i="25"/>
  <c r="L142" i="25" s="1"/>
  <c r="AD142" i="25" s="1"/>
  <c r="K145" i="25"/>
  <c r="J145" i="25"/>
  <c r="J140" i="25"/>
  <c r="K140" i="25"/>
  <c r="J141" i="25"/>
  <c r="K141" i="25"/>
  <c r="J143" i="25"/>
  <c r="K143" i="25"/>
  <c r="J142" i="25"/>
  <c r="J139" i="25"/>
  <c r="K139" i="25"/>
  <c r="K144" i="25"/>
  <c r="J144" i="25"/>
  <c r="J158" i="25"/>
  <c r="K158" i="25"/>
  <c r="K157" i="25"/>
  <c r="J157" i="25"/>
  <c r="J159" i="25"/>
  <c r="K159" i="25"/>
  <c r="J156" i="25"/>
  <c r="K156" i="25"/>
  <c r="J152" i="25"/>
  <c r="K152" i="25"/>
  <c r="J160" i="25"/>
  <c r="K160" i="25"/>
  <c r="J150" i="25"/>
  <c r="K150" i="25"/>
  <c r="J153" i="25"/>
  <c r="K153" i="25"/>
  <c r="J161" i="25"/>
  <c r="K161" i="25"/>
  <c r="J154" i="25"/>
  <c r="K154" i="25"/>
  <c r="J162" i="25"/>
  <c r="K162" i="25"/>
  <c r="J149" i="25"/>
  <c r="K149" i="25"/>
  <c r="J146" i="25"/>
  <c r="K146" i="25"/>
  <c r="J148" i="25"/>
  <c r="K148" i="25"/>
  <c r="J163" i="25"/>
  <c r="K163" i="25"/>
  <c r="J155" i="25"/>
  <c r="K155" i="25"/>
  <c r="J147" i="25"/>
  <c r="K147" i="25"/>
  <c r="L147" i="25" s="1"/>
  <c r="J151" i="25"/>
  <c r="K151" i="25"/>
  <c r="H44" i="34"/>
  <c r="H45" i="34"/>
  <c r="H46" i="34"/>
  <c r="H47" i="34"/>
  <c r="H43" i="34"/>
  <c r="H69" i="25"/>
  <c r="H66" i="25"/>
  <c r="H62" i="25"/>
  <c r="H70" i="25"/>
  <c r="H60" i="25"/>
  <c r="H63" i="25"/>
  <c r="H71" i="25"/>
  <c r="H64" i="25"/>
  <c r="H72" i="25"/>
  <c r="H59" i="25"/>
  <c r="H56" i="25"/>
  <c r="H58" i="25"/>
  <c r="H73" i="25"/>
  <c r="H65" i="25"/>
  <c r="H57" i="25"/>
  <c r="H67" i="25"/>
  <c r="H68" i="25"/>
  <c r="H54" i="25"/>
  <c r="H49" i="25"/>
  <c r="H50" i="25"/>
  <c r="H51" i="25"/>
  <c r="H53" i="25"/>
  <c r="H52" i="25"/>
  <c r="H55" i="25"/>
  <c r="H61" i="25"/>
  <c r="H159" i="25"/>
  <c r="H156" i="25"/>
  <c r="N156" i="25" s="1"/>
  <c r="H152" i="25"/>
  <c r="H160" i="25"/>
  <c r="N160" i="25" s="1"/>
  <c r="H150" i="25"/>
  <c r="H153" i="25"/>
  <c r="L153" i="25" s="1"/>
  <c r="H161" i="25"/>
  <c r="H154" i="25"/>
  <c r="N154" i="25" s="1"/>
  <c r="H162" i="25"/>
  <c r="H149" i="25"/>
  <c r="L149" i="25" s="1"/>
  <c r="H146" i="25"/>
  <c r="N146" i="25" s="1"/>
  <c r="H148" i="25"/>
  <c r="N148" i="25" s="1"/>
  <c r="H163" i="25"/>
  <c r="H155" i="25"/>
  <c r="L155" i="25" s="1"/>
  <c r="H147" i="25"/>
  <c r="H157" i="25"/>
  <c r="N157" i="25" s="1"/>
  <c r="H158" i="25"/>
  <c r="L158" i="25" s="1"/>
  <c r="H144" i="25"/>
  <c r="N144" i="25" s="1"/>
  <c r="H139" i="25"/>
  <c r="N139" i="25" s="1"/>
  <c r="H140" i="25"/>
  <c r="L140" i="25" s="1"/>
  <c r="H141" i="25"/>
  <c r="H143" i="25"/>
  <c r="N143" i="25" s="1"/>
  <c r="H142" i="25"/>
  <c r="N142" i="25" s="1"/>
  <c r="H145" i="25"/>
  <c r="N145" i="25" s="1"/>
  <c r="H151" i="25"/>
  <c r="H114" i="25"/>
  <c r="H111" i="25"/>
  <c r="H107" i="25"/>
  <c r="H115" i="25"/>
  <c r="H105" i="25"/>
  <c r="H108" i="25"/>
  <c r="H116" i="25"/>
  <c r="H109" i="25"/>
  <c r="H117" i="25"/>
  <c r="H104" i="25"/>
  <c r="H101" i="25"/>
  <c r="H103" i="25"/>
  <c r="H118" i="25"/>
  <c r="H110" i="25"/>
  <c r="H102" i="25"/>
  <c r="H112" i="25"/>
  <c r="H113" i="25"/>
  <c r="H99" i="25"/>
  <c r="H94" i="25"/>
  <c r="H95" i="25"/>
  <c r="H96" i="25"/>
  <c r="H98" i="25"/>
  <c r="H97" i="25"/>
  <c r="H100" i="25"/>
  <c r="H106" i="25"/>
  <c r="Y145" i="29"/>
  <c r="S145" i="29"/>
  <c r="U145" i="29" s="1"/>
  <c r="Q145" i="29"/>
  <c r="Y142" i="29"/>
  <c r="S142" i="29"/>
  <c r="X142" i="29" s="1"/>
  <c r="Q142" i="29"/>
  <c r="Y143" i="29"/>
  <c r="S143" i="29"/>
  <c r="X143" i="29" s="1"/>
  <c r="Q143" i="29"/>
  <c r="Y141" i="29"/>
  <c r="S141" i="29"/>
  <c r="X141" i="29" s="1"/>
  <c r="Q141" i="29"/>
  <c r="Y140" i="29"/>
  <c r="S140" i="29"/>
  <c r="U140" i="29" s="1"/>
  <c r="Z140" i="29" s="1"/>
  <c r="Q140" i="29"/>
  <c r="Y139" i="29"/>
  <c r="S139" i="29"/>
  <c r="X139" i="29" s="1"/>
  <c r="Q139" i="29"/>
  <c r="Y144" i="29"/>
  <c r="S144" i="29"/>
  <c r="X144" i="29" s="1"/>
  <c r="Q144" i="29"/>
  <c r="Y159" i="29"/>
  <c r="W159" i="29"/>
  <c r="Y158" i="29"/>
  <c r="W158" i="29"/>
  <c r="Y147" i="29"/>
  <c r="W147" i="29"/>
  <c r="Y155" i="29"/>
  <c r="W155" i="29"/>
  <c r="Y163" i="29"/>
  <c r="W163" i="29"/>
  <c r="Y148" i="29"/>
  <c r="W148" i="29"/>
  <c r="Y146" i="29"/>
  <c r="W146" i="29"/>
  <c r="Y149" i="29"/>
  <c r="W149" i="29"/>
  <c r="Y162" i="29"/>
  <c r="W162" i="29"/>
  <c r="Y154" i="29"/>
  <c r="W154" i="29"/>
  <c r="Y161" i="29"/>
  <c r="W161" i="29"/>
  <c r="Y153" i="29"/>
  <c r="W153" i="29"/>
  <c r="Y150" i="29"/>
  <c r="W150" i="29"/>
  <c r="Y160" i="29"/>
  <c r="W160" i="29"/>
  <c r="Y152" i="29"/>
  <c r="W152" i="29"/>
  <c r="Y156" i="29"/>
  <c r="W156" i="29"/>
  <c r="Y157" i="29"/>
  <c r="W157" i="29"/>
  <c r="Y151" i="29"/>
  <c r="W151" i="29"/>
  <c r="C136" i="29"/>
  <c r="Y145" i="28"/>
  <c r="S145" i="28"/>
  <c r="U145" i="28" s="1"/>
  <c r="Q145" i="28"/>
  <c r="Y142" i="28"/>
  <c r="S142" i="28"/>
  <c r="X142" i="28" s="1"/>
  <c r="Q142" i="28"/>
  <c r="Y143" i="28"/>
  <c r="S143" i="28"/>
  <c r="X143" i="28" s="1"/>
  <c r="Q143" i="28"/>
  <c r="Y141" i="28"/>
  <c r="S141" i="28"/>
  <c r="U141" i="28" s="1"/>
  <c r="Z141" i="28" s="1"/>
  <c r="Q141" i="28"/>
  <c r="Y140" i="28"/>
  <c r="X140" i="28"/>
  <c r="S140" i="28"/>
  <c r="U140" i="28" s="1"/>
  <c r="Q140" i="28"/>
  <c r="AF140" i="28" s="1"/>
  <c r="Y139" i="28"/>
  <c r="S139" i="28"/>
  <c r="X139" i="28" s="1"/>
  <c r="Q139" i="28"/>
  <c r="Y144" i="28"/>
  <c r="S144" i="28"/>
  <c r="U144" i="28" s="1"/>
  <c r="Q144" i="28"/>
  <c r="AF144" i="28" s="1"/>
  <c r="Y158" i="28"/>
  <c r="W158" i="28"/>
  <c r="Y157" i="28"/>
  <c r="W157" i="28"/>
  <c r="Y147" i="28"/>
  <c r="W147" i="28"/>
  <c r="Y155" i="28"/>
  <c r="W155" i="28"/>
  <c r="Y163" i="28"/>
  <c r="W163" i="28"/>
  <c r="Y148" i="28"/>
  <c r="W148" i="28"/>
  <c r="Y146" i="28"/>
  <c r="W146" i="28"/>
  <c r="Y149" i="28"/>
  <c r="W149" i="28"/>
  <c r="Y162" i="28"/>
  <c r="W162" i="28"/>
  <c r="Y154" i="28"/>
  <c r="W154" i="28"/>
  <c r="Y161" i="28"/>
  <c r="W161" i="28"/>
  <c r="Y153" i="28"/>
  <c r="W153" i="28"/>
  <c r="Y150" i="28"/>
  <c r="W150" i="28"/>
  <c r="Y160" i="28"/>
  <c r="W160" i="28"/>
  <c r="Y152" i="28"/>
  <c r="W152" i="28"/>
  <c r="Y156" i="28"/>
  <c r="W156" i="28"/>
  <c r="Y159" i="28"/>
  <c r="W159" i="28"/>
  <c r="Y151" i="28"/>
  <c r="W151" i="28"/>
  <c r="C136" i="28"/>
  <c r="G150" i="27"/>
  <c r="Y145" i="27"/>
  <c r="S145" i="27"/>
  <c r="X145" i="27" s="1"/>
  <c r="Q145" i="27"/>
  <c r="Y142" i="27"/>
  <c r="S142" i="27"/>
  <c r="X142" i="27" s="1"/>
  <c r="Q142" i="27"/>
  <c r="Y143" i="27"/>
  <c r="S143" i="27"/>
  <c r="X143" i="27" s="1"/>
  <c r="Q143" i="27"/>
  <c r="Y141" i="27"/>
  <c r="S141" i="27"/>
  <c r="X141" i="27" s="1"/>
  <c r="Q141" i="27"/>
  <c r="Y140" i="27"/>
  <c r="S140" i="27"/>
  <c r="U140" i="27" s="1"/>
  <c r="Z140" i="27" s="1"/>
  <c r="Q140" i="27"/>
  <c r="Y139" i="27"/>
  <c r="S139" i="27"/>
  <c r="Q139" i="27"/>
  <c r="Y144" i="27"/>
  <c r="S144" i="27"/>
  <c r="U144" i="27" s="1"/>
  <c r="Q144" i="27"/>
  <c r="Y158" i="27"/>
  <c r="W158" i="27"/>
  <c r="Y157" i="27"/>
  <c r="W157" i="27"/>
  <c r="Y147" i="27"/>
  <c r="W147" i="27"/>
  <c r="Y155" i="27"/>
  <c r="W155" i="27"/>
  <c r="Y163" i="27"/>
  <c r="W163" i="27"/>
  <c r="Y148" i="27"/>
  <c r="W148" i="27"/>
  <c r="Y146" i="27"/>
  <c r="W146" i="27"/>
  <c r="Y149" i="27"/>
  <c r="W149" i="27"/>
  <c r="Y162" i="27"/>
  <c r="W162" i="27"/>
  <c r="Y154" i="27"/>
  <c r="W154" i="27"/>
  <c r="Y161" i="27"/>
  <c r="W161" i="27"/>
  <c r="Y153" i="27"/>
  <c r="W153" i="27"/>
  <c r="Y150" i="27"/>
  <c r="W150" i="27"/>
  <c r="Y160" i="27"/>
  <c r="W160" i="27"/>
  <c r="Y152" i="27"/>
  <c r="W152" i="27"/>
  <c r="Y156" i="27"/>
  <c r="W156" i="27"/>
  <c r="Y159" i="27"/>
  <c r="W159" i="27"/>
  <c r="Y151" i="27"/>
  <c r="W151" i="27"/>
  <c r="C136" i="27"/>
  <c r="Y145" i="26"/>
  <c r="S145" i="26"/>
  <c r="X145" i="26" s="1"/>
  <c r="Q145" i="26"/>
  <c r="Y142" i="26"/>
  <c r="S142" i="26"/>
  <c r="X142" i="26" s="1"/>
  <c r="Q142" i="26"/>
  <c r="Y143" i="26"/>
  <c r="S143" i="26"/>
  <c r="X143" i="26" s="1"/>
  <c r="Q143" i="26"/>
  <c r="Y141" i="26"/>
  <c r="S141" i="26"/>
  <c r="X141" i="26" s="1"/>
  <c r="Q141" i="26"/>
  <c r="Y140" i="26"/>
  <c r="S140" i="26"/>
  <c r="U140" i="26" s="1"/>
  <c r="Z140" i="26" s="1"/>
  <c r="Q140" i="26"/>
  <c r="Y139" i="26"/>
  <c r="S139" i="26"/>
  <c r="U139" i="26" s="1"/>
  <c r="Z139" i="26" s="1"/>
  <c r="Q139" i="26"/>
  <c r="AF139" i="26" s="1"/>
  <c r="Y144" i="26"/>
  <c r="S144" i="26"/>
  <c r="U144" i="26" s="1"/>
  <c r="Q144" i="26"/>
  <c r="AF144" i="26" s="1"/>
  <c r="Y158" i="26"/>
  <c r="W158" i="26"/>
  <c r="Y157" i="26"/>
  <c r="W157" i="26"/>
  <c r="Y147" i="26"/>
  <c r="W147" i="26"/>
  <c r="Y155" i="26"/>
  <c r="W155" i="26"/>
  <c r="Y163" i="26"/>
  <c r="W163" i="26"/>
  <c r="Y148" i="26"/>
  <c r="W148" i="26"/>
  <c r="Y146" i="26"/>
  <c r="W146" i="26"/>
  <c r="Y149" i="26"/>
  <c r="W149" i="26"/>
  <c r="Y162" i="26"/>
  <c r="W162" i="26"/>
  <c r="Y154" i="26"/>
  <c r="W154" i="26"/>
  <c r="Y161" i="26"/>
  <c r="W161" i="26"/>
  <c r="Y153" i="26"/>
  <c r="W153" i="26"/>
  <c r="Y150" i="26"/>
  <c r="W150" i="26"/>
  <c r="Y160" i="26"/>
  <c r="W160" i="26"/>
  <c r="Y152" i="26"/>
  <c r="W152" i="26"/>
  <c r="Y156" i="26"/>
  <c r="W156" i="26"/>
  <c r="Y159" i="26"/>
  <c r="W159" i="26"/>
  <c r="Y151" i="26"/>
  <c r="W151" i="26"/>
  <c r="C136" i="26"/>
  <c r="Y145" i="25"/>
  <c r="S145" i="25"/>
  <c r="X145" i="25" s="1"/>
  <c r="Q145" i="25"/>
  <c r="Y142" i="25"/>
  <c r="S142" i="25"/>
  <c r="U142" i="25" s="1"/>
  <c r="Q142" i="25"/>
  <c r="Y143" i="25"/>
  <c r="S143" i="25"/>
  <c r="X143" i="25" s="1"/>
  <c r="Q143" i="25"/>
  <c r="Y141" i="25"/>
  <c r="S141" i="25"/>
  <c r="X141" i="25" s="1"/>
  <c r="Q141" i="25"/>
  <c r="N141" i="25"/>
  <c r="Y140" i="25"/>
  <c r="S140" i="25"/>
  <c r="U140" i="25" s="1"/>
  <c r="Q140" i="25"/>
  <c r="Y139" i="25"/>
  <c r="S139" i="25"/>
  <c r="U139" i="25" s="1"/>
  <c r="Z139" i="25" s="1"/>
  <c r="Q139" i="25"/>
  <c r="AF139" i="25" s="1"/>
  <c r="Y144" i="25"/>
  <c r="S144" i="25"/>
  <c r="X144" i="25" s="1"/>
  <c r="Q144" i="25"/>
  <c r="Y158" i="25"/>
  <c r="W158" i="25"/>
  <c r="Y157" i="25"/>
  <c r="W157" i="25"/>
  <c r="Y147" i="25"/>
  <c r="W147" i="25"/>
  <c r="N147" i="25"/>
  <c r="Y155" i="25"/>
  <c r="W155" i="25"/>
  <c r="N155" i="25"/>
  <c r="Y163" i="25"/>
  <c r="W163" i="25"/>
  <c r="N163" i="25"/>
  <c r="Y148" i="25"/>
  <c r="W148" i="25"/>
  <c r="Y146" i="25"/>
  <c r="W146" i="25"/>
  <c r="Y149" i="25"/>
  <c r="W149" i="25"/>
  <c r="N149" i="25"/>
  <c r="Y162" i="25"/>
  <c r="W162" i="25"/>
  <c r="Y154" i="25"/>
  <c r="W154" i="25"/>
  <c r="Y161" i="25"/>
  <c r="W161" i="25"/>
  <c r="N161" i="25"/>
  <c r="Y153" i="25"/>
  <c r="W153" i="25"/>
  <c r="N153" i="25"/>
  <c r="Y150" i="25"/>
  <c r="W150" i="25"/>
  <c r="N150" i="25"/>
  <c r="Y160" i="25"/>
  <c r="W160" i="25"/>
  <c r="Y152" i="25"/>
  <c r="W152" i="25"/>
  <c r="N152" i="25"/>
  <c r="Y156" i="25"/>
  <c r="W156" i="25"/>
  <c r="Y159" i="25"/>
  <c r="W159" i="25"/>
  <c r="Y151" i="25"/>
  <c r="W151" i="25"/>
  <c r="C136" i="25"/>
  <c r="AU5" i="25"/>
  <c r="AV5" i="25"/>
  <c r="AU6" i="25"/>
  <c r="AV6" i="25"/>
  <c r="AU7" i="25"/>
  <c r="AV7" i="25"/>
  <c r="AU8" i="25"/>
  <c r="AV8" i="25"/>
  <c r="AU9" i="25"/>
  <c r="AV9" i="25"/>
  <c r="AU10" i="25"/>
  <c r="AV10" i="25"/>
  <c r="AU11" i="25"/>
  <c r="AV11" i="25"/>
  <c r="AU12" i="25"/>
  <c r="AV12" i="25"/>
  <c r="AU13" i="25"/>
  <c r="AV13" i="25"/>
  <c r="AU14" i="25"/>
  <c r="AV14" i="25"/>
  <c r="AU15" i="25"/>
  <c r="AV15" i="25"/>
  <c r="AU16" i="25"/>
  <c r="AV16" i="25"/>
  <c r="AU17" i="25"/>
  <c r="AV17" i="25"/>
  <c r="AU18" i="25"/>
  <c r="AV18" i="25"/>
  <c r="AU19" i="25"/>
  <c r="AV19" i="25"/>
  <c r="AU20" i="25"/>
  <c r="AV20" i="25"/>
  <c r="AU21" i="25"/>
  <c r="AV21" i="25"/>
  <c r="AU22" i="25"/>
  <c r="AV22" i="25"/>
  <c r="AU23" i="25"/>
  <c r="AV23" i="25"/>
  <c r="AU24" i="25"/>
  <c r="AV24" i="25"/>
  <c r="AU25" i="25"/>
  <c r="AV25" i="25"/>
  <c r="AU26" i="25"/>
  <c r="AV26" i="25"/>
  <c r="AU27" i="25"/>
  <c r="AV27" i="25"/>
  <c r="AU28" i="25"/>
  <c r="AV28" i="25"/>
  <c r="AU4" i="25"/>
  <c r="AV4" i="25"/>
  <c r="H38" i="34"/>
  <c r="I38" i="34"/>
  <c r="J38" i="34"/>
  <c r="K38" i="34"/>
  <c r="L38" i="34"/>
  <c r="B30" i="34"/>
  <c r="B38" i="34" s="1"/>
  <c r="G139" i="25" s="1"/>
  <c r="C30" i="34"/>
  <c r="C38" i="34" s="1"/>
  <c r="G152" i="26" s="1"/>
  <c r="C22" i="34"/>
  <c r="D22" i="34"/>
  <c r="D30" i="34" s="1"/>
  <c r="D38" i="34" s="1"/>
  <c r="E22" i="34"/>
  <c r="E30" i="34" s="1"/>
  <c r="E38" i="34" s="1"/>
  <c r="G140" i="28" s="1"/>
  <c r="F22" i="34"/>
  <c r="F30" i="34" s="1"/>
  <c r="F38" i="34" s="1"/>
  <c r="G140" i="29" s="1"/>
  <c r="D21" i="34"/>
  <c r="E21" i="34"/>
  <c r="F21" i="34"/>
  <c r="A22" i="34"/>
  <c r="A30" i="34" s="1"/>
  <c r="H14" i="34"/>
  <c r="I14" i="34"/>
  <c r="J14" i="34"/>
  <c r="K14" i="34"/>
  <c r="L14" i="34"/>
  <c r="C6" i="34"/>
  <c r="AF140" i="29" l="1"/>
  <c r="AF145" i="29"/>
  <c r="AF141" i="28"/>
  <c r="AF145" i="28"/>
  <c r="N158" i="25"/>
  <c r="L161" i="25"/>
  <c r="L152" i="25"/>
  <c r="L141" i="25"/>
  <c r="L144" i="25"/>
  <c r="L163" i="25"/>
  <c r="L150" i="25"/>
  <c r="X145" i="29"/>
  <c r="AH140" i="29"/>
  <c r="X144" i="28"/>
  <c r="AF140" i="26"/>
  <c r="AF142" i="25"/>
  <c r="AD140" i="25"/>
  <c r="AE139" i="25"/>
  <c r="AF140" i="25"/>
  <c r="L143" i="25"/>
  <c r="AE142" i="25"/>
  <c r="AF140" i="27"/>
  <c r="AF144" i="27"/>
  <c r="G161" i="26"/>
  <c r="G147" i="26"/>
  <c r="G142" i="26"/>
  <c r="AH142" i="26" s="1"/>
  <c r="G154" i="26"/>
  <c r="G157" i="26"/>
  <c r="G145" i="26"/>
  <c r="AH145" i="26" s="1"/>
  <c r="G159" i="26"/>
  <c r="G162" i="26"/>
  <c r="G158" i="26"/>
  <c r="G151" i="26"/>
  <c r="G156" i="26"/>
  <c r="AH156" i="26" s="1"/>
  <c r="G149" i="26"/>
  <c r="AH149" i="26" s="1"/>
  <c r="G144" i="26"/>
  <c r="G160" i="26"/>
  <c r="G148" i="26"/>
  <c r="G140" i="26"/>
  <c r="G150" i="26"/>
  <c r="G163" i="26"/>
  <c r="AH152" i="26" s="1"/>
  <c r="G141" i="26"/>
  <c r="G153" i="26"/>
  <c r="G155" i="26"/>
  <c r="G143" i="26"/>
  <c r="G146" i="26"/>
  <c r="G154" i="29"/>
  <c r="AH154" i="29" s="1"/>
  <c r="G158" i="29"/>
  <c r="G145" i="29"/>
  <c r="G157" i="29"/>
  <c r="G162" i="29"/>
  <c r="G159" i="29"/>
  <c r="G151" i="29"/>
  <c r="G156" i="29"/>
  <c r="AH156" i="29" s="1"/>
  <c r="G149" i="29"/>
  <c r="AH149" i="29" s="1"/>
  <c r="G144" i="29"/>
  <c r="G152" i="29"/>
  <c r="G146" i="29"/>
  <c r="G139" i="29"/>
  <c r="G150" i="29"/>
  <c r="G163" i="29"/>
  <c r="G141" i="29"/>
  <c r="G153" i="29"/>
  <c r="AH145" i="29" s="1"/>
  <c r="G155" i="29"/>
  <c r="G143" i="29"/>
  <c r="G161" i="29"/>
  <c r="AH161" i="29" s="1"/>
  <c r="G147" i="29"/>
  <c r="G142" i="29"/>
  <c r="G148" i="29"/>
  <c r="AH148" i="29" s="1"/>
  <c r="N151" i="25"/>
  <c r="L151" i="25"/>
  <c r="N162" i="25"/>
  <c r="L162" i="25"/>
  <c r="N159" i="25"/>
  <c r="L159" i="25"/>
  <c r="G161" i="25"/>
  <c r="G147" i="25"/>
  <c r="G142" i="25"/>
  <c r="G154" i="25"/>
  <c r="G157" i="25"/>
  <c r="G145" i="25"/>
  <c r="AH145" i="25" s="1"/>
  <c r="G159" i="25"/>
  <c r="G162" i="25"/>
  <c r="AH162" i="25" s="1"/>
  <c r="G158" i="25"/>
  <c r="G151" i="25"/>
  <c r="AH151" i="25" s="1"/>
  <c r="G156" i="25"/>
  <c r="G149" i="25"/>
  <c r="AH149" i="25" s="1"/>
  <c r="G144" i="25"/>
  <c r="G160" i="25"/>
  <c r="G148" i="25"/>
  <c r="G140" i="25"/>
  <c r="G150" i="25"/>
  <c r="AH150" i="25" s="1"/>
  <c r="G163" i="25"/>
  <c r="G141" i="25"/>
  <c r="G153" i="25"/>
  <c r="G155" i="25"/>
  <c r="G143" i="25"/>
  <c r="G154" i="28"/>
  <c r="G157" i="28"/>
  <c r="G145" i="28"/>
  <c r="G159" i="28"/>
  <c r="AH159" i="28" s="1"/>
  <c r="G162" i="28"/>
  <c r="G158" i="28"/>
  <c r="G151" i="28"/>
  <c r="G156" i="28"/>
  <c r="G149" i="28"/>
  <c r="AH149" i="28" s="1"/>
  <c r="G144" i="28"/>
  <c r="G152" i="28"/>
  <c r="G146" i="28"/>
  <c r="G139" i="28"/>
  <c r="AH139" i="28" s="1"/>
  <c r="AJ139" i="28" s="1"/>
  <c r="G150" i="28"/>
  <c r="AH150" i="28" s="1"/>
  <c r="G163" i="28"/>
  <c r="G141" i="28"/>
  <c r="G153" i="28"/>
  <c r="G155" i="28"/>
  <c r="G143" i="28"/>
  <c r="G161" i="28"/>
  <c r="G147" i="28"/>
  <c r="G142" i="28"/>
  <c r="G146" i="25"/>
  <c r="AH146" i="25" s="1"/>
  <c r="G148" i="28"/>
  <c r="G160" i="29"/>
  <c r="G139" i="26"/>
  <c r="G159" i="27"/>
  <c r="G162" i="27"/>
  <c r="AH162" i="27" s="1"/>
  <c r="G158" i="27"/>
  <c r="G151" i="27"/>
  <c r="G156" i="27"/>
  <c r="AH156" i="27" s="1"/>
  <c r="G149" i="27"/>
  <c r="AH149" i="27" s="1"/>
  <c r="G144" i="27"/>
  <c r="AH143" i="27" s="1"/>
  <c r="G152" i="27"/>
  <c r="G146" i="27"/>
  <c r="G139" i="27"/>
  <c r="AH139" i="27" s="1"/>
  <c r="AJ139" i="27" s="1"/>
  <c r="G160" i="27"/>
  <c r="G148" i="27"/>
  <c r="G140" i="27"/>
  <c r="G153" i="27"/>
  <c r="G155" i="27"/>
  <c r="AH153" i="27" s="1"/>
  <c r="G143" i="27"/>
  <c r="G161" i="27"/>
  <c r="G147" i="27"/>
  <c r="AH147" i="27" s="1"/>
  <c r="G142" i="27"/>
  <c r="G154" i="27"/>
  <c r="G157" i="27"/>
  <c r="G145" i="27"/>
  <c r="G152" i="25"/>
  <c r="G141" i="27"/>
  <c r="G160" i="28"/>
  <c r="G163" i="27"/>
  <c r="X140" i="26"/>
  <c r="Z144" i="28"/>
  <c r="U142" i="28"/>
  <c r="AF142" i="28" s="1"/>
  <c r="X144" i="26"/>
  <c r="AH145" i="28"/>
  <c r="X140" i="27"/>
  <c r="U145" i="27"/>
  <c r="Z145" i="27" s="1"/>
  <c r="U142" i="27"/>
  <c r="U145" i="26"/>
  <c r="AF145" i="26" s="1"/>
  <c r="U142" i="26"/>
  <c r="AF142" i="26" s="1"/>
  <c r="Z145" i="26"/>
  <c r="Z144" i="26"/>
  <c r="AH147" i="26"/>
  <c r="X139" i="25"/>
  <c r="X142" i="25"/>
  <c r="U143" i="25"/>
  <c r="Z143" i="25" s="1"/>
  <c r="L156" i="25"/>
  <c r="N140" i="25"/>
  <c r="AE140" i="25" s="1"/>
  <c r="AH144" i="25"/>
  <c r="L146" i="25"/>
  <c r="L139" i="25"/>
  <c r="AD139" i="25" s="1"/>
  <c r="X140" i="25"/>
  <c r="L160" i="25"/>
  <c r="U144" i="25"/>
  <c r="AE144" i="25" s="1"/>
  <c r="L154" i="25"/>
  <c r="L148" i="25"/>
  <c r="R141" i="25"/>
  <c r="AH158" i="25"/>
  <c r="AH142" i="25"/>
  <c r="AH141" i="25"/>
  <c r="Z142" i="25"/>
  <c r="X140" i="29"/>
  <c r="U144" i="29"/>
  <c r="Z144" i="29" s="1"/>
  <c r="U143" i="29"/>
  <c r="Z143" i="29" s="1"/>
  <c r="Z145" i="29"/>
  <c r="AH158" i="29"/>
  <c r="U142" i="29"/>
  <c r="X144" i="27"/>
  <c r="Z144" i="27"/>
  <c r="L157" i="25"/>
  <c r="R142" i="25"/>
  <c r="L145" i="25"/>
  <c r="R144" i="25"/>
  <c r="AH142" i="29"/>
  <c r="U141" i="29"/>
  <c r="AF141" i="29" s="1"/>
  <c r="U139" i="29"/>
  <c r="Z139" i="29" s="1"/>
  <c r="Z140" i="28"/>
  <c r="Z145" i="28"/>
  <c r="U139" i="28"/>
  <c r="Z139" i="28" s="1"/>
  <c r="X141" i="28"/>
  <c r="U143" i="28"/>
  <c r="X145" i="28"/>
  <c r="X139" i="27"/>
  <c r="U139" i="27"/>
  <c r="Z139" i="27" s="1"/>
  <c r="U141" i="27"/>
  <c r="AF141" i="27" s="1"/>
  <c r="U143" i="27"/>
  <c r="Z143" i="27" s="1"/>
  <c r="U141" i="26"/>
  <c r="AF141" i="26" s="1"/>
  <c r="U143" i="26"/>
  <c r="Z143" i="26" s="1"/>
  <c r="X139" i="26"/>
  <c r="Z140" i="25"/>
  <c r="U141" i="25"/>
  <c r="AF141" i="25" s="1"/>
  <c r="R143" i="25"/>
  <c r="U145" i="25"/>
  <c r="AF145" i="25" s="1"/>
  <c r="G9" i="23"/>
  <c r="G8" i="23"/>
  <c r="G7" i="23"/>
  <c r="C4" i="34"/>
  <c r="C3" i="34"/>
  <c r="C2" i="34"/>
  <c r="C5" i="34"/>
  <c r="K75" i="34"/>
  <c r="L75" i="34"/>
  <c r="M75" i="34"/>
  <c r="N75" i="34"/>
  <c r="J75" i="34"/>
  <c r="H10" i="25" s="1"/>
  <c r="J71" i="34"/>
  <c r="H5" i="25" s="1"/>
  <c r="K71" i="34"/>
  <c r="L71" i="34"/>
  <c r="M71" i="34"/>
  <c r="N71" i="34"/>
  <c r="J72" i="34"/>
  <c r="H6" i="25" s="1"/>
  <c r="K72" i="34"/>
  <c r="L72" i="34"/>
  <c r="M72" i="34"/>
  <c r="N72" i="34"/>
  <c r="J73" i="34"/>
  <c r="H8" i="25" s="1"/>
  <c r="K73" i="34"/>
  <c r="L73" i="34"/>
  <c r="M73" i="34"/>
  <c r="N73" i="34"/>
  <c r="J74" i="34"/>
  <c r="H7" i="25" s="1"/>
  <c r="K74" i="34"/>
  <c r="L74" i="34"/>
  <c r="M74" i="34"/>
  <c r="N74" i="34"/>
  <c r="K70" i="34"/>
  <c r="L70" i="34"/>
  <c r="M70" i="34"/>
  <c r="N70" i="34"/>
  <c r="J70" i="34"/>
  <c r="H4" i="25" s="1"/>
  <c r="K69" i="34"/>
  <c r="L69" i="34"/>
  <c r="M69" i="34"/>
  <c r="N69" i="34"/>
  <c r="J69" i="34"/>
  <c r="H9" i="25" s="1"/>
  <c r="K67" i="34"/>
  <c r="L67" i="34"/>
  <c r="M67" i="34"/>
  <c r="N67" i="34"/>
  <c r="K68" i="34"/>
  <c r="L68" i="34"/>
  <c r="M68" i="34"/>
  <c r="N68" i="34"/>
  <c r="J68" i="34"/>
  <c r="H23" i="25" s="1"/>
  <c r="J67" i="34"/>
  <c r="H22" i="25" s="1"/>
  <c r="J66" i="34"/>
  <c r="H12" i="25" s="1"/>
  <c r="J52" i="34"/>
  <c r="H24" i="25" s="1"/>
  <c r="K52" i="34"/>
  <c r="L52" i="34"/>
  <c r="M52" i="34"/>
  <c r="N52" i="34"/>
  <c r="J53" i="34"/>
  <c r="H21" i="25" s="1"/>
  <c r="K53" i="34"/>
  <c r="L53" i="34"/>
  <c r="M53" i="34"/>
  <c r="N53" i="34"/>
  <c r="J54" i="34"/>
  <c r="H17" i="25" s="1"/>
  <c r="K54" i="34"/>
  <c r="L54" i="34"/>
  <c r="M54" i="34"/>
  <c r="N54" i="34"/>
  <c r="J55" i="34"/>
  <c r="H25" i="25" s="1"/>
  <c r="K55" i="34"/>
  <c r="L55" i="34"/>
  <c r="M55" i="34"/>
  <c r="N55" i="34"/>
  <c r="J56" i="34"/>
  <c r="H15" i="25" s="1"/>
  <c r="K56" i="34"/>
  <c r="L56" i="34"/>
  <c r="M56" i="34"/>
  <c r="N56" i="34"/>
  <c r="J57" i="34"/>
  <c r="H18" i="25" s="1"/>
  <c r="K57" i="34"/>
  <c r="L57" i="34"/>
  <c r="M57" i="34"/>
  <c r="N57" i="34"/>
  <c r="J58" i="34"/>
  <c r="H26" i="25" s="1"/>
  <c r="K58" i="34"/>
  <c r="L58" i="34"/>
  <c r="M58" i="34"/>
  <c r="N58" i="34"/>
  <c r="J59" i="34"/>
  <c r="H19" i="25" s="1"/>
  <c r="K59" i="34"/>
  <c r="L59" i="34"/>
  <c r="M59" i="34"/>
  <c r="N59" i="34"/>
  <c r="J60" i="34"/>
  <c r="H27" i="25" s="1"/>
  <c r="K60" i="34"/>
  <c r="L60" i="34"/>
  <c r="M60" i="34"/>
  <c r="N60" i="34"/>
  <c r="J61" i="34"/>
  <c r="H14" i="25" s="1"/>
  <c r="K61" i="34"/>
  <c r="L61" i="34"/>
  <c r="M61" i="34"/>
  <c r="N61" i="34"/>
  <c r="J62" i="34"/>
  <c r="H11" i="25" s="1"/>
  <c r="K62" i="34"/>
  <c r="L62" i="34"/>
  <c r="M62" i="34"/>
  <c r="N62" i="34"/>
  <c r="J63" i="34"/>
  <c r="H13" i="25" s="1"/>
  <c r="K63" i="34"/>
  <c r="L63" i="34"/>
  <c r="M63" i="34"/>
  <c r="N63" i="34"/>
  <c r="J64" i="34"/>
  <c r="H28" i="25" s="1"/>
  <c r="K64" i="34"/>
  <c r="L64" i="34"/>
  <c r="M64" i="34"/>
  <c r="N64" i="34"/>
  <c r="J65" i="34"/>
  <c r="H20" i="25" s="1"/>
  <c r="K65" i="34"/>
  <c r="L65" i="34"/>
  <c r="M65" i="34"/>
  <c r="N65" i="34"/>
  <c r="K66" i="34"/>
  <c r="L66" i="34"/>
  <c r="M66" i="34"/>
  <c r="N66" i="34"/>
  <c r="K51" i="34"/>
  <c r="L51" i="34"/>
  <c r="M51" i="34"/>
  <c r="N51" i="34"/>
  <c r="J51" i="34"/>
  <c r="H16" i="25" s="1"/>
  <c r="H36" i="34"/>
  <c r="I36" i="34"/>
  <c r="J36" i="34"/>
  <c r="K36" i="34"/>
  <c r="L36" i="34"/>
  <c r="H37" i="34"/>
  <c r="I37" i="34"/>
  <c r="J37" i="34"/>
  <c r="K37" i="34"/>
  <c r="L37" i="34"/>
  <c r="I34" i="34"/>
  <c r="J34" i="34"/>
  <c r="K34" i="34"/>
  <c r="L34" i="34"/>
  <c r="H34" i="34"/>
  <c r="H11" i="34"/>
  <c r="I11" i="34"/>
  <c r="J11" i="34"/>
  <c r="K11" i="34"/>
  <c r="L11" i="34"/>
  <c r="H12" i="34"/>
  <c r="I12" i="34"/>
  <c r="J12" i="34"/>
  <c r="K12" i="34"/>
  <c r="L12" i="34"/>
  <c r="H13" i="34"/>
  <c r="I13" i="34"/>
  <c r="J13" i="34"/>
  <c r="K13" i="34"/>
  <c r="L13" i="34"/>
  <c r="I10" i="34"/>
  <c r="J10" i="34"/>
  <c r="K10" i="34"/>
  <c r="K15" i="34" s="1"/>
  <c r="L10" i="34"/>
  <c r="H10" i="34"/>
  <c r="B34" i="34"/>
  <c r="B76" i="34"/>
  <c r="B27" i="34"/>
  <c r="B35" i="34" s="1"/>
  <c r="B28" i="34"/>
  <c r="B36" i="34" s="1"/>
  <c r="B29" i="34"/>
  <c r="B37" i="34" s="1"/>
  <c r="C19" i="34"/>
  <c r="C27" i="34" s="1"/>
  <c r="C35" i="34" s="1"/>
  <c r="D19" i="34"/>
  <c r="D27" i="34" s="1"/>
  <c r="D35" i="34" s="1"/>
  <c r="E19" i="34"/>
  <c r="E27" i="34" s="1"/>
  <c r="E35" i="34" s="1"/>
  <c r="F19" i="34"/>
  <c r="F27" i="34" s="1"/>
  <c r="F35" i="34" s="1"/>
  <c r="C20" i="34"/>
  <c r="C28" i="34" s="1"/>
  <c r="C36" i="34" s="1"/>
  <c r="D20" i="34"/>
  <c r="D28" i="34" s="1"/>
  <c r="D36" i="34" s="1"/>
  <c r="E20" i="34"/>
  <c r="E28" i="34" s="1"/>
  <c r="E36" i="34" s="1"/>
  <c r="F20" i="34"/>
  <c r="F28" i="34" s="1"/>
  <c r="F36" i="34" s="1"/>
  <c r="C21" i="34"/>
  <c r="C29" i="34" s="1"/>
  <c r="C37" i="34" s="1"/>
  <c r="D29" i="34"/>
  <c r="D37" i="34" s="1"/>
  <c r="E29" i="34"/>
  <c r="E37" i="34" s="1"/>
  <c r="F29" i="34"/>
  <c r="F37" i="34" s="1"/>
  <c r="D18" i="34"/>
  <c r="D26" i="34" s="1"/>
  <c r="D34" i="34" s="1"/>
  <c r="E18" i="34"/>
  <c r="E26" i="34" s="1"/>
  <c r="E34" i="34" s="1"/>
  <c r="F18" i="34"/>
  <c r="F26" i="34" s="1"/>
  <c r="F34" i="34" s="1"/>
  <c r="C18" i="34"/>
  <c r="C26" i="34" s="1"/>
  <c r="C34" i="34" s="1"/>
  <c r="AH153" i="29" l="1"/>
  <c r="AH152" i="29"/>
  <c r="AH159" i="29"/>
  <c r="AH161" i="27"/>
  <c r="AH142" i="27"/>
  <c r="AH145" i="27"/>
  <c r="AH144" i="27"/>
  <c r="AH152" i="27"/>
  <c r="AH144" i="26"/>
  <c r="AH140" i="25"/>
  <c r="R139" i="25"/>
  <c r="AH151" i="29"/>
  <c r="AH141" i="29"/>
  <c r="Z141" i="29"/>
  <c r="AH160" i="29"/>
  <c r="AH139" i="29"/>
  <c r="AJ139" i="29" s="1"/>
  <c r="AJ140" i="29" s="1"/>
  <c r="AJ141" i="29" s="1"/>
  <c r="AJ142" i="29" s="1"/>
  <c r="AJ143" i="29" s="1"/>
  <c r="AJ144" i="29" s="1"/>
  <c r="AJ145" i="29" s="1"/>
  <c r="AJ146" i="29" s="1"/>
  <c r="AJ147" i="29" s="1"/>
  <c r="AJ148" i="29" s="1"/>
  <c r="AJ149" i="29" s="1"/>
  <c r="AH162" i="29"/>
  <c r="AF143" i="29"/>
  <c r="AH147" i="29"/>
  <c r="AF139" i="29"/>
  <c r="Z142" i="29"/>
  <c r="AF142" i="29"/>
  <c r="AH144" i="29"/>
  <c r="G164" i="29"/>
  <c r="AH143" i="29"/>
  <c r="AF144" i="29"/>
  <c r="AH143" i="28"/>
  <c r="AH142" i="28"/>
  <c r="AH140" i="28"/>
  <c r="AJ140" i="28"/>
  <c r="AH147" i="28"/>
  <c r="AH161" i="28"/>
  <c r="AH139" i="26"/>
  <c r="AJ139" i="26" s="1"/>
  <c r="AH154" i="26"/>
  <c r="AH162" i="26"/>
  <c r="AH146" i="26"/>
  <c r="AD145" i="25"/>
  <c r="AH155" i="25"/>
  <c r="AD144" i="25"/>
  <c r="AH163" i="25"/>
  <c r="G164" i="25"/>
  <c r="AH159" i="27"/>
  <c r="AH141" i="27"/>
  <c r="AH158" i="28"/>
  <c r="AH162" i="28"/>
  <c r="Z143" i="28"/>
  <c r="AF143" i="28"/>
  <c r="AH146" i="28"/>
  <c r="Z142" i="28"/>
  <c r="AH144" i="28"/>
  <c r="AH157" i="28"/>
  <c r="AH154" i="28"/>
  <c r="AF139" i="28"/>
  <c r="AH156" i="28"/>
  <c r="AH146" i="27"/>
  <c r="AH160" i="27"/>
  <c r="AH150" i="27"/>
  <c r="Z142" i="27"/>
  <c r="AF142" i="27"/>
  <c r="AF143" i="27"/>
  <c r="AH157" i="27"/>
  <c r="AH140" i="27"/>
  <c r="AJ140" i="27" s="1"/>
  <c r="AF145" i="27"/>
  <c r="AH154" i="27"/>
  <c r="AH148" i="27"/>
  <c r="AH151" i="27"/>
  <c r="AF139" i="27"/>
  <c r="AH158" i="27"/>
  <c r="AH148" i="26"/>
  <c r="Z142" i="26"/>
  <c r="AH143" i="26"/>
  <c r="AH163" i="26"/>
  <c r="AH151" i="26"/>
  <c r="AH150" i="26"/>
  <c r="AH158" i="26"/>
  <c r="AH161" i="26"/>
  <c r="AF143" i="26"/>
  <c r="AH143" i="25"/>
  <c r="Z145" i="25"/>
  <c r="AE145" i="25"/>
  <c r="AH153" i="25"/>
  <c r="AH156" i="25"/>
  <c r="AH139" i="25"/>
  <c r="AJ139" i="25" s="1"/>
  <c r="AE143" i="25"/>
  <c r="AD143" i="25"/>
  <c r="Z144" i="25"/>
  <c r="AF144" i="25"/>
  <c r="AF143" i="25"/>
  <c r="Z141" i="25"/>
  <c r="AA141" i="25" s="1"/>
  <c r="AB141" i="25" s="1"/>
  <c r="AD141" i="25"/>
  <c r="AH161" i="25"/>
  <c r="AE141" i="25"/>
  <c r="AH157" i="25"/>
  <c r="AH152" i="25"/>
  <c r="G108" i="26"/>
  <c r="G110" i="26"/>
  <c r="AH108" i="26" s="1"/>
  <c r="G98" i="26"/>
  <c r="G115" i="26"/>
  <c r="G116" i="26"/>
  <c r="G102" i="26"/>
  <c r="G97" i="26"/>
  <c r="G105" i="26"/>
  <c r="G109" i="26"/>
  <c r="G112" i="26"/>
  <c r="G100" i="26"/>
  <c r="AH118" i="26" s="1"/>
  <c r="G114" i="26"/>
  <c r="G117" i="26"/>
  <c r="G113" i="26"/>
  <c r="G106" i="26"/>
  <c r="G96" i="26"/>
  <c r="G111" i="26"/>
  <c r="G104" i="26"/>
  <c r="AH104" i="26" s="1"/>
  <c r="G99" i="26"/>
  <c r="AH112" i="26" s="1"/>
  <c r="G95" i="26"/>
  <c r="G107" i="26"/>
  <c r="G101" i="26"/>
  <c r="G94" i="26"/>
  <c r="G103" i="26"/>
  <c r="G118" i="26"/>
  <c r="H28" i="28"/>
  <c r="N28" i="28" s="1"/>
  <c r="H118" i="28"/>
  <c r="H163" i="28"/>
  <c r="H73" i="28"/>
  <c r="N73" i="28" s="1"/>
  <c r="G62" i="29"/>
  <c r="G56" i="29"/>
  <c r="G49" i="29"/>
  <c r="G70" i="29"/>
  <c r="AH70" i="29" s="1"/>
  <c r="G58" i="29"/>
  <c r="AH58" i="29" s="1"/>
  <c r="G50" i="29"/>
  <c r="AH69" i="29" s="1"/>
  <c r="G60" i="29"/>
  <c r="AH60" i="29" s="1"/>
  <c r="G73" i="29"/>
  <c r="G51" i="29"/>
  <c r="G71" i="29"/>
  <c r="G57" i="29"/>
  <c r="AH57" i="29" s="1"/>
  <c r="G52" i="29"/>
  <c r="AH72" i="29" s="1"/>
  <c r="G64" i="29"/>
  <c r="AH64" i="29" s="1"/>
  <c r="G68" i="29"/>
  <c r="G55" i="29"/>
  <c r="AH73" i="29" s="1"/>
  <c r="G67" i="29"/>
  <c r="G72" i="29"/>
  <c r="G69" i="29"/>
  <c r="G61" i="29"/>
  <c r="G63" i="29"/>
  <c r="G59" i="29"/>
  <c r="AH59" i="29" s="1"/>
  <c r="G65" i="29"/>
  <c r="G66" i="29"/>
  <c r="AH51" i="29" s="1"/>
  <c r="G54" i="29"/>
  <c r="AH54" i="29" s="1"/>
  <c r="G53" i="29"/>
  <c r="G107" i="25"/>
  <c r="G101" i="25"/>
  <c r="G94" i="25"/>
  <c r="G117" i="25"/>
  <c r="G99" i="25"/>
  <c r="AH99" i="25" s="1"/>
  <c r="G115" i="25"/>
  <c r="G103" i="25"/>
  <c r="G95" i="25"/>
  <c r="G104" i="25"/>
  <c r="AH104" i="25" s="1"/>
  <c r="G105" i="25"/>
  <c r="AH105" i="25" s="1"/>
  <c r="G118" i="25"/>
  <c r="G96" i="25"/>
  <c r="AH115" i="25" s="1"/>
  <c r="G111" i="25"/>
  <c r="G108" i="25"/>
  <c r="G110" i="25"/>
  <c r="AH110" i="25" s="1"/>
  <c r="G98" i="25"/>
  <c r="G113" i="25"/>
  <c r="G116" i="25"/>
  <c r="AH116" i="25" s="1"/>
  <c r="G102" i="25"/>
  <c r="G97" i="25"/>
  <c r="AH117" i="25" s="1"/>
  <c r="G114" i="25"/>
  <c r="AH114" i="25" s="1"/>
  <c r="G106" i="25"/>
  <c r="G109" i="25"/>
  <c r="AH109" i="25" s="1"/>
  <c r="G112" i="25"/>
  <c r="G100" i="25"/>
  <c r="H12" i="26"/>
  <c r="L12" i="26" s="1"/>
  <c r="H102" i="26"/>
  <c r="H57" i="26"/>
  <c r="H147" i="26"/>
  <c r="H28" i="27"/>
  <c r="H163" i="27"/>
  <c r="H118" i="27"/>
  <c r="H73" i="27"/>
  <c r="H11" i="29"/>
  <c r="N11" i="29" s="1"/>
  <c r="H146" i="29"/>
  <c r="H101" i="29"/>
  <c r="H56" i="29"/>
  <c r="N56" i="29" s="1"/>
  <c r="H14" i="26"/>
  <c r="H59" i="26"/>
  <c r="N59" i="26" s="1"/>
  <c r="H149" i="26"/>
  <c r="H104" i="26"/>
  <c r="H19" i="28"/>
  <c r="N19" i="28" s="1"/>
  <c r="H64" i="28"/>
  <c r="H109" i="28"/>
  <c r="L109" i="28" s="1"/>
  <c r="H154" i="28"/>
  <c r="H15" i="27"/>
  <c r="H150" i="27"/>
  <c r="H105" i="27"/>
  <c r="H60" i="27"/>
  <c r="H17" i="29"/>
  <c r="N17" i="29" s="1"/>
  <c r="H152" i="29"/>
  <c r="H107" i="29"/>
  <c r="H62" i="29"/>
  <c r="N62" i="29" s="1"/>
  <c r="H21" i="26"/>
  <c r="H66" i="26"/>
  <c r="N66" i="26" s="1"/>
  <c r="H156" i="26"/>
  <c r="H111" i="26"/>
  <c r="H22" i="27"/>
  <c r="N22" i="27" s="1"/>
  <c r="H157" i="27"/>
  <c r="H112" i="27"/>
  <c r="N112" i="27" s="1"/>
  <c r="H67" i="27"/>
  <c r="H4" i="29"/>
  <c r="N4" i="29" s="1"/>
  <c r="H139" i="29"/>
  <c r="H94" i="29"/>
  <c r="H49" i="29"/>
  <c r="H6" i="27"/>
  <c r="N6" i="27" s="1"/>
  <c r="H141" i="27"/>
  <c r="H96" i="27"/>
  <c r="N96" i="27" s="1"/>
  <c r="AE96" i="27" s="1"/>
  <c r="H51" i="27"/>
  <c r="AH153" i="26"/>
  <c r="AH155" i="26"/>
  <c r="AH157" i="26"/>
  <c r="H14" i="27"/>
  <c r="N14" i="27" s="1"/>
  <c r="H104" i="27"/>
  <c r="H59" i="27"/>
  <c r="N59" i="27" s="1"/>
  <c r="H149" i="27"/>
  <c r="H21" i="27"/>
  <c r="H111" i="27"/>
  <c r="H66" i="27"/>
  <c r="H156" i="27"/>
  <c r="G62" i="28"/>
  <c r="G56" i="28"/>
  <c r="G49" i="28"/>
  <c r="G70" i="28"/>
  <c r="G58" i="28"/>
  <c r="G50" i="28"/>
  <c r="G60" i="28"/>
  <c r="G73" i="28"/>
  <c r="AH62" i="28" s="1"/>
  <c r="G51" i="28"/>
  <c r="G54" i="28"/>
  <c r="G63" i="28"/>
  <c r="G65" i="28"/>
  <c r="G53" i="28"/>
  <c r="G69" i="28"/>
  <c r="G68" i="28"/>
  <c r="AH68" i="28" s="1"/>
  <c r="G59" i="28"/>
  <c r="AH59" i="28" s="1"/>
  <c r="G71" i="28"/>
  <c r="G57" i="28"/>
  <c r="G52" i="28"/>
  <c r="G72" i="28"/>
  <c r="G61" i="28"/>
  <c r="G66" i="28"/>
  <c r="G64" i="28"/>
  <c r="G67" i="28"/>
  <c r="G55" i="28"/>
  <c r="G66" i="25"/>
  <c r="AH66" i="25" s="1"/>
  <c r="G59" i="25"/>
  <c r="G54" i="25"/>
  <c r="G62" i="25"/>
  <c r="G56" i="25"/>
  <c r="AH56" i="25" s="1"/>
  <c r="G49" i="25"/>
  <c r="G55" i="25"/>
  <c r="G70" i="25"/>
  <c r="G58" i="25"/>
  <c r="G50" i="25"/>
  <c r="G67" i="25"/>
  <c r="G68" i="25"/>
  <c r="G60" i="25"/>
  <c r="AH60" i="25" s="1"/>
  <c r="G73" i="25"/>
  <c r="G51" i="25"/>
  <c r="G72" i="25"/>
  <c r="G63" i="25"/>
  <c r="AH55" i="25" s="1"/>
  <c r="G65" i="25"/>
  <c r="G53" i="25"/>
  <c r="G69" i="25"/>
  <c r="G71" i="25"/>
  <c r="G57" i="25"/>
  <c r="G52" i="25"/>
  <c r="G64" i="25"/>
  <c r="G61" i="25"/>
  <c r="AH61" i="25" s="1"/>
  <c r="H16" i="29"/>
  <c r="L16" i="29" s="1"/>
  <c r="H151" i="29"/>
  <c r="H106" i="29"/>
  <c r="L106" i="29" s="1"/>
  <c r="H61" i="29"/>
  <c r="N61" i="29" s="1"/>
  <c r="H20" i="29"/>
  <c r="N20" i="29" s="1"/>
  <c r="H155" i="29"/>
  <c r="H110" i="29"/>
  <c r="H65" i="29"/>
  <c r="N65" i="29" s="1"/>
  <c r="H28" i="26"/>
  <c r="H163" i="26"/>
  <c r="H118" i="26"/>
  <c r="L118" i="26" s="1"/>
  <c r="H73" i="26"/>
  <c r="H11" i="28"/>
  <c r="L11" i="28" s="1"/>
  <c r="H56" i="28"/>
  <c r="N56" i="28" s="1"/>
  <c r="H101" i="28"/>
  <c r="H146" i="28"/>
  <c r="H19" i="27"/>
  <c r="N19" i="27" s="1"/>
  <c r="H154" i="27"/>
  <c r="H109" i="27"/>
  <c r="H64" i="27"/>
  <c r="L64" i="27" s="1"/>
  <c r="H18" i="29"/>
  <c r="N18" i="29" s="1"/>
  <c r="H153" i="29"/>
  <c r="H108" i="29"/>
  <c r="H63" i="29"/>
  <c r="N63" i="29" s="1"/>
  <c r="H15" i="26"/>
  <c r="H150" i="26"/>
  <c r="H105" i="26"/>
  <c r="L105" i="26" s="1"/>
  <c r="H60" i="26"/>
  <c r="H17" i="28"/>
  <c r="L17" i="28" s="1"/>
  <c r="H62" i="28"/>
  <c r="L62" i="28" s="1"/>
  <c r="H107" i="28"/>
  <c r="H152" i="28"/>
  <c r="H22" i="26"/>
  <c r="H157" i="26"/>
  <c r="H112" i="26"/>
  <c r="N112" i="26" s="1"/>
  <c r="H67" i="26"/>
  <c r="H4" i="28"/>
  <c r="N4" i="28" s="1"/>
  <c r="H49" i="28"/>
  <c r="N49" i="28" s="1"/>
  <c r="H94" i="28"/>
  <c r="N94" i="28" s="1"/>
  <c r="H139" i="28"/>
  <c r="H8" i="29"/>
  <c r="N8" i="29" s="1"/>
  <c r="H143" i="29"/>
  <c r="H98" i="29"/>
  <c r="N98" i="29" s="1"/>
  <c r="H53" i="29"/>
  <c r="L53" i="29" s="1"/>
  <c r="H6" i="26"/>
  <c r="N6" i="26" s="1"/>
  <c r="H141" i="26"/>
  <c r="H96" i="26"/>
  <c r="H51" i="26"/>
  <c r="N51" i="26" s="1"/>
  <c r="H10" i="29"/>
  <c r="N10" i="29" s="1"/>
  <c r="H100" i="29"/>
  <c r="H55" i="29"/>
  <c r="N55" i="29" s="1"/>
  <c r="H145" i="29"/>
  <c r="AH153" i="28"/>
  <c r="AH155" i="28"/>
  <c r="AH148" i="25"/>
  <c r="I35" i="34"/>
  <c r="I39" i="34" s="1"/>
  <c r="G25" i="26"/>
  <c r="G13" i="26"/>
  <c r="G5" i="26"/>
  <c r="G15" i="26"/>
  <c r="G28" i="26"/>
  <c r="G6" i="26"/>
  <c r="G9" i="26"/>
  <c r="G18" i="26"/>
  <c r="G20" i="26"/>
  <c r="G8" i="26"/>
  <c r="G21" i="26"/>
  <c r="G26" i="26"/>
  <c r="G12" i="26"/>
  <c r="G7" i="26"/>
  <c r="G17" i="26"/>
  <c r="G19" i="26"/>
  <c r="G22" i="26"/>
  <c r="G10" i="26"/>
  <c r="G11" i="26"/>
  <c r="G24" i="26"/>
  <c r="G27" i="26"/>
  <c r="G23" i="26"/>
  <c r="G16" i="26"/>
  <c r="G14" i="26"/>
  <c r="G4" i="26"/>
  <c r="H19" i="29"/>
  <c r="H109" i="29"/>
  <c r="N109" i="29" s="1"/>
  <c r="H64" i="29"/>
  <c r="N64" i="29" s="1"/>
  <c r="H154" i="29"/>
  <c r="H7" i="26"/>
  <c r="N7" i="26" s="1"/>
  <c r="H97" i="26"/>
  <c r="H52" i="26"/>
  <c r="N52" i="26" s="1"/>
  <c r="H142" i="26"/>
  <c r="H35" i="34"/>
  <c r="G24" i="25"/>
  <c r="G27" i="25"/>
  <c r="G23" i="25"/>
  <c r="G16" i="25"/>
  <c r="G7" i="25"/>
  <c r="G10" i="25"/>
  <c r="G21" i="25"/>
  <c r="G14" i="25"/>
  <c r="G9" i="25"/>
  <c r="G19" i="25"/>
  <c r="G17" i="25"/>
  <c r="G11" i="25"/>
  <c r="G4" i="25"/>
  <c r="G22" i="25"/>
  <c r="G25" i="25"/>
  <c r="G13" i="25"/>
  <c r="G5" i="25"/>
  <c r="G26" i="25"/>
  <c r="G15" i="25"/>
  <c r="G28" i="25"/>
  <c r="G6" i="25"/>
  <c r="G12" i="25"/>
  <c r="G18" i="25"/>
  <c r="G20" i="25"/>
  <c r="G8" i="25"/>
  <c r="H11" i="27"/>
  <c r="H146" i="27"/>
  <c r="H101" i="27"/>
  <c r="H56" i="27"/>
  <c r="H18" i="28"/>
  <c r="N18" i="28" s="1"/>
  <c r="H63" i="28"/>
  <c r="H108" i="28"/>
  <c r="L108" i="28" s="1"/>
  <c r="H153" i="28"/>
  <c r="H10" i="28"/>
  <c r="H55" i="28"/>
  <c r="N55" i="28" s="1"/>
  <c r="H100" i="28"/>
  <c r="H145" i="28"/>
  <c r="AH150" i="29"/>
  <c r="AH146" i="29"/>
  <c r="G60" i="26"/>
  <c r="G73" i="26"/>
  <c r="AH62" i="26" s="1"/>
  <c r="G51" i="26"/>
  <c r="G50" i="26"/>
  <c r="AH50" i="26" s="1"/>
  <c r="G63" i="26"/>
  <c r="AH55" i="26" s="1"/>
  <c r="G65" i="26"/>
  <c r="G53" i="26"/>
  <c r="AH54" i="26" s="1"/>
  <c r="G71" i="26"/>
  <c r="G57" i="26"/>
  <c r="G52" i="26"/>
  <c r="AH52" i="26" s="1"/>
  <c r="G58" i="26"/>
  <c r="G64" i="26"/>
  <c r="AH64" i="26" s="1"/>
  <c r="G67" i="26"/>
  <c r="AH65" i="26" s="1"/>
  <c r="G55" i="26"/>
  <c r="G62" i="26"/>
  <c r="G49" i="26"/>
  <c r="G69" i="26"/>
  <c r="G72" i="26"/>
  <c r="AH58" i="26" s="1"/>
  <c r="G68" i="26"/>
  <c r="G61" i="26"/>
  <c r="AH61" i="26" s="1"/>
  <c r="G56" i="26"/>
  <c r="G70" i="26"/>
  <c r="G66" i="26"/>
  <c r="G59" i="26"/>
  <c r="G54" i="26"/>
  <c r="H16" i="27"/>
  <c r="H61" i="27"/>
  <c r="N61" i="27" s="1"/>
  <c r="H151" i="27"/>
  <c r="H106" i="27"/>
  <c r="H20" i="27"/>
  <c r="N20" i="27" s="1"/>
  <c r="H155" i="27"/>
  <c r="H65" i="27"/>
  <c r="L65" i="27" s="1"/>
  <c r="H110" i="27"/>
  <c r="L110" i="27" s="1"/>
  <c r="H13" i="29"/>
  <c r="N13" i="29" s="1"/>
  <c r="H148" i="29"/>
  <c r="H58" i="29"/>
  <c r="N58" i="29" s="1"/>
  <c r="H103" i="29"/>
  <c r="H11" i="26"/>
  <c r="H56" i="26"/>
  <c r="N56" i="26" s="1"/>
  <c r="H146" i="26"/>
  <c r="H101" i="26"/>
  <c r="N101" i="26" s="1"/>
  <c r="H27" i="28"/>
  <c r="H72" i="28"/>
  <c r="H162" i="28"/>
  <c r="H117" i="28"/>
  <c r="H18" i="27"/>
  <c r="N18" i="27" s="1"/>
  <c r="H153" i="27"/>
  <c r="H63" i="27"/>
  <c r="N63" i="27" s="1"/>
  <c r="H108" i="27"/>
  <c r="L108" i="27" s="1"/>
  <c r="H25" i="29"/>
  <c r="L25" i="29" s="1"/>
  <c r="H160" i="29"/>
  <c r="H70" i="29"/>
  <c r="N70" i="29" s="1"/>
  <c r="H115" i="29"/>
  <c r="H17" i="26"/>
  <c r="H62" i="26"/>
  <c r="N62" i="26" s="1"/>
  <c r="H152" i="26"/>
  <c r="H107" i="26"/>
  <c r="N107" i="26" s="1"/>
  <c r="H24" i="28"/>
  <c r="H69" i="28"/>
  <c r="H159" i="28"/>
  <c r="H114" i="28"/>
  <c r="H23" i="28"/>
  <c r="N23" i="28" s="1"/>
  <c r="H68" i="28"/>
  <c r="N68" i="28" s="1"/>
  <c r="H158" i="28"/>
  <c r="H113" i="28"/>
  <c r="N113" i="28" s="1"/>
  <c r="H9" i="29"/>
  <c r="L9" i="29" s="1"/>
  <c r="H144" i="29"/>
  <c r="H99" i="29"/>
  <c r="L99" i="29" s="1"/>
  <c r="H54" i="29"/>
  <c r="H4" i="26"/>
  <c r="H49" i="26"/>
  <c r="N49" i="26" s="1"/>
  <c r="H139" i="26"/>
  <c r="H94" i="26"/>
  <c r="L94" i="26" s="1"/>
  <c r="H8" i="27"/>
  <c r="H143" i="27"/>
  <c r="H53" i="27"/>
  <c r="N53" i="27" s="1"/>
  <c r="H98" i="27"/>
  <c r="H5" i="29"/>
  <c r="H140" i="29"/>
  <c r="H50" i="29"/>
  <c r="N50" i="29" s="1"/>
  <c r="H95" i="29"/>
  <c r="H10" i="27"/>
  <c r="H145" i="27"/>
  <c r="H100" i="27"/>
  <c r="N100" i="27" s="1"/>
  <c r="H55" i="27"/>
  <c r="AH155" i="27"/>
  <c r="AH151" i="28"/>
  <c r="AH148" i="28"/>
  <c r="AH160" i="28"/>
  <c r="AH141" i="28"/>
  <c r="AJ141" i="28" s="1"/>
  <c r="AJ142" i="28" s="1"/>
  <c r="AJ143" i="28" s="1"/>
  <c r="AH163" i="29"/>
  <c r="H26" i="26"/>
  <c r="L26" i="26" s="1"/>
  <c r="H116" i="26"/>
  <c r="N116" i="26" s="1"/>
  <c r="H71" i="26"/>
  <c r="L71" i="26" s="1"/>
  <c r="H161" i="26"/>
  <c r="H22" i="28"/>
  <c r="H67" i="28"/>
  <c r="L67" i="28" s="1"/>
  <c r="H112" i="28"/>
  <c r="N112" i="28" s="1"/>
  <c r="H157" i="28"/>
  <c r="H23" i="29"/>
  <c r="N23" i="29" s="1"/>
  <c r="H159" i="29"/>
  <c r="H114" i="29"/>
  <c r="L114" i="29" s="1"/>
  <c r="H69" i="29"/>
  <c r="H8" i="28"/>
  <c r="H53" i="28"/>
  <c r="N53" i="28" s="1"/>
  <c r="H98" i="28"/>
  <c r="N98" i="28" s="1"/>
  <c r="H143" i="28"/>
  <c r="G107" i="29"/>
  <c r="AH107" i="29" s="1"/>
  <c r="G115" i="29"/>
  <c r="G103" i="29"/>
  <c r="G95" i="29"/>
  <c r="G105" i="29"/>
  <c r="G118" i="29"/>
  <c r="G96" i="29"/>
  <c r="AH115" i="29" s="1"/>
  <c r="G108" i="29"/>
  <c r="G110" i="29"/>
  <c r="G98" i="29"/>
  <c r="G109" i="29"/>
  <c r="G113" i="29"/>
  <c r="G100" i="29"/>
  <c r="G112" i="29"/>
  <c r="G117" i="29"/>
  <c r="G114" i="29"/>
  <c r="AH111" i="29" s="1"/>
  <c r="G106" i="29"/>
  <c r="AH106" i="29" s="1"/>
  <c r="G111" i="29"/>
  <c r="G104" i="29"/>
  <c r="G99" i="29"/>
  <c r="G116" i="29"/>
  <c r="G101" i="29"/>
  <c r="G102" i="29"/>
  <c r="G97" i="29"/>
  <c r="G94" i="29"/>
  <c r="AH94" i="29" s="1"/>
  <c r="AJ94" i="29" s="1"/>
  <c r="L35" i="34"/>
  <c r="G21" i="29"/>
  <c r="G14" i="29"/>
  <c r="G17" i="29"/>
  <c r="G11" i="29"/>
  <c r="G25" i="29"/>
  <c r="G13" i="29"/>
  <c r="G26" i="29"/>
  <c r="G19" i="29"/>
  <c r="G22" i="29"/>
  <c r="G27" i="29"/>
  <c r="G6" i="29"/>
  <c r="G28" i="29"/>
  <c r="G8" i="29"/>
  <c r="G20" i="29"/>
  <c r="G7" i="29"/>
  <c r="G12" i="29"/>
  <c r="G10" i="29"/>
  <c r="G15" i="29"/>
  <c r="G4" i="29"/>
  <c r="G5" i="29"/>
  <c r="G23" i="29"/>
  <c r="G16" i="29"/>
  <c r="G18" i="29"/>
  <c r="G24" i="29"/>
  <c r="G9" i="29"/>
  <c r="H16" i="26"/>
  <c r="H61" i="26"/>
  <c r="H151" i="26"/>
  <c r="H106" i="26"/>
  <c r="N106" i="26" s="1"/>
  <c r="H20" i="26"/>
  <c r="L20" i="26" s="1"/>
  <c r="H65" i="26"/>
  <c r="N65" i="26" s="1"/>
  <c r="H155" i="26"/>
  <c r="H110" i="26"/>
  <c r="N110" i="26" s="1"/>
  <c r="H13" i="28"/>
  <c r="H148" i="28"/>
  <c r="H58" i="28"/>
  <c r="N58" i="28" s="1"/>
  <c r="H103" i="28"/>
  <c r="N103" i="28" s="1"/>
  <c r="H27" i="27"/>
  <c r="N27" i="27" s="1"/>
  <c r="H72" i="27"/>
  <c r="H162" i="27"/>
  <c r="H117" i="27"/>
  <c r="N117" i="27" s="1"/>
  <c r="H26" i="29"/>
  <c r="L26" i="29" s="1"/>
  <c r="H71" i="29"/>
  <c r="N71" i="29" s="1"/>
  <c r="H161" i="29"/>
  <c r="H116" i="29"/>
  <c r="N116" i="29" s="1"/>
  <c r="H18" i="26"/>
  <c r="L18" i="26" s="1"/>
  <c r="H63" i="26"/>
  <c r="N63" i="26" s="1"/>
  <c r="H153" i="26"/>
  <c r="H108" i="26"/>
  <c r="N108" i="26" s="1"/>
  <c r="H25" i="28"/>
  <c r="H160" i="28"/>
  <c r="H70" i="28"/>
  <c r="N70" i="28" s="1"/>
  <c r="H115" i="28"/>
  <c r="N115" i="28" s="1"/>
  <c r="H24" i="27"/>
  <c r="N24" i="27" s="1"/>
  <c r="H69" i="27"/>
  <c r="H159" i="27"/>
  <c r="H114" i="27"/>
  <c r="N114" i="27" s="1"/>
  <c r="H23" i="27"/>
  <c r="H68" i="27"/>
  <c r="N68" i="27" s="1"/>
  <c r="H158" i="27"/>
  <c r="H113" i="27"/>
  <c r="H9" i="28"/>
  <c r="N9" i="28" s="1"/>
  <c r="H99" i="28"/>
  <c r="N99" i="28" s="1"/>
  <c r="H144" i="28"/>
  <c r="H54" i="28"/>
  <c r="N54" i="28" s="1"/>
  <c r="H7" i="29"/>
  <c r="N7" i="29" s="1"/>
  <c r="H52" i="29"/>
  <c r="N52" i="29" s="1"/>
  <c r="H142" i="29"/>
  <c r="H97" i="29"/>
  <c r="N97" i="29" s="1"/>
  <c r="H8" i="26"/>
  <c r="L8" i="26" s="1"/>
  <c r="H53" i="26"/>
  <c r="L53" i="26" s="1"/>
  <c r="H143" i="26"/>
  <c r="H98" i="26"/>
  <c r="L98" i="26" s="1"/>
  <c r="H5" i="28"/>
  <c r="H140" i="28"/>
  <c r="H50" i="28"/>
  <c r="L50" i="28" s="1"/>
  <c r="H95" i="28"/>
  <c r="H10" i="26"/>
  <c r="L10" i="26" s="1"/>
  <c r="H145" i="26"/>
  <c r="H100" i="26"/>
  <c r="L100" i="26" s="1"/>
  <c r="H55" i="26"/>
  <c r="N55" i="26" s="1"/>
  <c r="AH159" i="25"/>
  <c r="AH152" i="28"/>
  <c r="AH163" i="28"/>
  <c r="AH155" i="29"/>
  <c r="AH157" i="29"/>
  <c r="H12" i="27"/>
  <c r="N12" i="27" s="1"/>
  <c r="H102" i="27"/>
  <c r="H57" i="27"/>
  <c r="H147" i="27"/>
  <c r="H15" i="28"/>
  <c r="L15" i="28" s="1"/>
  <c r="H105" i="28"/>
  <c r="N105" i="28" s="1"/>
  <c r="H150" i="28"/>
  <c r="H60" i="28"/>
  <c r="H16" i="28"/>
  <c r="N16" i="28" s="1"/>
  <c r="H61" i="28"/>
  <c r="N61" i="28" s="1"/>
  <c r="H151" i="28"/>
  <c r="H106" i="28"/>
  <c r="N106" i="28" s="1"/>
  <c r="H27" i="29"/>
  <c r="N27" i="29" s="1"/>
  <c r="H162" i="29"/>
  <c r="H117" i="29"/>
  <c r="N117" i="29" s="1"/>
  <c r="H72" i="29"/>
  <c r="N72" i="29" s="1"/>
  <c r="H17" i="27"/>
  <c r="N17" i="27" s="1"/>
  <c r="H152" i="27"/>
  <c r="H107" i="27"/>
  <c r="H62" i="27"/>
  <c r="N62" i="27" s="1"/>
  <c r="H4" i="27"/>
  <c r="N4" i="27" s="1"/>
  <c r="H139" i="27"/>
  <c r="H94" i="27"/>
  <c r="H49" i="27"/>
  <c r="AH160" i="26"/>
  <c r="AH141" i="26"/>
  <c r="G115" i="28"/>
  <c r="G103" i="28"/>
  <c r="G95" i="28"/>
  <c r="G94" i="28"/>
  <c r="AH113" i="28" s="1"/>
  <c r="G105" i="28"/>
  <c r="G118" i="28"/>
  <c r="G96" i="28"/>
  <c r="G104" i="28"/>
  <c r="G101" i="28"/>
  <c r="G108" i="28"/>
  <c r="G110" i="28"/>
  <c r="G98" i="28"/>
  <c r="AH99" i="28" s="1"/>
  <c r="G116" i="28"/>
  <c r="G102" i="28"/>
  <c r="G97" i="28"/>
  <c r="G109" i="28"/>
  <c r="G112" i="28"/>
  <c r="G100" i="28"/>
  <c r="AH118" i="28" s="1"/>
  <c r="G111" i="28"/>
  <c r="G114" i="28"/>
  <c r="G117" i="28"/>
  <c r="G113" i="28"/>
  <c r="G106" i="28"/>
  <c r="G99" i="28"/>
  <c r="G107" i="28"/>
  <c r="K35" i="34"/>
  <c r="G21" i="28"/>
  <c r="G14" i="28"/>
  <c r="G9" i="28"/>
  <c r="G22" i="28"/>
  <c r="G27" i="28"/>
  <c r="G17" i="28"/>
  <c r="G11" i="28"/>
  <c r="G4" i="28"/>
  <c r="G24" i="28"/>
  <c r="G25" i="28"/>
  <c r="G13" i="28"/>
  <c r="G5" i="28"/>
  <c r="G19" i="28"/>
  <c r="G15" i="28"/>
  <c r="G28" i="28"/>
  <c r="G6" i="28"/>
  <c r="G10" i="28"/>
  <c r="G18" i="28"/>
  <c r="G20" i="28"/>
  <c r="G8" i="28"/>
  <c r="G16" i="28"/>
  <c r="G26" i="28"/>
  <c r="G12" i="28"/>
  <c r="G7" i="28"/>
  <c r="G23" i="28"/>
  <c r="H12" i="29"/>
  <c r="N12" i="29" s="1"/>
  <c r="H57" i="29"/>
  <c r="H147" i="29"/>
  <c r="H102" i="29"/>
  <c r="N102" i="29" s="1"/>
  <c r="H13" i="27"/>
  <c r="H148" i="27"/>
  <c r="H103" i="27"/>
  <c r="N103" i="27" s="1"/>
  <c r="H58" i="27"/>
  <c r="H14" i="29"/>
  <c r="N14" i="29" s="1"/>
  <c r="H149" i="29"/>
  <c r="H104" i="29"/>
  <c r="N104" i="29" s="1"/>
  <c r="H59" i="29"/>
  <c r="L59" i="29" s="1"/>
  <c r="H27" i="26"/>
  <c r="H72" i="26"/>
  <c r="H162" i="26"/>
  <c r="H117" i="26"/>
  <c r="N117" i="26" s="1"/>
  <c r="H26" i="28"/>
  <c r="L26" i="28" s="1"/>
  <c r="H71" i="28"/>
  <c r="H116" i="28"/>
  <c r="N116" i="28" s="1"/>
  <c r="H161" i="28"/>
  <c r="H25" i="27"/>
  <c r="H160" i="27"/>
  <c r="H115" i="27"/>
  <c r="N115" i="27" s="1"/>
  <c r="H70" i="27"/>
  <c r="H21" i="29"/>
  <c r="N21" i="29" s="1"/>
  <c r="H156" i="29"/>
  <c r="H111" i="29"/>
  <c r="N111" i="29" s="1"/>
  <c r="H66" i="29"/>
  <c r="L66" i="29" s="1"/>
  <c r="H24" i="26"/>
  <c r="H69" i="26"/>
  <c r="H159" i="26"/>
  <c r="H114" i="26"/>
  <c r="H23" i="26"/>
  <c r="N23" i="26" s="1"/>
  <c r="H68" i="26"/>
  <c r="N68" i="26" s="1"/>
  <c r="H158" i="26"/>
  <c r="H113" i="26"/>
  <c r="L113" i="26" s="1"/>
  <c r="H9" i="27"/>
  <c r="H99" i="27"/>
  <c r="H54" i="27"/>
  <c r="N54" i="27" s="1"/>
  <c r="H144" i="27"/>
  <c r="H7" i="28"/>
  <c r="N7" i="28" s="1"/>
  <c r="H52" i="28"/>
  <c r="H97" i="28"/>
  <c r="N97" i="28" s="1"/>
  <c r="H142" i="28"/>
  <c r="H5" i="27"/>
  <c r="H140" i="27"/>
  <c r="H95" i="27"/>
  <c r="N95" i="27" s="1"/>
  <c r="H50" i="27"/>
  <c r="R140" i="25"/>
  <c r="V140" i="25" s="1"/>
  <c r="G164" i="28"/>
  <c r="V144" i="25"/>
  <c r="AH163" i="27"/>
  <c r="AH147" i="25"/>
  <c r="AH154" i="25"/>
  <c r="AH159" i="26"/>
  <c r="AH140" i="26"/>
  <c r="AJ140" i="26" s="1"/>
  <c r="H6" i="28"/>
  <c r="L6" i="28" s="1"/>
  <c r="H96" i="28"/>
  <c r="H141" i="28"/>
  <c r="H51" i="28"/>
  <c r="N51" i="28" s="1"/>
  <c r="G64" i="27"/>
  <c r="G67" i="27"/>
  <c r="G55" i="27"/>
  <c r="AH73" i="27" s="1"/>
  <c r="G71" i="27"/>
  <c r="G69" i="27"/>
  <c r="AH69" i="27" s="1"/>
  <c r="G72" i="27"/>
  <c r="G68" i="27"/>
  <c r="G61" i="27"/>
  <c r="G66" i="27"/>
  <c r="G59" i="27"/>
  <c r="G54" i="27"/>
  <c r="AH67" i="27" s="1"/>
  <c r="G62" i="27"/>
  <c r="G56" i="27"/>
  <c r="AH56" i="27" s="1"/>
  <c r="G49" i="27"/>
  <c r="G63" i="27"/>
  <c r="G70" i="27"/>
  <c r="G58" i="27"/>
  <c r="G50" i="27"/>
  <c r="G65" i="27"/>
  <c r="AH63" i="27" s="1"/>
  <c r="G53" i="27"/>
  <c r="G52" i="27"/>
  <c r="AH52" i="27" s="1"/>
  <c r="G60" i="27"/>
  <c r="G73" i="27"/>
  <c r="G51" i="27"/>
  <c r="AH51" i="27" s="1"/>
  <c r="G57" i="27"/>
  <c r="H20" i="28"/>
  <c r="H65" i="28"/>
  <c r="H110" i="28"/>
  <c r="N110" i="28" s="1"/>
  <c r="H155" i="28"/>
  <c r="H19" i="26"/>
  <c r="N19" i="26" s="1"/>
  <c r="H154" i="26"/>
  <c r="H109" i="26"/>
  <c r="N109" i="26" s="1"/>
  <c r="H64" i="26"/>
  <c r="H24" i="29"/>
  <c r="H157" i="29"/>
  <c r="H112" i="29"/>
  <c r="H67" i="29"/>
  <c r="N67" i="29" s="1"/>
  <c r="G164" i="27"/>
  <c r="G114" i="27"/>
  <c r="G117" i="27"/>
  <c r="G113" i="27"/>
  <c r="G106" i="27"/>
  <c r="G111" i="27"/>
  <c r="G104" i="27"/>
  <c r="AH104" i="27" s="1"/>
  <c r="G99" i="27"/>
  <c r="AH99" i="27" s="1"/>
  <c r="G102" i="27"/>
  <c r="G100" i="27"/>
  <c r="AH118" i="27" s="1"/>
  <c r="G107" i="27"/>
  <c r="G101" i="27"/>
  <c r="G94" i="27"/>
  <c r="G112" i="27"/>
  <c r="G115" i="27"/>
  <c r="AH115" i="27" s="1"/>
  <c r="G103" i="27"/>
  <c r="AH103" i="27" s="1"/>
  <c r="G95" i="27"/>
  <c r="G109" i="27"/>
  <c r="AH102" i="27" s="1"/>
  <c r="G105" i="27"/>
  <c r="G118" i="27"/>
  <c r="G96" i="27"/>
  <c r="G116" i="27"/>
  <c r="G108" i="27"/>
  <c r="AH108" i="27" s="1"/>
  <c r="G110" i="27"/>
  <c r="G98" i="27"/>
  <c r="G97" i="27"/>
  <c r="AH117" i="27" s="1"/>
  <c r="J35" i="34"/>
  <c r="G26" i="27"/>
  <c r="G12" i="27"/>
  <c r="G7" i="27"/>
  <c r="G8" i="27"/>
  <c r="G19" i="27"/>
  <c r="G22" i="27"/>
  <c r="G10" i="27"/>
  <c r="G6" i="27"/>
  <c r="G24" i="27"/>
  <c r="G27" i="27"/>
  <c r="G23" i="27"/>
  <c r="G16" i="27"/>
  <c r="G28" i="27"/>
  <c r="G20" i="27"/>
  <c r="G21" i="27"/>
  <c r="G14" i="27"/>
  <c r="G9" i="27"/>
  <c r="G15" i="27"/>
  <c r="G18" i="27"/>
  <c r="G17" i="27"/>
  <c r="G11" i="27"/>
  <c r="G4" i="27"/>
  <c r="G25" i="27"/>
  <c r="G13" i="27"/>
  <c r="G5" i="27"/>
  <c r="L15" i="34"/>
  <c r="H12" i="28"/>
  <c r="H57" i="28"/>
  <c r="N57" i="28" s="1"/>
  <c r="H102" i="28"/>
  <c r="N102" i="28" s="1"/>
  <c r="H147" i="28"/>
  <c r="H28" i="29"/>
  <c r="N28" i="29" s="1"/>
  <c r="H118" i="29"/>
  <c r="N118" i="29" s="1"/>
  <c r="H73" i="29"/>
  <c r="H163" i="29"/>
  <c r="H13" i="26"/>
  <c r="H58" i="26"/>
  <c r="H103" i="26"/>
  <c r="N103" i="26" s="1"/>
  <c r="H148" i="26"/>
  <c r="H14" i="28"/>
  <c r="N14" i="28" s="1"/>
  <c r="H104" i="28"/>
  <c r="L104" i="28" s="1"/>
  <c r="H149" i="28"/>
  <c r="H59" i="28"/>
  <c r="H26" i="27"/>
  <c r="H116" i="27"/>
  <c r="N116" i="27" s="1"/>
  <c r="H71" i="27"/>
  <c r="N71" i="27" s="1"/>
  <c r="H161" i="27"/>
  <c r="H15" i="29"/>
  <c r="L15" i="29" s="1"/>
  <c r="H105" i="29"/>
  <c r="N105" i="29" s="1"/>
  <c r="H60" i="29"/>
  <c r="H150" i="29"/>
  <c r="H25" i="26"/>
  <c r="H70" i="26"/>
  <c r="H115" i="26"/>
  <c r="N115" i="26" s="1"/>
  <c r="H160" i="26"/>
  <c r="H21" i="28"/>
  <c r="N21" i="28" s="1"/>
  <c r="H111" i="28"/>
  <c r="L111" i="28" s="1"/>
  <c r="H156" i="28"/>
  <c r="H66" i="28"/>
  <c r="H22" i="29"/>
  <c r="H113" i="29"/>
  <c r="H68" i="29"/>
  <c r="N68" i="29" s="1"/>
  <c r="H158" i="29"/>
  <c r="H9" i="26"/>
  <c r="N9" i="26" s="1"/>
  <c r="H54" i="26"/>
  <c r="N54" i="26" s="1"/>
  <c r="H144" i="26"/>
  <c r="H99" i="26"/>
  <c r="L99" i="26" s="1"/>
  <c r="H7" i="27"/>
  <c r="H97" i="27"/>
  <c r="N97" i="27" s="1"/>
  <c r="H52" i="27"/>
  <c r="N52" i="27" s="1"/>
  <c r="H142" i="27"/>
  <c r="H6" i="29"/>
  <c r="N6" i="29" s="1"/>
  <c r="H96" i="29"/>
  <c r="N96" i="29" s="1"/>
  <c r="H51" i="29"/>
  <c r="H141" i="29"/>
  <c r="H5" i="26"/>
  <c r="H50" i="26"/>
  <c r="H95" i="26"/>
  <c r="L95" i="26" s="1"/>
  <c r="H140" i="26"/>
  <c r="G164" i="26"/>
  <c r="AH160" i="25"/>
  <c r="V141" i="25"/>
  <c r="AA144" i="25"/>
  <c r="AB144" i="25" s="1"/>
  <c r="R145" i="25"/>
  <c r="AA142" i="25"/>
  <c r="AB142" i="25" s="1"/>
  <c r="V142" i="25"/>
  <c r="N106" i="27"/>
  <c r="Z141" i="27"/>
  <c r="Z141" i="26"/>
  <c r="V143" i="25"/>
  <c r="AA143" i="25"/>
  <c r="AB143" i="25" s="1"/>
  <c r="AA139" i="25"/>
  <c r="AB139" i="25" s="1"/>
  <c r="V139" i="25"/>
  <c r="J15" i="34"/>
  <c r="I15" i="34"/>
  <c r="H15" i="34"/>
  <c r="D1" i="34"/>
  <c r="K39" i="34"/>
  <c r="F65" i="34" s="1"/>
  <c r="H39" i="34"/>
  <c r="L39" i="34"/>
  <c r="J39" i="34"/>
  <c r="AH118" i="25"/>
  <c r="Y100" i="25"/>
  <c r="S100" i="25"/>
  <c r="Q100" i="25"/>
  <c r="N100" i="25"/>
  <c r="L100" i="25"/>
  <c r="Y97" i="25"/>
  <c r="S97" i="25"/>
  <c r="X97" i="25" s="1"/>
  <c r="Q97" i="25"/>
  <c r="N97" i="25"/>
  <c r="L97" i="25"/>
  <c r="Y98" i="25"/>
  <c r="S98" i="25"/>
  <c r="U98" i="25" s="1"/>
  <c r="Q98" i="25"/>
  <c r="N98" i="25"/>
  <c r="L98" i="25"/>
  <c r="Y96" i="25"/>
  <c r="S96" i="25"/>
  <c r="X96" i="25" s="1"/>
  <c r="Q96" i="25"/>
  <c r="N96" i="25"/>
  <c r="L96" i="25"/>
  <c r="Y95" i="25"/>
  <c r="S95" i="25"/>
  <c r="Q95" i="25"/>
  <c r="N95" i="25"/>
  <c r="L95" i="25"/>
  <c r="AH113" i="25"/>
  <c r="Y94" i="25"/>
  <c r="S94" i="25"/>
  <c r="X94" i="25" s="1"/>
  <c r="Q94" i="25"/>
  <c r="N94" i="25"/>
  <c r="L94" i="25"/>
  <c r="AH112" i="25"/>
  <c r="Y99" i="25"/>
  <c r="S99" i="25"/>
  <c r="U99" i="25" s="1"/>
  <c r="Q99" i="25"/>
  <c r="N99" i="25"/>
  <c r="L99" i="25"/>
  <c r="Y113" i="25"/>
  <c r="W113" i="25"/>
  <c r="N113" i="25"/>
  <c r="L113" i="25"/>
  <c r="Y112" i="25"/>
  <c r="W112" i="25"/>
  <c r="N112" i="25"/>
  <c r="L112" i="25"/>
  <c r="Y102" i="25"/>
  <c r="W102" i="25"/>
  <c r="N102" i="25"/>
  <c r="L102" i="25"/>
  <c r="Y110" i="25"/>
  <c r="W110" i="25"/>
  <c r="N110" i="25"/>
  <c r="L110" i="25"/>
  <c r="AH107" i="25"/>
  <c r="Y118" i="25"/>
  <c r="W118" i="25"/>
  <c r="N118" i="25"/>
  <c r="L118" i="25"/>
  <c r="AH106" i="25"/>
  <c r="Y103" i="25"/>
  <c r="W103" i="25"/>
  <c r="N103" i="25"/>
  <c r="L103" i="25"/>
  <c r="Y101" i="25"/>
  <c r="W101" i="25"/>
  <c r="N101" i="25"/>
  <c r="L101" i="25"/>
  <c r="Y104" i="25"/>
  <c r="W104" i="25"/>
  <c r="N104" i="25"/>
  <c r="L104" i="25"/>
  <c r="Y117" i="25"/>
  <c r="W117" i="25"/>
  <c r="N117" i="25"/>
  <c r="L117" i="25"/>
  <c r="Y109" i="25"/>
  <c r="W109" i="25"/>
  <c r="N109" i="25"/>
  <c r="L109" i="25"/>
  <c r="Y116" i="25"/>
  <c r="W116" i="25"/>
  <c r="N116" i="25"/>
  <c r="L116" i="25"/>
  <c r="AH100" i="25"/>
  <c r="Y108" i="25"/>
  <c r="W108" i="25"/>
  <c r="N108" i="25"/>
  <c r="L108" i="25"/>
  <c r="Y105" i="25"/>
  <c r="W105" i="25"/>
  <c r="N105" i="25"/>
  <c r="L105" i="25"/>
  <c r="AH98" i="25"/>
  <c r="Y115" i="25"/>
  <c r="W115" i="25"/>
  <c r="N115" i="25"/>
  <c r="L115" i="25"/>
  <c r="Y107" i="25"/>
  <c r="W107" i="25"/>
  <c r="N107" i="25"/>
  <c r="L107" i="25"/>
  <c r="AH96" i="25"/>
  <c r="Y111" i="25"/>
  <c r="W111" i="25"/>
  <c r="N111" i="25"/>
  <c r="L111" i="25"/>
  <c r="AH95" i="25"/>
  <c r="Y114" i="25"/>
  <c r="W114" i="25"/>
  <c r="N114" i="25"/>
  <c r="L114" i="25"/>
  <c r="AH94" i="25"/>
  <c r="AJ94" i="25" s="1"/>
  <c r="Y106" i="25"/>
  <c r="W106" i="25"/>
  <c r="N106" i="25"/>
  <c r="L106" i="25"/>
  <c r="Y55" i="25"/>
  <c r="S55" i="25"/>
  <c r="U55" i="25" s="1"/>
  <c r="Q55" i="25"/>
  <c r="N55" i="25"/>
  <c r="L55" i="25"/>
  <c r="Y52" i="25"/>
  <c r="S52" i="25"/>
  <c r="Q52" i="25"/>
  <c r="N52" i="25"/>
  <c r="L52" i="25"/>
  <c r="Y53" i="25"/>
  <c r="S53" i="25"/>
  <c r="Q53" i="25"/>
  <c r="N53" i="25"/>
  <c r="L53" i="25"/>
  <c r="AH70" i="25"/>
  <c r="Y51" i="25"/>
  <c r="S51" i="25"/>
  <c r="X51" i="25" s="1"/>
  <c r="Q51" i="25"/>
  <c r="N51" i="25"/>
  <c r="L51" i="25"/>
  <c r="AH69" i="25"/>
  <c r="Y50" i="25"/>
  <c r="S50" i="25"/>
  <c r="U50" i="25" s="1"/>
  <c r="Q50" i="25"/>
  <c r="N50" i="25"/>
  <c r="L50" i="25"/>
  <c r="AH68" i="25"/>
  <c r="Y49" i="25"/>
  <c r="S49" i="25"/>
  <c r="Q49" i="25"/>
  <c r="N49" i="25"/>
  <c r="L49" i="25"/>
  <c r="Y54" i="25"/>
  <c r="S54" i="25"/>
  <c r="Q54" i="25"/>
  <c r="N54" i="25"/>
  <c r="L54" i="25"/>
  <c r="Y68" i="25"/>
  <c r="W68" i="25"/>
  <c r="N68" i="25"/>
  <c r="L68" i="25"/>
  <c r="AH65" i="25"/>
  <c r="Y67" i="25"/>
  <c r="W67" i="25"/>
  <c r="N67" i="25"/>
  <c r="L67" i="25"/>
  <c r="AH64" i="25"/>
  <c r="Y57" i="25"/>
  <c r="W57" i="25"/>
  <c r="N57" i="25"/>
  <c r="L57" i="25"/>
  <c r="AH63" i="25"/>
  <c r="Y65" i="25"/>
  <c r="W65" i="25"/>
  <c r="N65" i="25"/>
  <c r="L65" i="25"/>
  <c r="AH62" i="25"/>
  <c r="Y73" i="25"/>
  <c r="W73" i="25"/>
  <c r="N73" i="25"/>
  <c r="L73" i="25"/>
  <c r="Y58" i="25"/>
  <c r="W58" i="25"/>
  <c r="N58" i="25"/>
  <c r="L58" i="25"/>
  <c r="Y56" i="25"/>
  <c r="W56" i="25"/>
  <c r="N56" i="25"/>
  <c r="L56" i="25"/>
  <c r="AH59" i="25"/>
  <c r="Y59" i="25"/>
  <c r="W59" i="25"/>
  <c r="N59" i="25"/>
  <c r="L59" i="25"/>
  <c r="Y72" i="25"/>
  <c r="W72" i="25"/>
  <c r="N72" i="25"/>
  <c r="L72" i="25"/>
  <c r="Y64" i="25"/>
  <c r="W64" i="25"/>
  <c r="N64" i="25"/>
  <c r="L64" i="25"/>
  <c r="Y71" i="25"/>
  <c r="W71" i="25"/>
  <c r="N71" i="25"/>
  <c r="L71" i="25"/>
  <c r="Y63" i="25"/>
  <c r="W63" i="25"/>
  <c r="N63" i="25"/>
  <c r="L63" i="25"/>
  <c r="AH54" i="25"/>
  <c r="Y60" i="25"/>
  <c r="W60" i="25"/>
  <c r="N60" i="25"/>
  <c r="L60" i="25"/>
  <c r="Y70" i="25"/>
  <c r="W70" i="25"/>
  <c r="N70" i="25"/>
  <c r="L70" i="25"/>
  <c r="AH52" i="25"/>
  <c r="Y62" i="25"/>
  <c r="W62" i="25"/>
  <c r="N62" i="25"/>
  <c r="L62" i="25"/>
  <c r="Y66" i="25"/>
  <c r="W66" i="25"/>
  <c r="N66" i="25"/>
  <c r="L66" i="25"/>
  <c r="AH50" i="25"/>
  <c r="Y69" i="25"/>
  <c r="W69" i="25"/>
  <c r="N69" i="25"/>
  <c r="L69" i="25"/>
  <c r="Y61" i="25"/>
  <c r="W61" i="25"/>
  <c r="N61" i="25"/>
  <c r="L61" i="25"/>
  <c r="C46" i="25"/>
  <c r="C91" i="25" s="1"/>
  <c r="Y10" i="25"/>
  <c r="S10" i="25"/>
  <c r="U10" i="25" s="1"/>
  <c r="Q10" i="25"/>
  <c r="N10" i="25"/>
  <c r="L10" i="25"/>
  <c r="Y7" i="25"/>
  <c r="S7" i="25"/>
  <c r="Q7" i="25"/>
  <c r="N7" i="25"/>
  <c r="L7" i="25"/>
  <c r="Y8" i="25"/>
  <c r="S8" i="25"/>
  <c r="Q8" i="25"/>
  <c r="N8" i="25"/>
  <c r="L8" i="25"/>
  <c r="Y6" i="25"/>
  <c r="S6" i="25"/>
  <c r="X6" i="25" s="1"/>
  <c r="Q6" i="25"/>
  <c r="N6" i="25"/>
  <c r="L6" i="25"/>
  <c r="Y5" i="25"/>
  <c r="S5" i="25"/>
  <c r="U5" i="25" s="1"/>
  <c r="Q5" i="25"/>
  <c r="AF5" i="25" s="1"/>
  <c r="N5" i="25"/>
  <c r="AE5" i="25" s="1"/>
  <c r="L5" i="25"/>
  <c r="AD5" i="25" s="1"/>
  <c r="Y4" i="25"/>
  <c r="S4" i="25"/>
  <c r="Q4" i="25"/>
  <c r="N4" i="25"/>
  <c r="L4" i="25"/>
  <c r="Y9" i="25"/>
  <c r="S9" i="25"/>
  <c r="Q9" i="25"/>
  <c r="N9" i="25"/>
  <c r="L9" i="25"/>
  <c r="Y23" i="25"/>
  <c r="W23" i="25"/>
  <c r="N23" i="25"/>
  <c r="L23" i="25"/>
  <c r="Y22" i="25"/>
  <c r="W22" i="25"/>
  <c r="N22" i="25"/>
  <c r="L22" i="25"/>
  <c r="Y12" i="25"/>
  <c r="W12" i="25"/>
  <c r="N12" i="25"/>
  <c r="L12" i="25"/>
  <c r="Y20" i="25"/>
  <c r="W20" i="25"/>
  <c r="N20" i="25"/>
  <c r="L20" i="25"/>
  <c r="Y28" i="25"/>
  <c r="W28" i="25"/>
  <c r="N28" i="25"/>
  <c r="L28" i="25"/>
  <c r="Y13" i="25"/>
  <c r="W13" i="25"/>
  <c r="N13" i="25"/>
  <c r="L13" i="25"/>
  <c r="Y11" i="25"/>
  <c r="W11" i="25"/>
  <c r="N11" i="25"/>
  <c r="L11" i="25"/>
  <c r="Y14" i="25"/>
  <c r="W14" i="25"/>
  <c r="N14" i="25"/>
  <c r="L14" i="25"/>
  <c r="Y27" i="25"/>
  <c r="W27" i="25"/>
  <c r="N27" i="25"/>
  <c r="L27" i="25"/>
  <c r="Y19" i="25"/>
  <c r="W19" i="25"/>
  <c r="N19" i="25"/>
  <c r="L19" i="25"/>
  <c r="Y26" i="25"/>
  <c r="W26" i="25"/>
  <c r="N26" i="25"/>
  <c r="L26" i="25"/>
  <c r="Y18" i="25"/>
  <c r="W18" i="25"/>
  <c r="N18" i="25"/>
  <c r="L18" i="25"/>
  <c r="Y15" i="25"/>
  <c r="W15" i="25"/>
  <c r="N15" i="25"/>
  <c r="L15" i="25"/>
  <c r="Y25" i="25"/>
  <c r="W25" i="25"/>
  <c r="N25" i="25"/>
  <c r="L25" i="25"/>
  <c r="Y17" i="25"/>
  <c r="W17" i="25"/>
  <c r="N17" i="25"/>
  <c r="L17" i="25"/>
  <c r="Y21" i="25"/>
  <c r="W21" i="25"/>
  <c r="N21" i="25"/>
  <c r="L21" i="25"/>
  <c r="Y24" i="25"/>
  <c r="W24" i="25"/>
  <c r="N24" i="25"/>
  <c r="L24" i="25"/>
  <c r="Y16" i="25"/>
  <c r="W16" i="25"/>
  <c r="N16" i="25"/>
  <c r="L16" i="25"/>
  <c r="AH118" i="29"/>
  <c r="Y100" i="29"/>
  <c r="S100" i="29"/>
  <c r="X100" i="29" s="1"/>
  <c r="Q100" i="29"/>
  <c r="N100" i="29"/>
  <c r="L100" i="29"/>
  <c r="Y97" i="29"/>
  <c r="S97" i="29"/>
  <c r="X97" i="29" s="1"/>
  <c r="Q97" i="29"/>
  <c r="AH116" i="29"/>
  <c r="Y98" i="29"/>
  <c r="S98" i="29"/>
  <c r="X98" i="29" s="1"/>
  <c r="Q98" i="29"/>
  <c r="Y96" i="29"/>
  <c r="S96" i="29"/>
  <c r="X96" i="29" s="1"/>
  <c r="Q96" i="29"/>
  <c r="Y95" i="29"/>
  <c r="S95" i="29"/>
  <c r="X95" i="29" s="1"/>
  <c r="Q95" i="29"/>
  <c r="N95" i="29"/>
  <c r="L95" i="29"/>
  <c r="AH113" i="29"/>
  <c r="Y94" i="29"/>
  <c r="S94" i="29"/>
  <c r="X94" i="29" s="1"/>
  <c r="Q94" i="29"/>
  <c r="N94" i="29"/>
  <c r="L94" i="29"/>
  <c r="AH112" i="29"/>
  <c r="Y99" i="29"/>
  <c r="S99" i="29"/>
  <c r="X99" i="29" s="1"/>
  <c r="Q99" i="29"/>
  <c r="Y114" i="29"/>
  <c r="W114" i="29"/>
  <c r="N114" i="29"/>
  <c r="Y113" i="29"/>
  <c r="W113" i="29"/>
  <c r="N113" i="29"/>
  <c r="L113" i="29"/>
  <c r="Y102" i="29"/>
  <c r="W102" i="29"/>
  <c r="Y110" i="29"/>
  <c r="W110" i="29"/>
  <c r="N110" i="29"/>
  <c r="L110" i="29"/>
  <c r="Y118" i="29"/>
  <c r="W118" i="29"/>
  <c r="Y103" i="29"/>
  <c r="W103" i="29"/>
  <c r="N103" i="29"/>
  <c r="L103" i="29"/>
  <c r="AH105" i="29"/>
  <c r="Y101" i="29"/>
  <c r="W101" i="29"/>
  <c r="N101" i="29"/>
  <c r="L101" i="29"/>
  <c r="AH104" i="29"/>
  <c r="Y104" i="29"/>
  <c r="W104" i="29"/>
  <c r="Y117" i="29"/>
  <c r="W117" i="29"/>
  <c r="AH102" i="29"/>
  <c r="Y109" i="29"/>
  <c r="W109" i="29"/>
  <c r="AH101" i="29"/>
  <c r="Y116" i="29"/>
  <c r="W116" i="29"/>
  <c r="Y108" i="29"/>
  <c r="W108" i="29"/>
  <c r="N108" i="29"/>
  <c r="L108" i="29"/>
  <c r="AH99" i="29"/>
  <c r="Y105" i="29"/>
  <c r="W105" i="29"/>
  <c r="AH98" i="29"/>
  <c r="Y115" i="29"/>
  <c r="W115" i="29"/>
  <c r="N115" i="29"/>
  <c r="L115" i="29"/>
  <c r="AH97" i="29"/>
  <c r="Y107" i="29"/>
  <c r="W107" i="29"/>
  <c r="N107" i="29"/>
  <c r="L107" i="29"/>
  <c r="AH96" i="29"/>
  <c r="Y111" i="29"/>
  <c r="W111" i="29"/>
  <c r="L111" i="29"/>
  <c r="AH95" i="29"/>
  <c r="Y112" i="29"/>
  <c r="W112" i="29"/>
  <c r="N112" i="29"/>
  <c r="L112" i="29"/>
  <c r="Y106" i="29"/>
  <c r="W106" i="29"/>
  <c r="Y55" i="29"/>
  <c r="S55" i="29"/>
  <c r="X55" i="29" s="1"/>
  <c r="Q55" i="29"/>
  <c r="Y52" i="29"/>
  <c r="S52" i="29"/>
  <c r="U52" i="29" s="1"/>
  <c r="Z52" i="29" s="1"/>
  <c r="Q52" i="29"/>
  <c r="AH71" i="29"/>
  <c r="Y53" i="29"/>
  <c r="S53" i="29"/>
  <c r="X53" i="29" s="1"/>
  <c r="Q53" i="29"/>
  <c r="Y51" i="29"/>
  <c r="S51" i="29"/>
  <c r="X51" i="29" s="1"/>
  <c r="Q51" i="29"/>
  <c r="N51" i="29"/>
  <c r="L51" i="29"/>
  <c r="Y50" i="29"/>
  <c r="S50" i="29"/>
  <c r="X50" i="29" s="1"/>
  <c r="Q50" i="29"/>
  <c r="AH68" i="29"/>
  <c r="Y49" i="29"/>
  <c r="S49" i="29"/>
  <c r="U49" i="29" s="1"/>
  <c r="Z49" i="29" s="1"/>
  <c r="Q49" i="29"/>
  <c r="N49" i="29"/>
  <c r="L49" i="29"/>
  <c r="Y54" i="29"/>
  <c r="S54" i="29"/>
  <c r="X54" i="29" s="1"/>
  <c r="Q54" i="29"/>
  <c r="N54" i="29"/>
  <c r="L54" i="29"/>
  <c r="AH66" i="29"/>
  <c r="Y69" i="29"/>
  <c r="W69" i="29"/>
  <c r="N69" i="29"/>
  <c r="L69" i="29"/>
  <c r="AH65" i="29"/>
  <c r="Y68" i="29"/>
  <c r="W68" i="29"/>
  <c r="Y57" i="29"/>
  <c r="W57" i="29"/>
  <c r="N57" i="29"/>
  <c r="L57" i="29"/>
  <c r="Y65" i="29"/>
  <c r="W65" i="29"/>
  <c r="AH62" i="29"/>
  <c r="Y73" i="29"/>
  <c r="W73" i="29"/>
  <c r="N73" i="29"/>
  <c r="L73" i="29"/>
  <c r="AH61" i="29"/>
  <c r="Y58" i="29"/>
  <c r="W58" i="29"/>
  <c r="Y56" i="29"/>
  <c r="W56" i="29"/>
  <c r="L56" i="29"/>
  <c r="Y59" i="29"/>
  <c r="W59" i="29"/>
  <c r="Y72" i="29"/>
  <c r="W72" i="29"/>
  <c r="Y64" i="29"/>
  <c r="W64" i="29"/>
  <c r="AH56" i="29"/>
  <c r="Y71" i="29"/>
  <c r="W71" i="29"/>
  <c r="Y63" i="29"/>
  <c r="W63" i="29"/>
  <c r="Y60" i="29"/>
  <c r="W60" i="29"/>
  <c r="N60" i="29"/>
  <c r="L60" i="29"/>
  <c r="AH53" i="29"/>
  <c r="Y70" i="29"/>
  <c r="W70" i="29"/>
  <c r="Y62" i="29"/>
  <c r="W62" i="29"/>
  <c r="Y66" i="29"/>
  <c r="W66" i="29"/>
  <c r="AH50" i="29"/>
  <c r="Y67" i="29"/>
  <c r="W67" i="29"/>
  <c r="Y61" i="29"/>
  <c r="W61" i="29"/>
  <c r="C46" i="29"/>
  <c r="C91" i="29" s="1"/>
  <c r="Y10" i="29"/>
  <c r="S10" i="29"/>
  <c r="X10" i="29" s="1"/>
  <c r="Q10" i="29"/>
  <c r="Y7" i="29"/>
  <c r="S7" i="29"/>
  <c r="U7" i="29" s="1"/>
  <c r="Z7" i="29" s="1"/>
  <c r="Q7" i="29"/>
  <c r="L7" i="29"/>
  <c r="AD7" i="29" s="1"/>
  <c r="Y8" i="29"/>
  <c r="S8" i="29"/>
  <c r="X8" i="29" s="1"/>
  <c r="Q8" i="29"/>
  <c r="L8" i="29"/>
  <c r="Y6" i="29"/>
  <c r="S6" i="29"/>
  <c r="X6" i="29" s="1"/>
  <c r="Q6" i="29"/>
  <c r="Y5" i="29"/>
  <c r="S5" i="29"/>
  <c r="U5" i="29" s="1"/>
  <c r="Z5" i="29" s="1"/>
  <c r="Q5" i="29"/>
  <c r="N5" i="29"/>
  <c r="L5" i="29"/>
  <c r="AD5" i="29" s="1"/>
  <c r="Y4" i="29"/>
  <c r="S4" i="29"/>
  <c r="U4" i="29" s="1"/>
  <c r="Q4" i="29"/>
  <c r="AF4" i="29" s="1"/>
  <c r="Y9" i="29"/>
  <c r="S9" i="29"/>
  <c r="X9" i="29" s="1"/>
  <c r="Q9" i="29"/>
  <c r="N9" i="29"/>
  <c r="Y23" i="29"/>
  <c r="W23" i="29"/>
  <c r="Y22" i="29"/>
  <c r="W22" i="29"/>
  <c r="N22" i="29"/>
  <c r="L22" i="29"/>
  <c r="Y12" i="29"/>
  <c r="W12" i="29"/>
  <c r="Y20" i="29"/>
  <c r="W20" i="29"/>
  <c r="Y28" i="29"/>
  <c r="W28" i="29"/>
  <c r="L28" i="29"/>
  <c r="Y13" i="29"/>
  <c r="W13" i="29"/>
  <c r="Y11" i="29"/>
  <c r="W11" i="29"/>
  <c r="L11" i="29"/>
  <c r="Y14" i="29"/>
  <c r="W14" i="29"/>
  <c r="Y27" i="29"/>
  <c r="W27" i="29"/>
  <c r="Y19" i="29"/>
  <c r="W19" i="29"/>
  <c r="N19" i="29"/>
  <c r="L19" i="29"/>
  <c r="Y26" i="29"/>
  <c r="W26" i="29"/>
  <c r="N26" i="29"/>
  <c r="Y18" i="29"/>
  <c r="W18" i="29"/>
  <c r="Y15" i="29"/>
  <c r="W15" i="29"/>
  <c r="N15" i="29"/>
  <c r="Y25" i="29"/>
  <c r="W25" i="29"/>
  <c r="N25" i="29"/>
  <c r="Y17" i="29"/>
  <c r="W17" i="29"/>
  <c r="L17" i="29"/>
  <c r="Y21" i="29"/>
  <c r="W21" i="29"/>
  <c r="Y24" i="29"/>
  <c r="W24" i="29"/>
  <c r="N24" i="29"/>
  <c r="L24" i="29"/>
  <c r="Y16" i="29"/>
  <c r="W16" i="29"/>
  <c r="N16" i="29"/>
  <c r="Y100" i="28"/>
  <c r="S100" i="28"/>
  <c r="U100" i="28" s="1"/>
  <c r="Z100" i="28" s="1"/>
  <c r="Q100" i="28"/>
  <c r="N100" i="28"/>
  <c r="L100" i="28"/>
  <c r="AH117" i="28"/>
  <c r="Y97" i="28"/>
  <c r="S97" i="28"/>
  <c r="X97" i="28" s="1"/>
  <c r="Q97" i="28"/>
  <c r="L97" i="28"/>
  <c r="AH116" i="28"/>
  <c r="Y98" i="28"/>
  <c r="S98" i="28"/>
  <c r="X98" i="28" s="1"/>
  <c r="Q98" i="28"/>
  <c r="AH115" i="28"/>
  <c r="Y96" i="28"/>
  <c r="S96" i="28"/>
  <c r="U96" i="28" s="1"/>
  <c r="Q96" i="28"/>
  <c r="N96" i="28"/>
  <c r="L96" i="28"/>
  <c r="Y95" i="28"/>
  <c r="S95" i="28"/>
  <c r="X95" i="28" s="1"/>
  <c r="Q95" i="28"/>
  <c r="N95" i="28"/>
  <c r="L95" i="28"/>
  <c r="Y94" i="28"/>
  <c r="S94" i="28"/>
  <c r="X94" i="28" s="1"/>
  <c r="Q94" i="28"/>
  <c r="AH112" i="28"/>
  <c r="Y99" i="28"/>
  <c r="S99" i="28"/>
  <c r="X99" i="28" s="1"/>
  <c r="Q99" i="28"/>
  <c r="AH111" i="28"/>
  <c r="Y113" i="28"/>
  <c r="W113" i="28"/>
  <c r="AH110" i="28"/>
  <c r="Y112" i="28"/>
  <c r="W112" i="28"/>
  <c r="AH109" i="28"/>
  <c r="Y102" i="28"/>
  <c r="W102" i="28"/>
  <c r="L102" i="28"/>
  <c r="AH108" i="28"/>
  <c r="Y110" i="28"/>
  <c r="W110" i="28"/>
  <c r="Y118" i="28"/>
  <c r="W118" i="28"/>
  <c r="N118" i="28"/>
  <c r="L118" i="28"/>
  <c r="Y103" i="28"/>
  <c r="W103" i="28"/>
  <c r="AH105" i="28"/>
  <c r="Y101" i="28"/>
  <c r="W101" i="28"/>
  <c r="N101" i="28"/>
  <c r="L101" i="28"/>
  <c r="AH104" i="28"/>
  <c r="Y104" i="28"/>
  <c r="W104" i="28"/>
  <c r="AH103" i="28"/>
  <c r="Y117" i="28"/>
  <c r="W117" i="28"/>
  <c r="N117" i="28"/>
  <c r="L117" i="28"/>
  <c r="Y109" i="28"/>
  <c r="W109" i="28"/>
  <c r="AH101" i="28"/>
  <c r="Y116" i="28"/>
  <c r="W116" i="28"/>
  <c r="Y108" i="28"/>
  <c r="W108" i="28"/>
  <c r="Y105" i="28"/>
  <c r="W105" i="28"/>
  <c r="AH98" i="28"/>
  <c r="Y115" i="28"/>
  <c r="W115" i="28"/>
  <c r="AH97" i="28"/>
  <c r="Y107" i="28"/>
  <c r="W107" i="28"/>
  <c r="N107" i="28"/>
  <c r="L107" i="28"/>
  <c r="Y111" i="28"/>
  <c r="W111" i="28"/>
  <c r="AH95" i="28"/>
  <c r="Y114" i="28"/>
  <c r="W114" i="28"/>
  <c r="N114" i="28"/>
  <c r="L114" i="28"/>
  <c r="Y106" i="28"/>
  <c r="W106" i="28"/>
  <c r="L106" i="28"/>
  <c r="AH73" i="28"/>
  <c r="Y55" i="28"/>
  <c r="S55" i="28"/>
  <c r="X55" i="28" s="1"/>
  <c r="Q55" i="28"/>
  <c r="AH72" i="28"/>
  <c r="Y52" i="28"/>
  <c r="S52" i="28"/>
  <c r="U52" i="28" s="1"/>
  <c r="Q52" i="28"/>
  <c r="AF52" i="28" s="1"/>
  <c r="N52" i="28"/>
  <c r="AE52" i="28" s="1"/>
  <c r="L52" i="28"/>
  <c r="AD52" i="28" s="1"/>
  <c r="AH71" i="28"/>
  <c r="Y53" i="28"/>
  <c r="S53" i="28"/>
  <c r="Q53" i="28"/>
  <c r="AH70" i="28"/>
  <c r="Y51" i="28"/>
  <c r="S51" i="28"/>
  <c r="Q51" i="28"/>
  <c r="AH69" i="28"/>
  <c r="Y50" i="28"/>
  <c r="S50" i="28"/>
  <c r="U50" i="28" s="1"/>
  <c r="Q50" i="28"/>
  <c r="N50" i="28"/>
  <c r="Y49" i="28"/>
  <c r="S49" i="28"/>
  <c r="U49" i="28" s="1"/>
  <c r="Q49" i="28"/>
  <c r="L49" i="28"/>
  <c r="AH67" i="28"/>
  <c r="Y54" i="28"/>
  <c r="S54" i="28"/>
  <c r="X54" i="28" s="1"/>
  <c r="Q54" i="28"/>
  <c r="AH66" i="28"/>
  <c r="Y68" i="28"/>
  <c r="W68" i="28"/>
  <c r="Y67" i="28"/>
  <c r="W67" i="28"/>
  <c r="N67" i="28"/>
  <c r="Y57" i="28"/>
  <c r="W57" i="28"/>
  <c r="L57" i="28"/>
  <c r="Y65" i="28"/>
  <c r="W65" i="28"/>
  <c r="N65" i="28"/>
  <c r="L65" i="28"/>
  <c r="Y73" i="28"/>
  <c r="W73" i="28"/>
  <c r="AH61" i="28"/>
  <c r="Y58" i="28"/>
  <c r="W58" i="28"/>
  <c r="Y56" i="28"/>
  <c r="W56" i="28"/>
  <c r="Y59" i="28"/>
  <c r="W59" i="28"/>
  <c r="N59" i="28"/>
  <c r="L59" i="28"/>
  <c r="Y72" i="28"/>
  <c r="W72" i="28"/>
  <c r="N72" i="28"/>
  <c r="L72" i="28"/>
  <c r="AH57" i="28"/>
  <c r="Y64" i="28"/>
  <c r="W64" i="28"/>
  <c r="N64" i="28"/>
  <c r="L64" i="28"/>
  <c r="Y71" i="28"/>
  <c r="W71" i="28"/>
  <c r="N71" i="28"/>
  <c r="L71" i="28"/>
  <c r="AH55" i="28"/>
  <c r="Y63" i="28"/>
  <c r="W63" i="28"/>
  <c r="N63" i="28"/>
  <c r="L63" i="28"/>
  <c r="AH54" i="28"/>
  <c r="Y60" i="28"/>
  <c r="W60" i="28"/>
  <c r="N60" i="28"/>
  <c r="L60" i="28"/>
  <c r="Y70" i="28"/>
  <c r="W70" i="28"/>
  <c r="AH52" i="28"/>
  <c r="Y62" i="28"/>
  <c r="W62" i="28"/>
  <c r="N62" i="28"/>
  <c r="AH51" i="28"/>
  <c r="Y66" i="28"/>
  <c r="W66" i="28"/>
  <c r="N66" i="28"/>
  <c r="L66" i="28"/>
  <c r="AH50" i="28"/>
  <c r="Y69" i="28"/>
  <c r="W69" i="28"/>
  <c r="N69" i="28"/>
  <c r="L69" i="28"/>
  <c r="AH49" i="28"/>
  <c r="AJ49" i="28" s="1"/>
  <c r="Y61" i="28"/>
  <c r="W61" i="28"/>
  <c r="C46" i="28"/>
  <c r="C91" i="28" s="1"/>
  <c r="Y10" i="28"/>
  <c r="S10" i="28"/>
  <c r="Q10" i="28"/>
  <c r="N10" i="28"/>
  <c r="L10" i="28"/>
  <c r="Y7" i="28"/>
  <c r="S7" i="28"/>
  <c r="X7" i="28" s="1"/>
  <c r="Q7" i="28"/>
  <c r="Y8" i="28"/>
  <c r="S8" i="28"/>
  <c r="U8" i="28" s="1"/>
  <c r="Q8" i="28"/>
  <c r="AF8" i="28" s="1"/>
  <c r="N8" i="28"/>
  <c r="L8" i="28"/>
  <c r="AD8" i="28" s="1"/>
  <c r="Y6" i="28"/>
  <c r="S6" i="28"/>
  <c r="U6" i="28" s="1"/>
  <c r="Z6" i="28" s="1"/>
  <c r="Q6" i="28"/>
  <c r="N6" i="28"/>
  <c r="Y5" i="28"/>
  <c r="S5" i="28"/>
  <c r="U5" i="28" s="1"/>
  <c r="Z5" i="28" s="1"/>
  <c r="Q5" i="28"/>
  <c r="N5" i="28"/>
  <c r="AE5" i="28" s="1"/>
  <c r="L5" i="28"/>
  <c r="Y4" i="28"/>
  <c r="S4" i="28"/>
  <c r="X4" i="28" s="1"/>
  <c r="Q4" i="28"/>
  <c r="Y9" i="28"/>
  <c r="S9" i="28"/>
  <c r="X9" i="28" s="1"/>
  <c r="Q9" i="28"/>
  <c r="Y23" i="28"/>
  <c r="W23" i="28"/>
  <c r="Y22" i="28"/>
  <c r="W22" i="28"/>
  <c r="N22" i="28"/>
  <c r="L22" i="28"/>
  <c r="Y12" i="28"/>
  <c r="W12" i="28"/>
  <c r="N12" i="28"/>
  <c r="L12" i="28"/>
  <c r="Y20" i="28"/>
  <c r="W20" i="28"/>
  <c r="N20" i="28"/>
  <c r="L20" i="28"/>
  <c r="Y28" i="28"/>
  <c r="W28" i="28"/>
  <c r="Y13" i="28"/>
  <c r="W13" i="28"/>
  <c r="N13" i="28"/>
  <c r="L13" i="28"/>
  <c r="Y11" i="28"/>
  <c r="W11" i="28"/>
  <c r="N11" i="28"/>
  <c r="Y14" i="28"/>
  <c r="W14" i="28"/>
  <c r="Y27" i="28"/>
  <c r="W27" i="28"/>
  <c r="N27" i="28"/>
  <c r="L27" i="28"/>
  <c r="Y19" i="28"/>
  <c r="W19" i="28"/>
  <c r="L19" i="28"/>
  <c r="Y26" i="28"/>
  <c r="W26" i="28"/>
  <c r="N26" i="28"/>
  <c r="Y18" i="28"/>
  <c r="W18" i="28"/>
  <c r="L18" i="28"/>
  <c r="Y15" i="28"/>
  <c r="W15" i="28"/>
  <c r="N15" i="28"/>
  <c r="Y25" i="28"/>
  <c r="W25" i="28"/>
  <c r="N25" i="28"/>
  <c r="L25" i="28"/>
  <c r="Y17" i="28"/>
  <c r="W17" i="28"/>
  <c r="Y21" i="28"/>
  <c r="W21" i="28"/>
  <c r="L21" i="28"/>
  <c r="Y24" i="28"/>
  <c r="W24" i="28"/>
  <c r="N24" i="28"/>
  <c r="L24" i="28"/>
  <c r="Y16" i="28"/>
  <c r="W16" i="28"/>
  <c r="Y100" i="27"/>
  <c r="S100" i="27"/>
  <c r="X100" i="27" s="1"/>
  <c r="Q100" i="27"/>
  <c r="Y97" i="27"/>
  <c r="S97" i="27"/>
  <c r="Q97" i="27"/>
  <c r="AH116" i="27"/>
  <c r="Y98" i="27"/>
  <c r="S98" i="27"/>
  <c r="X98" i="27" s="1"/>
  <c r="Q98" i="27"/>
  <c r="N98" i="27"/>
  <c r="L98" i="27"/>
  <c r="Y96" i="27"/>
  <c r="S96" i="27"/>
  <c r="U96" i="27" s="1"/>
  <c r="Q96" i="27"/>
  <c r="AH114" i="27"/>
  <c r="Y95" i="27"/>
  <c r="S95" i="27"/>
  <c r="X95" i="27" s="1"/>
  <c r="Q95" i="27"/>
  <c r="L95" i="27"/>
  <c r="AH113" i="27"/>
  <c r="Y94" i="27"/>
  <c r="S94" i="27"/>
  <c r="U94" i="27" s="1"/>
  <c r="Q94" i="27"/>
  <c r="N94" i="27"/>
  <c r="L94" i="27"/>
  <c r="AD94" i="27" s="1"/>
  <c r="AH112" i="27"/>
  <c r="Y99" i="27"/>
  <c r="S99" i="27"/>
  <c r="X99" i="27" s="1"/>
  <c r="Q99" i="27"/>
  <c r="N99" i="27"/>
  <c r="L99" i="27"/>
  <c r="AH111" i="27"/>
  <c r="Y113" i="27"/>
  <c r="W113" i="27"/>
  <c r="N113" i="27"/>
  <c r="L113" i="27"/>
  <c r="Y112" i="27"/>
  <c r="W112" i="27"/>
  <c r="AH109" i="27"/>
  <c r="Y102" i="27"/>
  <c r="W102" i="27"/>
  <c r="N102" i="27"/>
  <c r="L102" i="27"/>
  <c r="Y110" i="27"/>
  <c r="W110" i="27"/>
  <c r="Y118" i="27"/>
  <c r="W118" i="27"/>
  <c r="N118" i="27"/>
  <c r="L118" i="27"/>
  <c r="AH106" i="27"/>
  <c r="Y103" i="27"/>
  <c r="W103" i="27"/>
  <c r="L103" i="27"/>
  <c r="AH105" i="27"/>
  <c r="Y101" i="27"/>
  <c r="W101" i="27"/>
  <c r="N101" i="27"/>
  <c r="L101" i="27"/>
  <c r="Y104" i="27"/>
  <c r="W104" i="27"/>
  <c r="N104" i="27"/>
  <c r="L104" i="27"/>
  <c r="Y117" i="27"/>
  <c r="W117" i="27"/>
  <c r="Y109" i="27"/>
  <c r="W109" i="27"/>
  <c r="N109" i="27"/>
  <c r="L109" i="27"/>
  <c r="AH101" i="27"/>
  <c r="Y116" i="27"/>
  <c r="W116" i="27"/>
  <c r="AH100" i="27"/>
  <c r="Y108" i="27"/>
  <c r="W108" i="27"/>
  <c r="N108" i="27"/>
  <c r="Y105" i="27"/>
  <c r="W105" i="27"/>
  <c r="N105" i="27"/>
  <c r="L105" i="27"/>
  <c r="Y115" i="27"/>
  <c r="W115" i="27"/>
  <c r="AH97" i="27"/>
  <c r="Y107" i="27"/>
  <c r="W107" i="27"/>
  <c r="N107" i="27"/>
  <c r="L107" i="27"/>
  <c r="AH96" i="27"/>
  <c r="Y111" i="27"/>
  <c r="W111" i="27"/>
  <c r="N111" i="27"/>
  <c r="L111" i="27"/>
  <c r="Y114" i="27"/>
  <c r="W114" i="27"/>
  <c r="AH94" i="27"/>
  <c r="AJ94" i="27" s="1"/>
  <c r="Y106" i="27"/>
  <c r="W106" i="27"/>
  <c r="Y55" i="27"/>
  <c r="S55" i="27"/>
  <c r="U55" i="27" s="1"/>
  <c r="Q55" i="27"/>
  <c r="N55" i="27"/>
  <c r="L55" i="27"/>
  <c r="AH72" i="27"/>
  <c r="Y52" i="27"/>
  <c r="S52" i="27"/>
  <c r="U52" i="27" s="1"/>
  <c r="Q52" i="27"/>
  <c r="AH71" i="27"/>
  <c r="Y53" i="27"/>
  <c r="S53" i="27"/>
  <c r="Q53" i="27"/>
  <c r="Y51" i="27"/>
  <c r="S51" i="27"/>
  <c r="U51" i="27" s="1"/>
  <c r="Q51" i="27"/>
  <c r="N51" i="27"/>
  <c r="L51" i="27"/>
  <c r="AD51" i="27" s="1"/>
  <c r="Y50" i="27"/>
  <c r="S50" i="27"/>
  <c r="X50" i="27" s="1"/>
  <c r="Q50" i="27"/>
  <c r="N50" i="27"/>
  <c r="L50" i="27"/>
  <c r="Y49" i="27"/>
  <c r="S49" i="27"/>
  <c r="Q49" i="27"/>
  <c r="N49" i="27"/>
  <c r="L49" i="27"/>
  <c r="Y54" i="27"/>
  <c r="S54" i="27"/>
  <c r="X54" i="27" s="1"/>
  <c r="Q54" i="27"/>
  <c r="AH66" i="27"/>
  <c r="Y68" i="27"/>
  <c r="W68" i="27"/>
  <c r="AH65" i="27"/>
  <c r="Y67" i="27"/>
  <c r="W67" i="27"/>
  <c r="N67" i="27"/>
  <c r="L67" i="27"/>
  <c r="AH64" i="27"/>
  <c r="Y57" i="27"/>
  <c r="W57" i="27"/>
  <c r="N57" i="27"/>
  <c r="L57" i="27"/>
  <c r="Y65" i="27"/>
  <c r="W65" i="27"/>
  <c r="AH62" i="27"/>
  <c r="Y73" i="27"/>
  <c r="W73" i="27"/>
  <c r="N73" i="27"/>
  <c r="L73" i="27"/>
  <c r="AH61" i="27"/>
  <c r="Y58" i="27"/>
  <c r="W58" i="27"/>
  <c r="N58" i="27"/>
  <c r="L58" i="27"/>
  <c r="AH60" i="27"/>
  <c r="Y56" i="27"/>
  <c r="W56" i="27"/>
  <c r="N56" i="27"/>
  <c r="L56" i="27"/>
  <c r="AH59" i="27"/>
  <c r="Y59" i="27"/>
  <c r="W59" i="27"/>
  <c r="AH58" i="27"/>
  <c r="Y72" i="27"/>
  <c r="W72" i="27"/>
  <c r="N72" i="27"/>
  <c r="L72" i="27"/>
  <c r="AH57" i="27"/>
  <c r="Y64" i="27"/>
  <c r="W64" i="27"/>
  <c r="N64" i="27"/>
  <c r="Y71" i="27"/>
  <c r="W71" i="27"/>
  <c r="AH55" i="27"/>
  <c r="Y63" i="27"/>
  <c r="W63" i="27"/>
  <c r="Y60" i="27"/>
  <c r="W60" i="27"/>
  <c r="N60" i="27"/>
  <c r="L60" i="27"/>
  <c r="AH53" i="27"/>
  <c r="Y70" i="27"/>
  <c r="W70" i="27"/>
  <c r="N70" i="27"/>
  <c r="L70" i="27"/>
  <c r="Y62" i="27"/>
  <c r="W62" i="27"/>
  <c r="Y66" i="27"/>
  <c r="W66" i="27"/>
  <c r="N66" i="27"/>
  <c r="L66" i="27"/>
  <c r="AH50" i="27"/>
  <c r="Y69" i="27"/>
  <c r="W69" i="27"/>
  <c r="N69" i="27"/>
  <c r="L69" i="27"/>
  <c r="AH49" i="27"/>
  <c r="AJ49" i="27" s="1"/>
  <c r="Y61" i="27"/>
  <c r="W61" i="27"/>
  <c r="C46" i="27"/>
  <c r="C91" i="27" s="1"/>
  <c r="Y10" i="27"/>
  <c r="S10" i="27"/>
  <c r="U10" i="27" s="1"/>
  <c r="Z10" i="27" s="1"/>
  <c r="Q10" i="27"/>
  <c r="N10" i="27"/>
  <c r="L10" i="27"/>
  <c r="Y7" i="27"/>
  <c r="S7" i="27"/>
  <c r="U7" i="27" s="1"/>
  <c r="Z7" i="27" s="1"/>
  <c r="Q7" i="27"/>
  <c r="N7" i="27"/>
  <c r="L7" i="27"/>
  <c r="Y8" i="27"/>
  <c r="S8" i="27"/>
  <c r="X8" i="27" s="1"/>
  <c r="Q8" i="27"/>
  <c r="N8" i="27"/>
  <c r="L8" i="27"/>
  <c r="Y6" i="27"/>
  <c r="S6" i="27"/>
  <c r="X6" i="27" s="1"/>
  <c r="Q6" i="27"/>
  <c r="L6" i="27"/>
  <c r="Y5" i="27"/>
  <c r="S5" i="27"/>
  <c r="U5" i="27" s="1"/>
  <c r="Q5" i="27"/>
  <c r="N5" i="27"/>
  <c r="L5" i="27"/>
  <c r="Y4" i="27"/>
  <c r="S4" i="27"/>
  <c r="U4" i="27" s="1"/>
  <c r="Q4" i="27"/>
  <c r="Y9" i="27"/>
  <c r="S9" i="27"/>
  <c r="X9" i="27" s="1"/>
  <c r="Q9" i="27"/>
  <c r="N9" i="27"/>
  <c r="L9" i="27"/>
  <c r="Y23" i="27"/>
  <c r="W23" i="27"/>
  <c r="N23" i="27"/>
  <c r="L23" i="27"/>
  <c r="Y22" i="27"/>
  <c r="W22" i="27"/>
  <c r="Y12" i="27"/>
  <c r="W12" i="27"/>
  <c r="L12" i="27"/>
  <c r="Y20" i="27"/>
  <c r="W20" i="27"/>
  <c r="L20" i="27"/>
  <c r="Y28" i="27"/>
  <c r="W28" i="27"/>
  <c r="N28" i="27"/>
  <c r="L28" i="27"/>
  <c r="Y13" i="27"/>
  <c r="W13" i="27"/>
  <c r="N13" i="27"/>
  <c r="L13" i="27"/>
  <c r="Y11" i="27"/>
  <c r="W11" i="27"/>
  <c r="N11" i="27"/>
  <c r="L11" i="27"/>
  <c r="Y14" i="27"/>
  <c r="W14" i="27"/>
  <c r="L14" i="27"/>
  <c r="Y27" i="27"/>
  <c r="W27" i="27"/>
  <c r="L27" i="27"/>
  <c r="Y19" i="27"/>
  <c r="W19" i="27"/>
  <c r="Y26" i="27"/>
  <c r="W26" i="27"/>
  <c r="N26" i="27"/>
  <c r="L26" i="27"/>
  <c r="Y18" i="27"/>
  <c r="W18" i="27"/>
  <c r="Y15" i="27"/>
  <c r="W15" i="27"/>
  <c r="N15" i="27"/>
  <c r="L15" i="27"/>
  <c r="Y25" i="27"/>
  <c r="W25" i="27"/>
  <c r="N25" i="27"/>
  <c r="L25" i="27"/>
  <c r="Y17" i="27"/>
  <c r="W17" i="27"/>
  <c r="L17" i="27"/>
  <c r="Y21" i="27"/>
  <c r="W21" i="27"/>
  <c r="N21" i="27"/>
  <c r="L21" i="27"/>
  <c r="Y24" i="27"/>
  <c r="W24" i="27"/>
  <c r="L24" i="27"/>
  <c r="Y16" i="27"/>
  <c r="W16" i="27"/>
  <c r="N16" i="27"/>
  <c r="L16" i="27"/>
  <c r="C91" i="26"/>
  <c r="C46" i="26"/>
  <c r="Y100" i="26"/>
  <c r="S100" i="26"/>
  <c r="X100" i="26" s="1"/>
  <c r="Q100" i="26"/>
  <c r="N100" i="26"/>
  <c r="AH117" i="26"/>
  <c r="Y97" i="26"/>
  <c r="S97" i="26"/>
  <c r="X97" i="26" s="1"/>
  <c r="Q97" i="26"/>
  <c r="N97" i="26"/>
  <c r="L97" i="26"/>
  <c r="Y98" i="26"/>
  <c r="S98" i="26"/>
  <c r="U98" i="26" s="1"/>
  <c r="Z98" i="26" s="1"/>
  <c r="Q98" i="26"/>
  <c r="N98" i="26"/>
  <c r="AH115" i="26"/>
  <c r="Y96" i="26"/>
  <c r="S96" i="26"/>
  <c r="X96" i="26" s="1"/>
  <c r="Q96" i="26"/>
  <c r="N96" i="26"/>
  <c r="L96" i="26"/>
  <c r="AH114" i="26"/>
  <c r="Y95" i="26"/>
  <c r="S95" i="26"/>
  <c r="X95" i="26" s="1"/>
  <c r="Q95" i="26"/>
  <c r="AH113" i="26"/>
  <c r="Y94" i="26"/>
  <c r="S94" i="26"/>
  <c r="X94" i="26" s="1"/>
  <c r="Q94" i="26"/>
  <c r="N94" i="26"/>
  <c r="Y99" i="26"/>
  <c r="S99" i="26"/>
  <c r="U99" i="26" s="1"/>
  <c r="Z99" i="26" s="1"/>
  <c r="Q99" i="26"/>
  <c r="N99" i="26"/>
  <c r="AH111" i="26"/>
  <c r="Y113" i="26"/>
  <c r="W113" i="26"/>
  <c r="AH110" i="26"/>
  <c r="Y112" i="26"/>
  <c r="W112" i="26"/>
  <c r="AH109" i="26"/>
  <c r="Y102" i="26"/>
  <c r="W102" i="26"/>
  <c r="N102" i="26"/>
  <c r="L102" i="26"/>
  <c r="Y110" i="26"/>
  <c r="W110" i="26"/>
  <c r="L110" i="26"/>
  <c r="Y118" i="26"/>
  <c r="W118" i="26"/>
  <c r="AH106" i="26"/>
  <c r="Y103" i="26"/>
  <c r="W103" i="26"/>
  <c r="Y101" i="26"/>
  <c r="W101" i="26"/>
  <c r="Y104" i="26"/>
  <c r="W104" i="26"/>
  <c r="N104" i="26"/>
  <c r="L104" i="26"/>
  <c r="AH103" i="26"/>
  <c r="Y117" i="26"/>
  <c r="W117" i="26"/>
  <c r="AH102" i="26"/>
  <c r="Y109" i="26"/>
  <c r="W109" i="26"/>
  <c r="Y116" i="26"/>
  <c r="W116" i="26"/>
  <c r="Y108" i="26"/>
  <c r="W108" i="26"/>
  <c r="L108" i="26"/>
  <c r="Y105" i="26"/>
  <c r="W105" i="26"/>
  <c r="AH98" i="26"/>
  <c r="Y115" i="26"/>
  <c r="W115" i="26"/>
  <c r="Y107" i="26"/>
  <c r="W107" i="26"/>
  <c r="AH96" i="26"/>
  <c r="Y111" i="26"/>
  <c r="W111" i="26"/>
  <c r="N111" i="26"/>
  <c r="L111" i="26"/>
  <c r="AH95" i="26"/>
  <c r="Y114" i="26"/>
  <c r="W114" i="26"/>
  <c r="N114" i="26"/>
  <c r="L114" i="26"/>
  <c r="AH94" i="26"/>
  <c r="AJ94" i="26" s="1"/>
  <c r="Y106" i="26"/>
  <c r="W106" i="26"/>
  <c r="Y55" i="26"/>
  <c r="S55" i="26"/>
  <c r="X55" i="26" s="1"/>
  <c r="Q55" i="26"/>
  <c r="L55" i="26"/>
  <c r="Y52" i="26"/>
  <c r="S52" i="26"/>
  <c r="X52" i="26" s="1"/>
  <c r="Q52" i="26"/>
  <c r="AH71" i="26"/>
  <c r="Y53" i="26"/>
  <c r="S53" i="26"/>
  <c r="X53" i="26" s="1"/>
  <c r="Q53" i="26"/>
  <c r="AH70" i="26"/>
  <c r="Y51" i="26"/>
  <c r="S51" i="26"/>
  <c r="U51" i="26" s="1"/>
  <c r="Q51" i="26"/>
  <c r="Y50" i="26"/>
  <c r="S50" i="26"/>
  <c r="X50" i="26" s="1"/>
  <c r="Q50" i="26"/>
  <c r="N50" i="26"/>
  <c r="L50" i="26"/>
  <c r="AH68" i="26"/>
  <c r="Y49" i="26"/>
  <c r="S49" i="26"/>
  <c r="X49" i="26" s="1"/>
  <c r="Q49" i="26"/>
  <c r="AH67" i="26"/>
  <c r="Y54" i="26"/>
  <c r="S54" i="26"/>
  <c r="X54" i="26" s="1"/>
  <c r="Q54" i="26"/>
  <c r="Y68" i="26"/>
  <c r="W68" i="26"/>
  <c r="Y67" i="26"/>
  <c r="W67" i="26"/>
  <c r="N67" i="26"/>
  <c r="L67" i="26"/>
  <c r="Y57" i="26"/>
  <c r="W57" i="26"/>
  <c r="N57" i="26"/>
  <c r="L57" i="26"/>
  <c r="AH63" i="26"/>
  <c r="Y65" i="26"/>
  <c r="W65" i="26"/>
  <c r="L65" i="26"/>
  <c r="Y73" i="26"/>
  <c r="W73" i="26"/>
  <c r="N73" i="26"/>
  <c r="L73" i="26"/>
  <c r="Y58" i="26"/>
  <c r="W58" i="26"/>
  <c r="N58" i="26"/>
  <c r="L58" i="26"/>
  <c r="AH60" i="26"/>
  <c r="Y56" i="26"/>
  <c r="W56" i="26"/>
  <c r="AH59" i="26"/>
  <c r="Y59" i="26"/>
  <c r="W59" i="26"/>
  <c r="L59" i="26"/>
  <c r="Y72" i="26"/>
  <c r="W72" i="26"/>
  <c r="N72" i="26"/>
  <c r="L72" i="26"/>
  <c r="Y64" i="26"/>
  <c r="W64" i="26"/>
  <c r="N64" i="26"/>
  <c r="L64" i="26"/>
  <c r="AH56" i="26"/>
  <c r="Y71" i="26"/>
  <c r="W71" i="26"/>
  <c r="N71" i="26"/>
  <c r="Y63" i="26"/>
  <c r="W63" i="26"/>
  <c r="Y60" i="26"/>
  <c r="W60" i="26"/>
  <c r="N60" i="26"/>
  <c r="L60" i="26"/>
  <c r="Y70" i="26"/>
  <c r="W70" i="26"/>
  <c r="N70" i="26"/>
  <c r="L70" i="26"/>
  <c r="Y62" i="26"/>
  <c r="W62" i="26"/>
  <c r="AH51" i="26"/>
  <c r="Y66" i="26"/>
  <c r="W66" i="26"/>
  <c r="Y69" i="26"/>
  <c r="W69" i="26"/>
  <c r="N69" i="26"/>
  <c r="L69" i="26"/>
  <c r="AH49" i="26"/>
  <c r="AJ49" i="26" s="1"/>
  <c r="Y61" i="26"/>
  <c r="W61" i="26"/>
  <c r="N61" i="26"/>
  <c r="L61" i="26"/>
  <c r="Y10" i="26"/>
  <c r="S10" i="26"/>
  <c r="U10" i="26" s="1"/>
  <c r="Z10" i="26" s="1"/>
  <c r="Q10" i="26"/>
  <c r="N10" i="26"/>
  <c r="Y7" i="26"/>
  <c r="S7" i="26"/>
  <c r="Q7" i="26"/>
  <c r="Y8" i="26"/>
  <c r="S8" i="26"/>
  <c r="X8" i="26" s="1"/>
  <c r="Q8" i="26"/>
  <c r="Y6" i="26"/>
  <c r="S6" i="26"/>
  <c r="X6" i="26" s="1"/>
  <c r="Q6" i="26"/>
  <c r="Y5" i="26"/>
  <c r="S5" i="26"/>
  <c r="U5" i="26" s="1"/>
  <c r="Q5" i="26"/>
  <c r="N5" i="26"/>
  <c r="L5" i="26"/>
  <c r="AD5" i="26" s="1"/>
  <c r="Y4" i="26"/>
  <c r="S4" i="26"/>
  <c r="Q4" i="26"/>
  <c r="N4" i="26"/>
  <c r="L4" i="26"/>
  <c r="Y9" i="26"/>
  <c r="S9" i="26"/>
  <c r="X9" i="26" s="1"/>
  <c r="Q9" i="26"/>
  <c r="Y23" i="26"/>
  <c r="W23" i="26"/>
  <c r="Y22" i="26"/>
  <c r="W22" i="26"/>
  <c r="N22" i="26"/>
  <c r="L22" i="26"/>
  <c r="Y12" i="26"/>
  <c r="W12" i="26"/>
  <c r="Y20" i="26"/>
  <c r="W20" i="26"/>
  <c r="N20" i="26"/>
  <c r="Y28" i="26"/>
  <c r="W28" i="26"/>
  <c r="N28" i="26"/>
  <c r="L28" i="26"/>
  <c r="Y13" i="26"/>
  <c r="W13" i="26"/>
  <c r="N13" i="26"/>
  <c r="L13" i="26"/>
  <c r="Y11" i="26"/>
  <c r="W11" i="26"/>
  <c r="N11" i="26"/>
  <c r="L11" i="26"/>
  <c r="Y14" i="26"/>
  <c r="W14" i="26"/>
  <c r="N14" i="26"/>
  <c r="L14" i="26"/>
  <c r="Y27" i="26"/>
  <c r="W27" i="26"/>
  <c r="N27" i="26"/>
  <c r="L27" i="26"/>
  <c r="Y19" i="26"/>
  <c r="W19" i="26"/>
  <c r="Y26" i="26"/>
  <c r="W26" i="26"/>
  <c r="N26" i="26"/>
  <c r="Y18" i="26"/>
  <c r="W18" i="26"/>
  <c r="N18" i="26"/>
  <c r="Y15" i="26"/>
  <c r="W15" i="26"/>
  <c r="N15" i="26"/>
  <c r="L15" i="26"/>
  <c r="Y25" i="26"/>
  <c r="W25" i="26"/>
  <c r="N25" i="26"/>
  <c r="L25" i="26"/>
  <c r="Y17" i="26"/>
  <c r="W17" i="26"/>
  <c r="N17" i="26"/>
  <c r="L17" i="26"/>
  <c r="Y21" i="26"/>
  <c r="W21" i="26"/>
  <c r="N21" i="26"/>
  <c r="L21" i="26"/>
  <c r="Y24" i="26"/>
  <c r="W24" i="26"/>
  <c r="N24" i="26"/>
  <c r="L24" i="26"/>
  <c r="Y16" i="26"/>
  <c r="W16" i="26"/>
  <c r="N16" i="26"/>
  <c r="L16" i="26"/>
  <c r="S20" i="23"/>
  <c r="AH117" i="29" l="1"/>
  <c r="AH100" i="29"/>
  <c r="L102" i="29"/>
  <c r="N99" i="29"/>
  <c r="AH110" i="29"/>
  <c r="AH114" i="29"/>
  <c r="N66" i="29"/>
  <c r="AH55" i="29"/>
  <c r="AH63" i="29"/>
  <c r="L61" i="29"/>
  <c r="AE52" i="29"/>
  <c r="N53" i="29"/>
  <c r="R53" i="29" s="1"/>
  <c r="N59" i="29"/>
  <c r="AH52" i="29"/>
  <c r="AE4" i="29"/>
  <c r="AF5" i="29"/>
  <c r="L23" i="29"/>
  <c r="N111" i="28"/>
  <c r="AH107" i="28"/>
  <c r="N104" i="28"/>
  <c r="AH100" i="28"/>
  <c r="AH106" i="28"/>
  <c r="AH102" i="28"/>
  <c r="L73" i="28"/>
  <c r="U54" i="28"/>
  <c r="Z54" i="28" s="1"/>
  <c r="AH58" i="28"/>
  <c r="AH63" i="28"/>
  <c r="AD49" i="28"/>
  <c r="AF49" i="28"/>
  <c r="AH65" i="28"/>
  <c r="L4" i="28"/>
  <c r="L14" i="28"/>
  <c r="N17" i="28"/>
  <c r="L9" i="28"/>
  <c r="AJ141" i="27"/>
  <c r="AJ142" i="27" s="1"/>
  <c r="AJ143" i="27" s="1"/>
  <c r="AJ144" i="27" s="1"/>
  <c r="AJ145" i="27" s="1"/>
  <c r="AJ146" i="27" s="1"/>
  <c r="AJ147" i="27" s="1"/>
  <c r="AJ148" i="27" s="1"/>
  <c r="AJ149" i="27" s="1"/>
  <c r="AJ150" i="27" s="1"/>
  <c r="AJ151" i="27" s="1"/>
  <c r="AJ152" i="27" s="1"/>
  <c r="AJ153" i="27" s="1"/>
  <c r="N110" i="27"/>
  <c r="L112" i="27"/>
  <c r="L116" i="27"/>
  <c r="AF94" i="27"/>
  <c r="L96" i="27"/>
  <c r="AD96" i="27" s="1"/>
  <c r="AH95" i="27"/>
  <c r="L71" i="27"/>
  <c r="AD55" i="27"/>
  <c r="AH68" i="27"/>
  <c r="L18" i="27"/>
  <c r="L19" i="27"/>
  <c r="AH99" i="26"/>
  <c r="L101" i="26"/>
  <c r="AH100" i="26"/>
  <c r="AH72" i="26"/>
  <c r="L68" i="26"/>
  <c r="L52" i="26"/>
  <c r="L62" i="26"/>
  <c r="AH53" i="26"/>
  <c r="AH73" i="26"/>
  <c r="AE5" i="26"/>
  <c r="AF5" i="26"/>
  <c r="L19" i="26"/>
  <c r="AE10" i="26"/>
  <c r="AJ140" i="25"/>
  <c r="AJ141" i="25" s="1"/>
  <c r="AJ142" i="25" s="1"/>
  <c r="AJ143" i="25" s="1"/>
  <c r="AJ144" i="25" s="1"/>
  <c r="AJ145" i="25" s="1"/>
  <c r="AJ146" i="25" s="1"/>
  <c r="AJ147" i="25" s="1"/>
  <c r="AJ148" i="25" s="1"/>
  <c r="AJ149" i="25" s="1"/>
  <c r="AJ150" i="25" s="1"/>
  <c r="AJ151" i="25" s="1"/>
  <c r="AJ152" i="25" s="1"/>
  <c r="AJ153" i="25" s="1"/>
  <c r="AJ154" i="25" s="1"/>
  <c r="AJ155" i="25" s="1"/>
  <c r="AJ156" i="25" s="1"/>
  <c r="AJ157" i="25" s="1"/>
  <c r="AJ158" i="25" s="1"/>
  <c r="AJ159" i="25" s="1"/>
  <c r="AJ160" i="25" s="1"/>
  <c r="AJ161" i="25" s="1"/>
  <c r="AJ162" i="25" s="1"/>
  <c r="AJ163" i="25" s="1"/>
  <c r="AH111" i="25"/>
  <c r="AH97" i="25"/>
  <c r="AF50" i="25"/>
  <c r="AH71" i="25"/>
  <c r="AH67" i="25"/>
  <c r="AH53" i="25"/>
  <c r="AH72" i="25"/>
  <c r="AE10" i="25"/>
  <c r="AF10" i="25"/>
  <c r="L104" i="29"/>
  <c r="L117" i="29"/>
  <c r="N106" i="29"/>
  <c r="L116" i="29"/>
  <c r="L64" i="29"/>
  <c r="L71" i="29"/>
  <c r="L50" i="29"/>
  <c r="R50" i="29" s="1"/>
  <c r="L72" i="29"/>
  <c r="L52" i="29"/>
  <c r="AD52" i="29" s="1"/>
  <c r="AD49" i="29"/>
  <c r="AE49" i="29"/>
  <c r="L4" i="29"/>
  <c r="AD4" i="29" s="1"/>
  <c r="L27" i="29"/>
  <c r="L10" i="29"/>
  <c r="R10" i="29" s="1"/>
  <c r="L6" i="29"/>
  <c r="X100" i="28"/>
  <c r="L115" i="28"/>
  <c r="N108" i="28"/>
  <c r="N109" i="28"/>
  <c r="L113" i="28"/>
  <c r="L98" i="28"/>
  <c r="L103" i="28"/>
  <c r="L110" i="28"/>
  <c r="AD96" i="28"/>
  <c r="L112" i="28"/>
  <c r="AE96" i="28"/>
  <c r="AD100" i="28"/>
  <c r="AF96" i="28"/>
  <c r="AF100" i="28"/>
  <c r="AH114" i="28"/>
  <c r="L61" i="28"/>
  <c r="L53" i="28"/>
  <c r="L70" i="28"/>
  <c r="AE49" i="28"/>
  <c r="AH60" i="28"/>
  <c r="L58" i="28"/>
  <c r="L28" i="28"/>
  <c r="L23" i="28"/>
  <c r="AJ154" i="27"/>
  <c r="L115" i="27"/>
  <c r="AH110" i="27"/>
  <c r="N65" i="27"/>
  <c r="L63" i="27"/>
  <c r="L59" i="27"/>
  <c r="L54" i="27"/>
  <c r="L62" i="27"/>
  <c r="L68" i="27"/>
  <c r="G74" i="27"/>
  <c r="L4" i="27"/>
  <c r="AD7" i="27"/>
  <c r="L109" i="26"/>
  <c r="N113" i="26"/>
  <c r="N95" i="26"/>
  <c r="AH107" i="26"/>
  <c r="AH116" i="26"/>
  <c r="N118" i="26"/>
  <c r="AF95" i="26"/>
  <c r="L112" i="26"/>
  <c r="U95" i="26"/>
  <c r="AD95" i="26" s="1"/>
  <c r="L107" i="26"/>
  <c r="N105" i="26"/>
  <c r="L116" i="26"/>
  <c r="AD99" i="26"/>
  <c r="L106" i="26"/>
  <c r="L117" i="26"/>
  <c r="L54" i="26"/>
  <c r="AD99" i="25"/>
  <c r="AD98" i="25"/>
  <c r="AH103" i="25"/>
  <c r="AF55" i="25"/>
  <c r="AH58" i="25"/>
  <c r="L97" i="29"/>
  <c r="R97" i="29" s="1"/>
  <c r="AH109" i="29"/>
  <c r="AH103" i="29"/>
  <c r="L109" i="29"/>
  <c r="L98" i="29"/>
  <c r="R98" i="29" s="1"/>
  <c r="G119" i="29"/>
  <c r="AH108" i="29"/>
  <c r="L55" i="29"/>
  <c r="R55" i="29" s="1"/>
  <c r="G74" i="29"/>
  <c r="L68" i="29"/>
  <c r="AF49" i="29"/>
  <c r="AF52" i="29"/>
  <c r="L62" i="29"/>
  <c r="AH67" i="29"/>
  <c r="AE7" i="29"/>
  <c r="L13" i="29"/>
  <c r="AE5" i="29"/>
  <c r="AF7" i="29"/>
  <c r="L12" i="29"/>
  <c r="AJ144" i="28"/>
  <c r="AJ145" i="28" s="1"/>
  <c r="AJ146" i="28" s="1"/>
  <c r="AJ147" i="28" s="1"/>
  <c r="AJ148" i="28" s="1"/>
  <c r="AJ149" i="28" s="1"/>
  <c r="AJ150" i="28" s="1"/>
  <c r="AJ151" i="28" s="1"/>
  <c r="AJ152" i="28" s="1"/>
  <c r="L94" i="28"/>
  <c r="AH96" i="28"/>
  <c r="L99" i="28"/>
  <c r="R99" i="28" s="1"/>
  <c r="AF98" i="28"/>
  <c r="AH94" i="28"/>
  <c r="AJ94" i="28" s="1"/>
  <c r="AF99" i="28"/>
  <c r="G119" i="28"/>
  <c r="L116" i="28"/>
  <c r="AE100" i="28"/>
  <c r="X50" i="28"/>
  <c r="AH64" i="28"/>
  <c r="Z52" i="28"/>
  <c r="AF54" i="28"/>
  <c r="L56" i="28"/>
  <c r="AD50" i="28"/>
  <c r="AE50" i="28"/>
  <c r="G74" i="28"/>
  <c r="AH56" i="28"/>
  <c r="AF50" i="28"/>
  <c r="AE54" i="28"/>
  <c r="AD5" i="28"/>
  <c r="AF5" i="28"/>
  <c r="AE8" i="28"/>
  <c r="AD6" i="28"/>
  <c r="AE6" i="28"/>
  <c r="L16" i="28"/>
  <c r="AF6" i="28"/>
  <c r="G119" i="27"/>
  <c r="AF96" i="27"/>
  <c r="AE94" i="27"/>
  <c r="AH107" i="27"/>
  <c r="AE55" i="27"/>
  <c r="AE52" i="27"/>
  <c r="L61" i="27"/>
  <c r="AF55" i="27"/>
  <c r="AF54" i="27"/>
  <c r="AE51" i="27"/>
  <c r="AF52" i="27"/>
  <c r="AF51" i="27"/>
  <c r="AH54" i="27"/>
  <c r="AH70" i="27"/>
  <c r="AE7" i="27"/>
  <c r="AD5" i="27"/>
  <c r="AF7" i="27"/>
  <c r="AE5" i="27"/>
  <c r="AF5" i="27"/>
  <c r="AD4" i="27"/>
  <c r="AD10" i="27"/>
  <c r="AE4" i="27"/>
  <c r="AE10" i="27"/>
  <c r="AF4" i="27"/>
  <c r="AF10" i="27"/>
  <c r="X99" i="26"/>
  <c r="AE99" i="26"/>
  <c r="AE98" i="26"/>
  <c r="AH97" i="26"/>
  <c r="AF99" i="26"/>
  <c r="AF98" i="26"/>
  <c r="G119" i="26"/>
  <c r="AH105" i="26"/>
  <c r="AH101" i="26"/>
  <c r="AD98" i="26"/>
  <c r="N53" i="26"/>
  <c r="U49" i="26"/>
  <c r="AF49" i="26" s="1"/>
  <c r="AH69" i="26"/>
  <c r="U52" i="26"/>
  <c r="AE52" i="26" s="1"/>
  <c r="AH57" i="26"/>
  <c r="AD54" i="26"/>
  <c r="AF51" i="26"/>
  <c r="U53" i="26"/>
  <c r="Z53" i="26" s="1"/>
  <c r="Z51" i="26"/>
  <c r="L63" i="26"/>
  <c r="AE49" i="26"/>
  <c r="AH66" i="26"/>
  <c r="AE51" i="26"/>
  <c r="AF10" i="26"/>
  <c r="AD10" i="26"/>
  <c r="L7" i="26"/>
  <c r="L6" i="26"/>
  <c r="L9" i="26"/>
  <c r="R9" i="26" s="1"/>
  <c r="AA140" i="25"/>
  <c r="AB140" i="25" s="1"/>
  <c r="G119" i="25"/>
  <c r="AE99" i="25"/>
  <c r="AE98" i="25"/>
  <c r="AH108" i="25"/>
  <c r="AF99" i="25"/>
  <c r="AF98" i="25"/>
  <c r="AH102" i="25"/>
  <c r="AD94" i="25"/>
  <c r="AH57" i="25"/>
  <c r="AH73" i="25"/>
  <c r="G74" i="25"/>
  <c r="AH51" i="25"/>
  <c r="AF49" i="25"/>
  <c r="AD50" i="25"/>
  <c r="AD55" i="25"/>
  <c r="AE50" i="25"/>
  <c r="AE55" i="25"/>
  <c r="AF7" i="25"/>
  <c r="AD7" i="25"/>
  <c r="AD10" i="25"/>
  <c r="L142" i="28"/>
  <c r="AD142" i="28" s="1"/>
  <c r="N142" i="28"/>
  <c r="AE142" i="28" s="1"/>
  <c r="N161" i="28"/>
  <c r="L161" i="28"/>
  <c r="N140" i="29"/>
  <c r="AE140" i="29" s="1"/>
  <c r="L140" i="29"/>
  <c r="N139" i="28"/>
  <c r="AE139" i="28" s="1"/>
  <c r="L139" i="28"/>
  <c r="AD139" i="28" s="1"/>
  <c r="N152" i="28"/>
  <c r="L152" i="28"/>
  <c r="N146" i="28"/>
  <c r="L146" i="28"/>
  <c r="U50" i="26"/>
  <c r="Z50" i="26" s="1"/>
  <c r="G74" i="26"/>
  <c r="Z5" i="27"/>
  <c r="L54" i="28"/>
  <c r="AD54" i="28" s="1"/>
  <c r="L55" i="28"/>
  <c r="L105" i="28"/>
  <c r="Z96" i="28"/>
  <c r="U98" i="28"/>
  <c r="Z98" i="28" s="1"/>
  <c r="U97" i="28"/>
  <c r="Z97" i="28" s="1"/>
  <c r="L96" i="29"/>
  <c r="AD96" i="29" s="1"/>
  <c r="N154" i="26"/>
  <c r="L154" i="26"/>
  <c r="N141" i="28"/>
  <c r="AE141" i="28" s="1"/>
  <c r="L141" i="28"/>
  <c r="AD141" i="28" s="1"/>
  <c r="N158" i="26"/>
  <c r="L158" i="26"/>
  <c r="L147" i="29"/>
  <c r="N147" i="29"/>
  <c r="N143" i="26"/>
  <c r="AE143" i="26" s="1"/>
  <c r="L143" i="26"/>
  <c r="AD143" i="26" s="1"/>
  <c r="N144" i="28"/>
  <c r="AE144" i="28" s="1"/>
  <c r="L144" i="28"/>
  <c r="AD144" i="28" s="1"/>
  <c r="L153" i="26"/>
  <c r="N153" i="26"/>
  <c r="N155" i="26"/>
  <c r="L155" i="26"/>
  <c r="N159" i="29"/>
  <c r="L159" i="29"/>
  <c r="N145" i="28"/>
  <c r="AE145" i="28" s="1"/>
  <c r="L145" i="28"/>
  <c r="AD145" i="28" s="1"/>
  <c r="AH98" i="27"/>
  <c r="X96" i="28"/>
  <c r="AH49" i="25"/>
  <c r="AJ49" i="25" s="1"/>
  <c r="AJ50" i="25" s="1"/>
  <c r="AH101" i="25"/>
  <c r="N140" i="26"/>
  <c r="AE140" i="26" s="1"/>
  <c r="L140" i="26"/>
  <c r="AD140" i="26" s="1"/>
  <c r="L158" i="29"/>
  <c r="N158" i="29"/>
  <c r="N160" i="26"/>
  <c r="L160" i="26"/>
  <c r="N148" i="26"/>
  <c r="L148" i="26"/>
  <c r="N147" i="28"/>
  <c r="L147" i="28"/>
  <c r="N156" i="29"/>
  <c r="L156" i="29"/>
  <c r="N149" i="29"/>
  <c r="L149" i="29"/>
  <c r="N150" i="28"/>
  <c r="L150" i="28"/>
  <c r="N145" i="26"/>
  <c r="AE145" i="26" s="1"/>
  <c r="L145" i="26"/>
  <c r="AD145" i="26" s="1"/>
  <c r="L141" i="26"/>
  <c r="AD141" i="26" s="1"/>
  <c r="N141" i="26"/>
  <c r="AE141" i="26" s="1"/>
  <c r="N153" i="29"/>
  <c r="L153" i="29"/>
  <c r="L155" i="29"/>
  <c r="N155" i="29"/>
  <c r="N156" i="26"/>
  <c r="L156" i="26"/>
  <c r="N149" i="26"/>
  <c r="L149" i="26"/>
  <c r="N155" i="28"/>
  <c r="L155" i="28"/>
  <c r="N143" i="28"/>
  <c r="AE143" i="28" s="1"/>
  <c r="L143" i="28"/>
  <c r="AD143" i="28" s="1"/>
  <c r="N157" i="28"/>
  <c r="L157" i="28"/>
  <c r="N159" i="28"/>
  <c r="L159" i="28"/>
  <c r="N162" i="28"/>
  <c r="L162" i="28"/>
  <c r="N154" i="29"/>
  <c r="L154" i="29"/>
  <c r="N139" i="29"/>
  <c r="AE139" i="29" s="1"/>
  <c r="L139" i="29"/>
  <c r="L51" i="26"/>
  <c r="L22" i="27"/>
  <c r="L100" i="27"/>
  <c r="R100" i="27" s="1"/>
  <c r="L7" i="28"/>
  <c r="L68" i="28"/>
  <c r="X49" i="28"/>
  <c r="L21" i="29"/>
  <c r="L18" i="29"/>
  <c r="L14" i="29"/>
  <c r="L20" i="29"/>
  <c r="Z4" i="29"/>
  <c r="AH49" i="29"/>
  <c r="AJ49" i="29" s="1"/>
  <c r="AJ50" i="29" s="1"/>
  <c r="AJ51" i="29" s="1"/>
  <c r="L70" i="29"/>
  <c r="L58" i="29"/>
  <c r="AJ141" i="26"/>
  <c r="AJ142" i="26" s="1"/>
  <c r="AJ143" i="26" s="1"/>
  <c r="AJ144" i="26" s="1"/>
  <c r="AJ145" i="26" s="1"/>
  <c r="AJ146" i="26" s="1"/>
  <c r="AJ147" i="26" s="1"/>
  <c r="AJ148" i="26" s="1"/>
  <c r="AJ149" i="26" s="1"/>
  <c r="AJ150" i="26" s="1"/>
  <c r="AJ151" i="26" s="1"/>
  <c r="AJ152" i="26" s="1"/>
  <c r="AJ153" i="26" s="1"/>
  <c r="AJ154" i="26" s="1"/>
  <c r="AJ155" i="26" s="1"/>
  <c r="AJ156" i="26" s="1"/>
  <c r="AJ157" i="26" s="1"/>
  <c r="AJ158" i="26" s="1"/>
  <c r="AJ159" i="26" s="1"/>
  <c r="AJ160" i="26" s="1"/>
  <c r="AJ161" i="26" s="1"/>
  <c r="AJ162" i="26" s="1"/>
  <c r="AJ163" i="26" s="1"/>
  <c r="N144" i="29"/>
  <c r="AE144" i="29" s="1"/>
  <c r="L144" i="29"/>
  <c r="AD144" i="29" s="1"/>
  <c r="L160" i="29"/>
  <c r="N160" i="29"/>
  <c r="L148" i="29"/>
  <c r="N148" i="29"/>
  <c r="N145" i="29"/>
  <c r="AE145" i="29" s="1"/>
  <c r="L145" i="29"/>
  <c r="AD145" i="29" s="1"/>
  <c r="N163" i="28"/>
  <c r="L163" i="28"/>
  <c r="L162" i="29"/>
  <c r="N162" i="29"/>
  <c r="L67" i="29"/>
  <c r="N157" i="29"/>
  <c r="L157" i="29"/>
  <c r="N159" i="26"/>
  <c r="L159" i="26"/>
  <c r="L162" i="26"/>
  <c r="N162" i="26"/>
  <c r="N142" i="29"/>
  <c r="AE142" i="29" s="1"/>
  <c r="L142" i="29"/>
  <c r="AD142" i="29" s="1"/>
  <c r="L161" i="29"/>
  <c r="N161" i="29"/>
  <c r="L151" i="26"/>
  <c r="N151" i="26"/>
  <c r="N153" i="28"/>
  <c r="L153" i="28"/>
  <c r="N154" i="28"/>
  <c r="L154" i="28"/>
  <c r="L147" i="26"/>
  <c r="N147" i="26"/>
  <c r="L23" i="26"/>
  <c r="L56" i="26"/>
  <c r="N12" i="26"/>
  <c r="N8" i="26"/>
  <c r="L66" i="26"/>
  <c r="L49" i="26"/>
  <c r="AD49" i="26" s="1"/>
  <c r="AJ95" i="26"/>
  <c r="L115" i="26"/>
  <c r="L103" i="26"/>
  <c r="L52" i="27"/>
  <c r="AD52" i="27" s="1"/>
  <c r="L114" i="27"/>
  <c r="L51" i="28"/>
  <c r="U99" i="28"/>
  <c r="Z99" i="28" s="1"/>
  <c r="L63" i="29"/>
  <c r="L65" i="29"/>
  <c r="L105" i="29"/>
  <c r="L118" i="29"/>
  <c r="AJ155" i="27"/>
  <c r="AJ156" i="27" s="1"/>
  <c r="AJ157" i="27" s="1"/>
  <c r="AJ158" i="27" s="1"/>
  <c r="AJ159" i="27" s="1"/>
  <c r="AJ160" i="27" s="1"/>
  <c r="AJ161" i="27" s="1"/>
  <c r="AJ162" i="27" s="1"/>
  <c r="AJ163" i="27" s="1"/>
  <c r="AJ150" i="29"/>
  <c r="AJ151" i="29" s="1"/>
  <c r="AJ152" i="29" s="1"/>
  <c r="AJ153" i="29" s="1"/>
  <c r="AJ154" i="29" s="1"/>
  <c r="AJ155" i="29" s="1"/>
  <c r="AJ156" i="29" s="1"/>
  <c r="AJ157" i="29" s="1"/>
  <c r="AJ158" i="29" s="1"/>
  <c r="AJ159" i="29" s="1"/>
  <c r="AJ160" i="29" s="1"/>
  <c r="AJ161" i="29" s="1"/>
  <c r="AJ162" i="29" s="1"/>
  <c r="AJ163" i="29" s="1"/>
  <c r="N141" i="29"/>
  <c r="AE141" i="29" s="1"/>
  <c r="L141" i="29"/>
  <c r="AD141" i="29" s="1"/>
  <c r="N150" i="29"/>
  <c r="L150" i="29"/>
  <c r="L163" i="29"/>
  <c r="N163" i="29"/>
  <c r="N151" i="28"/>
  <c r="L151" i="28"/>
  <c r="N140" i="28"/>
  <c r="AE140" i="28" s="1"/>
  <c r="L140" i="28"/>
  <c r="AD140" i="28" s="1"/>
  <c r="L160" i="28"/>
  <c r="N160" i="28"/>
  <c r="L148" i="28"/>
  <c r="N148" i="28"/>
  <c r="N143" i="29"/>
  <c r="AE143" i="29" s="1"/>
  <c r="L143" i="29"/>
  <c r="AD143" i="29" s="1"/>
  <c r="N157" i="26"/>
  <c r="L157" i="26"/>
  <c r="N150" i="26"/>
  <c r="L150" i="26"/>
  <c r="N163" i="26"/>
  <c r="L163" i="26"/>
  <c r="N151" i="29"/>
  <c r="L151" i="29"/>
  <c r="AJ50" i="26"/>
  <c r="AJ51" i="26" s="1"/>
  <c r="AJ52" i="26" s="1"/>
  <c r="AJ53" i="26" s="1"/>
  <c r="AJ54" i="26" s="1"/>
  <c r="AJ55" i="26" s="1"/>
  <c r="AJ56" i="26" s="1"/>
  <c r="AJ57" i="26" s="1"/>
  <c r="AJ58" i="26" s="1"/>
  <c r="AJ59" i="26" s="1"/>
  <c r="AJ60" i="26" s="1"/>
  <c r="AJ61" i="26" s="1"/>
  <c r="AJ62" i="26" s="1"/>
  <c r="AJ63" i="26" s="1"/>
  <c r="AJ64" i="26" s="1"/>
  <c r="AJ65" i="26" s="1"/>
  <c r="AJ66" i="26" s="1"/>
  <c r="AJ67" i="26" s="1"/>
  <c r="AJ68" i="26" s="1"/>
  <c r="AJ69" i="26" s="1"/>
  <c r="AJ70" i="26" s="1"/>
  <c r="AJ71" i="26" s="1"/>
  <c r="Z96" i="27"/>
  <c r="AH53" i="28"/>
  <c r="N144" i="26"/>
  <c r="AE144" i="26" s="1"/>
  <c r="L144" i="26"/>
  <c r="AD144" i="26" s="1"/>
  <c r="N156" i="28"/>
  <c r="L156" i="28"/>
  <c r="N149" i="28"/>
  <c r="L149" i="28"/>
  <c r="AJ153" i="28"/>
  <c r="AJ154" i="28" s="1"/>
  <c r="AJ155" i="28" s="1"/>
  <c r="AJ156" i="28" s="1"/>
  <c r="AJ157" i="28" s="1"/>
  <c r="AJ158" i="28" s="1"/>
  <c r="AJ159" i="28" s="1"/>
  <c r="AJ160" i="28" s="1"/>
  <c r="AJ161" i="28" s="1"/>
  <c r="AJ162" i="28" s="1"/>
  <c r="AJ163" i="28" s="1"/>
  <c r="N161" i="26"/>
  <c r="L161" i="26"/>
  <c r="L139" i="26"/>
  <c r="AD139" i="26" s="1"/>
  <c r="N139" i="26"/>
  <c r="AE139" i="26" s="1"/>
  <c r="N158" i="28"/>
  <c r="L158" i="28"/>
  <c r="N152" i="26"/>
  <c r="L152" i="26"/>
  <c r="L146" i="26"/>
  <c r="N146" i="26"/>
  <c r="L142" i="26"/>
  <c r="AD142" i="26" s="1"/>
  <c r="N142" i="26"/>
  <c r="AE142" i="26" s="1"/>
  <c r="N152" i="29"/>
  <c r="L152" i="29"/>
  <c r="L146" i="29"/>
  <c r="N146" i="29"/>
  <c r="U96" i="29"/>
  <c r="Z96" i="29" s="1"/>
  <c r="X52" i="29"/>
  <c r="R98" i="28"/>
  <c r="U94" i="28"/>
  <c r="Z94" i="28" s="1"/>
  <c r="U95" i="28"/>
  <c r="Z95" i="28" s="1"/>
  <c r="Z49" i="28"/>
  <c r="Z50" i="28"/>
  <c r="U55" i="28"/>
  <c r="AE55" i="28" s="1"/>
  <c r="X52" i="28"/>
  <c r="Z55" i="28"/>
  <c r="X96" i="27"/>
  <c r="U100" i="26"/>
  <c r="Z100" i="26" s="1"/>
  <c r="U97" i="26"/>
  <c r="AD97" i="26" s="1"/>
  <c r="R99" i="26"/>
  <c r="AA99" i="26" s="1"/>
  <c r="AB99" i="26" s="1"/>
  <c r="X98" i="26"/>
  <c r="AJ96" i="26"/>
  <c r="U94" i="26"/>
  <c r="Z94" i="26" s="1"/>
  <c r="Z95" i="26"/>
  <c r="U54" i="26"/>
  <c r="Z54" i="26" s="1"/>
  <c r="U55" i="26"/>
  <c r="Z55" i="26" s="1"/>
  <c r="R55" i="25"/>
  <c r="V55" i="25" s="1"/>
  <c r="U98" i="29"/>
  <c r="Z98" i="29" s="1"/>
  <c r="U99" i="29"/>
  <c r="Z99" i="29" s="1"/>
  <c r="U94" i="29"/>
  <c r="Z94" i="29" s="1"/>
  <c r="U95" i="29"/>
  <c r="Z95" i="29" s="1"/>
  <c r="R94" i="29"/>
  <c r="AA94" i="29" s="1"/>
  <c r="AB94" i="29" s="1"/>
  <c r="U97" i="29"/>
  <c r="Z97" i="29" s="1"/>
  <c r="U100" i="29"/>
  <c r="Z100" i="29" s="1"/>
  <c r="R95" i="29"/>
  <c r="U54" i="29"/>
  <c r="Z54" i="29" s="1"/>
  <c r="U53" i="29"/>
  <c r="Z53" i="29" s="1"/>
  <c r="X49" i="29"/>
  <c r="U50" i="29"/>
  <c r="Z50" i="29" s="1"/>
  <c r="U51" i="29"/>
  <c r="Z51" i="29" s="1"/>
  <c r="U55" i="29"/>
  <c r="Z55" i="29" s="1"/>
  <c r="U95" i="27"/>
  <c r="Z95" i="27" s="1"/>
  <c r="X94" i="27"/>
  <c r="U100" i="27"/>
  <c r="Z100" i="27" s="1"/>
  <c r="R99" i="29"/>
  <c r="V99" i="29" s="1"/>
  <c r="R97" i="28"/>
  <c r="AA97" i="28" s="1"/>
  <c r="AB97" i="28" s="1"/>
  <c r="R98" i="26"/>
  <c r="V98" i="26" s="1"/>
  <c r="R52" i="25"/>
  <c r="AA145" i="25"/>
  <c r="AB145" i="25" s="1"/>
  <c r="V145" i="25"/>
  <c r="AJ50" i="27"/>
  <c r="AJ51" i="27" s="1"/>
  <c r="AJ52" i="27" s="1"/>
  <c r="AJ53" i="27" s="1"/>
  <c r="U54" i="27"/>
  <c r="AE54" i="27" s="1"/>
  <c r="Z52" i="27"/>
  <c r="U50" i="27"/>
  <c r="Z50" i="27" s="1"/>
  <c r="X52" i="27"/>
  <c r="X51" i="27"/>
  <c r="Z51" i="27"/>
  <c r="X55" i="27"/>
  <c r="Z55" i="27"/>
  <c r="L140" i="27"/>
  <c r="AD140" i="27" s="1"/>
  <c r="N140" i="27"/>
  <c r="AE140" i="27" s="1"/>
  <c r="L97" i="27"/>
  <c r="N142" i="27"/>
  <c r="AE142" i="27" s="1"/>
  <c r="L142" i="27"/>
  <c r="AD142" i="27" s="1"/>
  <c r="N160" i="27"/>
  <c r="L160" i="27"/>
  <c r="N162" i="27"/>
  <c r="L162" i="27"/>
  <c r="N151" i="27"/>
  <c r="L151" i="27"/>
  <c r="N146" i="27"/>
  <c r="L146" i="27"/>
  <c r="N143" i="27"/>
  <c r="AE143" i="27" s="1"/>
  <c r="L143" i="27"/>
  <c r="AD143" i="27" s="1"/>
  <c r="N149" i="27"/>
  <c r="L149" i="27"/>
  <c r="L139" i="27"/>
  <c r="AD139" i="27" s="1"/>
  <c r="N139" i="27"/>
  <c r="AE139" i="27" s="1"/>
  <c r="N153" i="27"/>
  <c r="L153" i="27"/>
  <c r="L144" i="27"/>
  <c r="AD144" i="27" s="1"/>
  <c r="N144" i="27"/>
  <c r="AE144" i="27" s="1"/>
  <c r="N158" i="27"/>
  <c r="L158" i="27"/>
  <c r="N148" i="27"/>
  <c r="L148" i="27"/>
  <c r="N150" i="27"/>
  <c r="L150" i="27"/>
  <c r="N155" i="27"/>
  <c r="L155" i="27"/>
  <c r="L163" i="27"/>
  <c r="N163" i="27"/>
  <c r="L53" i="27"/>
  <c r="L106" i="27"/>
  <c r="L156" i="27"/>
  <c r="N156" i="27"/>
  <c r="L152" i="27"/>
  <c r="N152" i="27"/>
  <c r="N159" i="27"/>
  <c r="L159" i="27"/>
  <c r="L117" i="27"/>
  <c r="L154" i="27"/>
  <c r="N154" i="27"/>
  <c r="N141" i="27"/>
  <c r="AE141" i="27" s="1"/>
  <c r="L141" i="27"/>
  <c r="AD141" i="27" s="1"/>
  <c r="L147" i="27"/>
  <c r="N147" i="27"/>
  <c r="N145" i="27"/>
  <c r="AE145" i="27" s="1"/>
  <c r="L145" i="27"/>
  <c r="AD145" i="27" s="1"/>
  <c r="N157" i="27"/>
  <c r="L157" i="27"/>
  <c r="N161" i="27"/>
  <c r="L161" i="27"/>
  <c r="R100" i="29"/>
  <c r="R51" i="29"/>
  <c r="R100" i="28"/>
  <c r="V100" i="28" s="1"/>
  <c r="R95" i="26"/>
  <c r="V95" i="26" s="1"/>
  <c r="R100" i="26"/>
  <c r="R54" i="26"/>
  <c r="R96" i="25"/>
  <c r="R95" i="25"/>
  <c r="R100" i="25"/>
  <c r="R53" i="25"/>
  <c r="AJ95" i="28"/>
  <c r="AJ96" i="28" s="1"/>
  <c r="AJ97" i="28" s="1"/>
  <c r="AJ98" i="28" s="1"/>
  <c r="AJ99" i="28" s="1"/>
  <c r="AJ100" i="28" s="1"/>
  <c r="AJ101" i="28" s="1"/>
  <c r="AJ102" i="28" s="1"/>
  <c r="AJ103" i="28" s="1"/>
  <c r="AJ104" i="28" s="1"/>
  <c r="AJ105" i="28" s="1"/>
  <c r="AJ106" i="28" s="1"/>
  <c r="AJ107" i="28" s="1"/>
  <c r="AJ108" i="28" s="1"/>
  <c r="AJ109" i="28" s="1"/>
  <c r="AJ110" i="28" s="1"/>
  <c r="AJ111" i="28" s="1"/>
  <c r="AJ112" i="28" s="1"/>
  <c r="AJ113" i="28" s="1"/>
  <c r="AJ114" i="28" s="1"/>
  <c r="AJ115" i="28" s="1"/>
  <c r="AJ116" i="28" s="1"/>
  <c r="AJ117" i="28" s="1"/>
  <c r="AJ118" i="28" s="1"/>
  <c r="AJ50" i="28"/>
  <c r="AJ51" i="28" s="1"/>
  <c r="AJ52" i="28" s="1"/>
  <c r="AJ53" i="28" s="1"/>
  <c r="AJ54" i="28" s="1"/>
  <c r="AJ55" i="28" s="1"/>
  <c r="AJ56" i="28" s="1"/>
  <c r="AJ57" i="28" s="1"/>
  <c r="AJ58" i="28" s="1"/>
  <c r="AJ59" i="28" s="1"/>
  <c r="AJ60" i="28" s="1"/>
  <c r="AJ61" i="28" s="1"/>
  <c r="AJ62" i="28" s="1"/>
  <c r="AJ63" i="28" s="1"/>
  <c r="AJ95" i="27"/>
  <c r="AJ96" i="27" s="1"/>
  <c r="AJ97" i="27" s="1"/>
  <c r="AJ95" i="25"/>
  <c r="AJ96" i="25" s="1"/>
  <c r="U94" i="25"/>
  <c r="Z94" i="25" s="1"/>
  <c r="X99" i="25"/>
  <c r="U97" i="25"/>
  <c r="Z97" i="25" s="1"/>
  <c r="Z99" i="25"/>
  <c r="X98" i="25"/>
  <c r="Z98" i="25"/>
  <c r="R51" i="25"/>
  <c r="R54" i="25"/>
  <c r="F64" i="34"/>
  <c r="F57" i="34"/>
  <c r="F68" i="34"/>
  <c r="R6" i="26"/>
  <c r="F71" i="34"/>
  <c r="F74" i="34"/>
  <c r="F66" i="34"/>
  <c r="F53" i="34"/>
  <c r="F70" i="34"/>
  <c r="U9" i="27"/>
  <c r="Z9" i="27" s="1"/>
  <c r="X5" i="26"/>
  <c r="X5" i="29"/>
  <c r="F58" i="34"/>
  <c r="F75" i="34"/>
  <c r="AH10" i="28" s="1"/>
  <c r="F67" i="34"/>
  <c r="F63" i="34"/>
  <c r="F59" i="34"/>
  <c r="F55" i="34"/>
  <c r="F56" i="34"/>
  <c r="U8" i="27"/>
  <c r="Z8" i="27" s="1"/>
  <c r="X7" i="27"/>
  <c r="U6" i="29"/>
  <c r="Z6" i="29" s="1"/>
  <c r="R4" i="28"/>
  <c r="Z5" i="26"/>
  <c r="X8" i="28"/>
  <c r="R9" i="25"/>
  <c r="R10" i="25"/>
  <c r="V10" i="25" s="1"/>
  <c r="U9" i="29"/>
  <c r="Z9" i="29" s="1"/>
  <c r="X4" i="29"/>
  <c r="U10" i="29"/>
  <c r="Z10" i="29" s="1"/>
  <c r="R5" i="29"/>
  <c r="V5" i="29" s="1"/>
  <c r="U8" i="29"/>
  <c r="Z8" i="29" s="1"/>
  <c r="X7" i="29"/>
  <c r="Z8" i="28"/>
  <c r="U4" i="28"/>
  <c r="Z4" i="28" s="1"/>
  <c r="X5" i="28"/>
  <c r="AH20" i="28"/>
  <c r="U7" i="28"/>
  <c r="AE7" i="28" s="1"/>
  <c r="X4" i="27"/>
  <c r="Z4" i="27"/>
  <c r="R7" i="27"/>
  <c r="V7" i="27" s="1"/>
  <c r="R10" i="27"/>
  <c r="V10" i="27" s="1"/>
  <c r="X10" i="27"/>
  <c r="X5" i="27"/>
  <c r="Z5" i="25"/>
  <c r="U6" i="26"/>
  <c r="Z6" i="26" s="1"/>
  <c r="X10" i="26"/>
  <c r="F60" i="34"/>
  <c r="F52" i="34"/>
  <c r="F72" i="34"/>
  <c r="F69" i="34"/>
  <c r="F62" i="34"/>
  <c r="F51" i="34"/>
  <c r="F61" i="34"/>
  <c r="F54" i="34"/>
  <c r="AH17" i="28" s="1"/>
  <c r="F73" i="34"/>
  <c r="R6" i="29"/>
  <c r="R8" i="29"/>
  <c r="R9" i="29"/>
  <c r="R10" i="28"/>
  <c r="R5" i="28"/>
  <c r="V5" i="28" s="1"/>
  <c r="R9" i="28"/>
  <c r="R5" i="27"/>
  <c r="R6" i="27"/>
  <c r="R5" i="25"/>
  <c r="V5" i="25" s="1"/>
  <c r="R7" i="25"/>
  <c r="R4" i="25"/>
  <c r="G55" i="34"/>
  <c r="G63" i="34"/>
  <c r="G71" i="34"/>
  <c r="G51" i="34"/>
  <c r="G59" i="34"/>
  <c r="G75" i="34"/>
  <c r="G52" i="34"/>
  <c r="G60" i="34"/>
  <c r="G68" i="34"/>
  <c r="G57" i="34"/>
  <c r="G65" i="34"/>
  <c r="G73" i="34"/>
  <c r="G54" i="34"/>
  <c r="G62" i="34"/>
  <c r="G70" i="34"/>
  <c r="G67" i="34"/>
  <c r="G56" i="34"/>
  <c r="G64" i="34"/>
  <c r="G72" i="34"/>
  <c r="G53" i="34"/>
  <c r="G61" i="34"/>
  <c r="G69" i="34"/>
  <c r="G58" i="34"/>
  <c r="G66" i="34"/>
  <c r="G74" i="34"/>
  <c r="D54" i="34"/>
  <c r="D62" i="34"/>
  <c r="D70" i="34"/>
  <c r="D59" i="34"/>
  <c r="D67" i="34"/>
  <c r="D75" i="34"/>
  <c r="D56" i="34"/>
  <c r="D64" i="34"/>
  <c r="D72" i="34"/>
  <c r="D66" i="34"/>
  <c r="D74" i="34"/>
  <c r="D53" i="34"/>
  <c r="D61" i="34"/>
  <c r="D69" i="34"/>
  <c r="D58" i="34"/>
  <c r="D55" i="34"/>
  <c r="D63" i="34"/>
  <c r="D71" i="34"/>
  <c r="D51" i="34"/>
  <c r="D52" i="34"/>
  <c r="D60" i="34"/>
  <c r="D68" i="34"/>
  <c r="D57" i="34"/>
  <c r="D65" i="34"/>
  <c r="D73" i="34"/>
  <c r="C59" i="34"/>
  <c r="C67" i="34"/>
  <c r="C75" i="34"/>
  <c r="C56" i="34"/>
  <c r="C64" i="34"/>
  <c r="C72" i="34"/>
  <c r="C51" i="34"/>
  <c r="C71" i="34"/>
  <c r="C53" i="34"/>
  <c r="C61" i="34"/>
  <c r="C69" i="34"/>
  <c r="C63" i="34"/>
  <c r="C58" i="34"/>
  <c r="C66" i="34"/>
  <c r="C74" i="34"/>
  <c r="C52" i="34"/>
  <c r="AH5" i="25" s="1"/>
  <c r="C60" i="34"/>
  <c r="C68" i="34"/>
  <c r="C57" i="34"/>
  <c r="C65" i="34"/>
  <c r="C73" i="34"/>
  <c r="AH26" i="25" s="1"/>
  <c r="C54" i="34"/>
  <c r="C62" i="34"/>
  <c r="C70" i="34"/>
  <c r="C55" i="34"/>
  <c r="E57" i="34"/>
  <c r="E65" i="34"/>
  <c r="E73" i="34"/>
  <c r="E53" i="34"/>
  <c r="E69" i="34"/>
  <c r="E54" i="34"/>
  <c r="E62" i="34"/>
  <c r="E70" i="34"/>
  <c r="E61" i="34"/>
  <c r="E59" i="34"/>
  <c r="E67" i="34"/>
  <c r="E75" i="34"/>
  <c r="E56" i="34"/>
  <c r="E64" i="34"/>
  <c r="E72" i="34"/>
  <c r="E58" i="34"/>
  <c r="E66" i="34"/>
  <c r="E74" i="34"/>
  <c r="E55" i="34"/>
  <c r="E63" i="34"/>
  <c r="E71" i="34"/>
  <c r="E51" i="34"/>
  <c r="E52" i="34"/>
  <c r="E60" i="34"/>
  <c r="E68" i="34"/>
  <c r="X4" i="25"/>
  <c r="U4" i="25"/>
  <c r="Z4" i="25" s="1"/>
  <c r="R6" i="25"/>
  <c r="R8" i="25"/>
  <c r="X5" i="25"/>
  <c r="X8" i="25"/>
  <c r="U8" i="25"/>
  <c r="Z8" i="25" s="1"/>
  <c r="U6" i="25"/>
  <c r="Z6" i="25" s="1"/>
  <c r="X10" i="25"/>
  <c r="X7" i="25"/>
  <c r="U7" i="25"/>
  <c r="Z7" i="25" s="1"/>
  <c r="Z10" i="25"/>
  <c r="X9" i="25"/>
  <c r="U9" i="25"/>
  <c r="AD9" i="25" s="1"/>
  <c r="X50" i="25"/>
  <c r="X53" i="25"/>
  <c r="U53" i="25"/>
  <c r="Z53" i="25" s="1"/>
  <c r="X95" i="25"/>
  <c r="U95" i="25"/>
  <c r="Z95" i="25" s="1"/>
  <c r="X100" i="25"/>
  <c r="U100" i="25"/>
  <c r="AF100" i="25" s="1"/>
  <c r="X49" i="25"/>
  <c r="U49" i="25"/>
  <c r="Z49" i="25" s="1"/>
  <c r="Z50" i="25"/>
  <c r="R98" i="25"/>
  <c r="R99" i="25"/>
  <c r="R50" i="25"/>
  <c r="U51" i="25"/>
  <c r="AE51" i="25" s="1"/>
  <c r="X55" i="25"/>
  <c r="X52" i="25"/>
  <c r="U52" i="25"/>
  <c r="AD52" i="25" s="1"/>
  <c r="Z55" i="25"/>
  <c r="X54" i="25"/>
  <c r="U54" i="25"/>
  <c r="Z54" i="25" s="1"/>
  <c r="R49" i="25"/>
  <c r="U96" i="25"/>
  <c r="Z96" i="25" s="1"/>
  <c r="AA96" i="25" s="1"/>
  <c r="AB96" i="25" s="1"/>
  <c r="R94" i="25"/>
  <c r="R97" i="25"/>
  <c r="R54" i="29"/>
  <c r="R7" i="29"/>
  <c r="AJ95" i="29"/>
  <c r="AJ96" i="29" s="1"/>
  <c r="AJ97" i="29" s="1"/>
  <c r="AJ98" i="29" s="1"/>
  <c r="AJ99" i="29" s="1"/>
  <c r="AJ100" i="29" s="1"/>
  <c r="AJ101" i="29" s="1"/>
  <c r="AJ102" i="29" s="1"/>
  <c r="AJ103" i="29" s="1"/>
  <c r="AJ104" i="29" s="1"/>
  <c r="AJ105" i="29" s="1"/>
  <c r="AJ106" i="29" s="1"/>
  <c r="AJ107" i="29" s="1"/>
  <c r="R49" i="29"/>
  <c r="R52" i="29"/>
  <c r="X6" i="28"/>
  <c r="R8" i="28"/>
  <c r="X53" i="28"/>
  <c r="U53" i="28"/>
  <c r="Z53" i="28" s="1"/>
  <c r="U9" i="28"/>
  <c r="AF9" i="28" s="1"/>
  <c r="R6" i="28"/>
  <c r="R53" i="28"/>
  <c r="R55" i="28"/>
  <c r="X10" i="28"/>
  <c r="U10" i="28"/>
  <c r="Z10" i="28" s="1"/>
  <c r="X51" i="28"/>
  <c r="U51" i="28"/>
  <c r="Z51" i="28" s="1"/>
  <c r="R50" i="28"/>
  <c r="R95" i="28"/>
  <c r="R49" i="28"/>
  <c r="R52" i="28"/>
  <c r="R96" i="28"/>
  <c r="U6" i="27"/>
  <c r="Z6" i="27" s="1"/>
  <c r="Z54" i="27"/>
  <c r="U49" i="27"/>
  <c r="Z49" i="27" s="1"/>
  <c r="X49" i="27"/>
  <c r="R9" i="27"/>
  <c r="R54" i="27"/>
  <c r="R4" i="27"/>
  <c r="X53" i="27"/>
  <c r="U53" i="27"/>
  <c r="Z53" i="27" s="1"/>
  <c r="R95" i="27"/>
  <c r="R50" i="27"/>
  <c r="R99" i="27"/>
  <c r="R55" i="27"/>
  <c r="R8" i="27"/>
  <c r="R49" i="27"/>
  <c r="R96" i="27"/>
  <c r="R51" i="27"/>
  <c r="R94" i="27"/>
  <c r="R98" i="27"/>
  <c r="X97" i="27"/>
  <c r="U97" i="27"/>
  <c r="Z97" i="27" s="1"/>
  <c r="U99" i="27"/>
  <c r="Z99" i="27" s="1"/>
  <c r="U98" i="27"/>
  <c r="Z98" i="27" s="1"/>
  <c r="Z94" i="27"/>
  <c r="X4" i="26"/>
  <c r="U4" i="26"/>
  <c r="Z4" i="26" s="1"/>
  <c r="R7" i="26"/>
  <c r="X7" i="26"/>
  <c r="U7" i="26"/>
  <c r="Z7" i="26" s="1"/>
  <c r="R55" i="26"/>
  <c r="R4" i="26"/>
  <c r="U9" i="26"/>
  <c r="AE9" i="26" s="1"/>
  <c r="U8" i="26"/>
  <c r="Z8" i="26" s="1"/>
  <c r="V99" i="26"/>
  <c r="Z97" i="26"/>
  <c r="R5" i="26"/>
  <c r="R10" i="26"/>
  <c r="Z49" i="26"/>
  <c r="R50" i="26"/>
  <c r="X51" i="26"/>
  <c r="R52" i="26"/>
  <c r="R96" i="26"/>
  <c r="U96" i="26"/>
  <c r="Z96" i="26" s="1"/>
  <c r="R94" i="26"/>
  <c r="R97" i="26"/>
  <c r="L4" i="21"/>
  <c r="L9" i="21"/>
  <c r="Q7" i="21"/>
  <c r="N4" i="21"/>
  <c r="S27" i="23"/>
  <c r="S44" i="23" s="1"/>
  <c r="Q44" i="23"/>
  <c r="R44" i="23"/>
  <c r="T44" i="23"/>
  <c r="R20" i="23"/>
  <c r="S21" i="23" s="1"/>
  <c r="T20" i="23"/>
  <c r="W5" i="21"/>
  <c r="W6" i="21"/>
  <c r="W7" i="21"/>
  <c r="W8" i="21"/>
  <c r="W9" i="21"/>
  <c r="W10" i="21"/>
  <c r="W11" i="21"/>
  <c r="W12" i="21"/>
  <c r="W13" i="21"/>
  <c r="W14" i="21"/>
  <c r="W15" i="21"/>
  <c r="W16" i="21"/>
  <c r="W17" i="21"/>
  <c r="W18" i="21"/>
  <c r="W19" i="21"/>
  <c r="W20" i="21"/>
  <c r="W21" i="21"/>
  <c r="W4" i="21"/>
  <c r="S28" i="21"/>
  <c r="X28" i="21" s="1"/>
  <c r="L28" i="21"/>
  <c r="N28" i="21"/>
  <c r="AE28" i="21" s="1"/>
  <c r="Q28" i="21"/>
  <c r="AF28" i="21" s="1"/>
  <c r="Y28" i="21"/>
  <c r="AH28" i="21"/>
  <c r="J27" i="23"/>
  <c r="J26" i="23"/>
  <c r="E26" i="23"/>
  <c r="D26" i="23"/>
  <c r="D27" i="23" s="1"/>
  <c r="D11" i="23"/>
  <c r="G10" i="23" s="1"/>
  <c r="G12" i="23" s="1"/>
  <c r="D6" i="23"/>
  <c r="AJ108" i="29" l="1"/>
  <c r="AJ109" i="29" s="1"/>
  <c r="AJ110" i="29" s="1"/>
  <c r="AJ111" i="29" s="1"/>
  <c r="AJ112" i="29" s="1"/>
  <c r="AJ113" i="29" s="1"/>
  <c r="AJ114" i="29" s="1"/>
  <c r="AJ115" i="29" s="1"/>
  <c r="AJ116" i="29" s="1"/>
  <c r="AJ117" i="29" s="1"/>
  <c r="AJ118" i="29" s="1"/>
  <c r="AF95" i="29"/>
  <c r="AD94" i="29"/>
  <c r="AJ52" i="29"/>
  <c r="AJ53" i="29" s="1"/>
  <c r="AJ54" i="29" s="1"/>
  <c r="AJ55" i="29" s="1"/>
  <c r="AJ56" i="29" s="1"/>
  <c r="AJ57" i="29" s="1"/>
  <c r="AJ58" i="29" s="1"/>
  <c r="AJ59" i="29" s="1"/>
  <c r="AJ60" i="29" s="1"/>
  <c r="AJ61" i="29" s="1"/>
  <c r="AJ62" i="29" s="1"/>
  <c r="AJ63" i="29" s="1"/>
  <c r="AJ64" i="29" s="1"/>
  <c r="AJ65" i="29" s="1"/>
  <c r="AJ66" i="29" s="1"/>
  <c r="AF8" i="29"/>
  <c r="V9" i="29"/>
  <c r="AJ64" i="28"/>
  <c r="AJ65" i="28" s="1"/>
  <c r="AJ66" i="28" s="1"/>
  <c r="AJ67" i="28" s="1"/>
  <c r="AJ68" i="28" s="1"/>
  <c r="AJ69" i="28" s="1"/>
  <c r="AJ70" i="28" s="1"/>
  <c r="AJ71" i="28" s="1"/>
  <c r="AJ72" i="28" s="1"/>
  <c r="AJ73" i="28" s="1"/>
  <c r="AJ98" i="27"/>
  <c r="AJ99" i="27" s="1"/>
  <c r="AJ100" i="27" s="1"/>
  <c r="AJ101" i="27" s="1"/>
  <c r="AJ102" i="27" s="1"/>
  <c r="AJ103" i="27" s="1"/>
  <c r="AJ104" i="27" s="1"/>
  <c r="AJ105" i="27" s="1"/>
  <c r="AJ106" i="27" s="1"/>
  <c r="AJ107" i="27" s="1"/>
  <c r="AJ108" i="27" s="1"/>
  <c r="AJ109" i="27" s="1"/>
  <c r="AJ110" i="27" s="1"/>
  <c r="AJ111" i="27" s="1"/>
  <c r="AJ112" i="27" s="1"/>
  <c r="AJ113" i="27" s="1"/>
  <c r="AJ114" i="27" s="1"/>
  <c r="AJ115" i="27" s="1"/>
  <c r="AJ116" i="27" s="1"/>
  <c r="AJ117" i="27" s="1"/>
  <c r="AJ118" i="27" s="1"/>
  <c r="R52" i="27"/>
  <c r="AD9" i="27"/>
  <c r="AD53" i="26"/>
  <c r="AJ72" i="26"/>
  <c r="AJ73" i="26" s="1"/>
  <c r="AJ97" i="25"/>
  <c r="AJ98" i="25" s="1"/>
  <c r="AJ99" i="25" s="1"/>
  <c r="AJ100" i="25" s="1"/>
  <c r="AE96" i="25"/>
  <c r="AD54" i="25"/>
  <c r="AD8" i="25"/>
  <c r="AF9" i="25"/>
  <c r="R4" i="29"/>
  <c r="R49" i="26"/>
  <c r="V49" i="26" s="1"/>
  <c r="R140" i="29"/>
  <c r="V140" i="29" s="1"/>
  <c r="AD140" i="29"/>
  <c r="R139" i="29"/>
  <c r="V139" i="29" s="1"/>
  <c r="AD139" i="29"/>
  <c r="AE100" i="29"/>
  <c r="AF98" i="29"/>
  <c r="AE95" i="29"/>
  <c r="V98" i="29"/>
  <c r="AF94" i="29"/>
  <c r="AF100" i="29"/>
  <c r="AA97" i="29"/>
  <c r="AB97" i="29" s="1"/>
  <c r="AJ67" i="29"/>
  <c r="AJ68" i="29" s="1"/>
  <c r="AJ69" i="29" s="1"/>
  <c r="AJ70" i="29" s="1"/>
  <c r="AJ71" i="29" s="1"/>
  <c r="AJ72" i="29" s="1"/>
  <c r="AJ73" i="29" s="1"/>
  <c r="AF9" i="29"/>
  <c r="AD94" i="28"/>
  <c r="AF95" i="28"/>
  <c r="AA100" i="28"/>
  <c r="AB100" i="28" s="1"/>
  <c r="AA99" i="28"/>
  <c r="AB99" i="28" s="1"/>
  <c r="AE95" i="28"/>
  <c r="AD51" i="28"/>
  <c r="AF51" i="28"/>
  <c r="AD55" i="28"/>
  <c r="Z7" i="28"/>
  <c r="AD7" i="28"/>
  <c r="AE97" i="27"/>
  <c r="AF100" i="27"/>
  <c r="AD97" i="27"/>
  <c r="AD98" i="27"/>
  <c r="AF49" i="27"/>
  <c r="AJ54" i="27"/>
  <c r="AJ55" i="27" s="1"/>
  <c r="AJ56" i="27" s="1"/>
  <c r="AJ57" i="27" s="1"/>
  <c r="AJ58" i="27" s="1"/>
  <c r="AJ59" i="27" s="1"/>
  <c r="AJ60" i="27" s="1"/>
  <c r="AJ61" i="27" s="1"/>
  <c r="AJ62" i="27" s="1"/>
  <c r="AJ63" i="27" s="1"/>
  <c r="AJ64" i="27" s="1"/>
  <c r="AJ65" i="27" s="1"/>
  <c r="AJ66" i="27" s="1"/>
  <c r="AJ67" i="27" s="1"/>
  <c r="AJ68" i="27" s="1"/>
  <c r="AJ69" i="27" s="1"/>
  <c r="AJ70" i="27" s="1"/>
  <c r="AJ71" i="27" s="1"/>
  <c r="AJ72" i="27" s="1"/>
  <c r="AJ73" i="27" s="1"/>
  <c r="AF50" i="27"/>
  <c r="AD96" i="26"/>
  <c r="AE94" i="26"/>
  <c r="AA95" i="26"/>
  <c r="AB95" i="26" s="1"/>
  <c r="AE95" i="26"/>
  <c r="AF97" i="26"/>
  <c r="AF96" i="26"/>
  <c r="AF53" i="26"/>
  <c r="AF52" i="26"/>
  <c r="AD52" i="26"/>
  <c r="AE53" i="26"/>
  <c r="V54" i="26"/>
  <c r="AF50" i="26"/>
  <c r="AF8" i="26"/>
  <c r="AE6" i="26"/>
  <c r="AF7" i="26"/>
  <c r="AE97" i="25"/>
  <c r="AE100" i="25"/>
  <c r="AD100" i="25"/>
  <c r="AF94" i="25"/>
  <c r="AJ101" i="25"/>
  <c r="AJ102" i="25" s="1"/>
  <c r="AJ103" i="25" s="1"/>
  <c r="AJ104" i="25" s="1"/>
  <c r="AJ105" i="25" s="1"/>
  <c r="AJ106" i="25" s="1"/>
  <c r="AJ107" i="25" s="1"/>
  <c r="AJ108" i="25" s="1"/>
  <c r="AJ109" i="25" s="1"/>
  <c r="AJ110" i="25" s="1"/>
  <c r="AJ111" i="25" s="1"/>
  <c r="AJ112" i="25" s="1"/>
  <c r="AJ113" i="25" s="1"/>
  <c r="AJ114" i="25" s="1"/>
  <c r="AJ115" i="25" s="1"/>
  <c r="AJ116" i="25" s="1"/>
  <c r="AJ117" i="25" s="1"/>
  <c r="AJ118" i="25" s="1"/>
  <c r="AF96" i="25"/>
  <c r="AD96" i="25"/>
  <c r="AE53" i="25"/>
  <c r="AD53" i="25"/>
  <c r="AE54" i="25"/>
  <c r="AF53" i="25"/>
  <c r="AE49" i="25"/>
  <c r="AD6" i="25"/>
  <c r="AF6" i="25"/>
  <c r="AE9" i="25"/>
  <c r="AE6" i="25"/>
  <c r="AD95" i="29"/>
  <c r="AD100" i="29"/>
  <c r="AE99" i="29"/>
  <c r="AF96" i="29"/>
  <c r="AE98" i="29"/>
  <c r="AE96" i="29"/>
  <c r="AF99" i="29"/>
  <c r="AD97" i="29"/>
  <c r="AD99" i="29"/>
  <c r="AF97" i="29"/>
  <c r="AE94" i="29"/>
  <c r="AD98" i="29"/>
  <c r="AE97" i="29"/>
  <c r="AE54" i="29"/>
  <c r="AE53" i="29"/>
  <c r="AE50" i="29"/>
  <c r="AD50" i="29"/>
  <c r="AD54" i="29"/>
  <c r="AD53" i="29"/>
  <c r="AF55" i="29"/>
  <c r="AF50" i="29"/>
  <c r="AE51" i="29"/>
  <c r="AF54" i="29"/>
  <c r="AF53" i="29"/>
  <c r="AD55" i="29"/>
  <c r="AD51" i="29"/>
  <c r="AF51" i="29"/>
  <c r="AE55" i="29"/>
  <c r="AF10" i="29"/>
  <c r="AD8" i="29"/>
  <c r="AE6" i="29"/>
  <c r="AE10" i="29"/>
  <c r="AE8" i="29"/>
  <c r="AD6" i="29"/>
  <c r="AD9" i="29"/>
  <c r="AE9" i="29"/>
  <c r="AF6" i="29"/>
  <c r="AD10" i="29"/>
  <c r="AD97" i="28"/>
  <c r="AD95" i="28"/>
  <c r="AF97" i="28"/>
  <c r="AE94" i="28"/>
  <c r="V97" i="28"/>
  <c r="V98" i="28"/>
  <c r="AE98" i="28"/>
  <c r="AE97" i="28"/>
  <c r="R94" i="28"/>
  <c r="AD98" i="28"/>
  <c r="AF94" i="28"/>
  <c r="AE99" i="28"/>
  <c r="AD99" i="28"/>
  <c r="AE53" i="28"/>
  <c r="R51" i="28"/>
  <c r="V51" i="28" s="1"/>
  <c r="AE51" i="28"/>
  <c r="AD53" i="28"/>
  <c r="R54" i="28"/>
  <c r="AF55" i="28"/>
  <c r="AF53" i="28"/>
  <c r="AE4" i="28"/>
  <c r="AF10" i="28"/>
  <c r="AF7" i="28"/>
  <c r="AF4" i="28"/>
  <c r="AD4" i="28"/>
  <c r="AD9" i="28"/>
  <c r="AE9" i="28"/>
  <c r="AD10" i="28"/>
  <c r="AE10" i="28"/>
  <c r="AF95" i="27"/>
  <c r="AF98" i="27"/>
  <c r="AE98" i="27"/>
  <c r="AD99" i="27"/>
  <c r="AE100" i="27"/>
  <c r="AF99" i="27"/>
  <c r="AE99" i="27"/>
  <c r="R97" i="27"/>
  <c r="AD95" i="27"/>
  <c r="AE95" i="27"/>
  <c r="AD100" i="27"/>
  <c r="AF97" i="27"/>
  <c r="AD50" i="27"/>
  <c r="AD54" i="27"/>
  <c r="AD49" i="27"/>
  <c r="R53" i="27"/>
  <c r="AA53" i="27" s="1"/>
  <c r="AB53" i="27" s="1"/>
  <c r="AD53" i="27"/>
  <c r="AE50" i="27"/>
  <c r="AF53" i="27"/>
  <c r="AE49" i="27"/>
  <c r="AE53" i="27"/>
  <c r="AE6" i="27"/>
  <c r="AF6" i="27"/>
  <c r="AF8" i="27"/>
  <c r="AE8" i="27"/>
  <c r="AD6" i="27"/>
  <c r="AE9" i="27"/>
  <c r="AD8" i="27"/>
  <c r="AF9" i="27"/>
  <c r="AF100" i="26"/>
  <c r="AE100" i="26"/>
  <c r="AD100" i="26"/>
  <c r="AD94" i="26"/>
  <c r="AE97" i="26"/>
  <c r="AE96" i="26"/>
  <c r="AF94" i="26"/>
  <c r="AJ97" i="26"/>
  <c r="AJ98" i="26" s="1"/>
  <c r="AJ99" i="26" s="1"/>
  <c r="AJ100" i="26" s="1"/>
  <c r="AJ101" i="26" s="1"/>
  <c r="AJ102" i="26" s="1"/>
  <c r="AJ103" i="26" s="1"/>
  <c r="AJ104" i="26" s="1"/>
  <c r="AJ105" i="26" s="1"/>
  <c r="AJ106" i="26" s="1"/>
  <c r="AJ107" i="26" s="1"/>
  <c r="AJ108" i="26" s="1"/>
  <c r="AJ109" i="26" s="1"/>
  <c r="AJ110" i="26" s="1"/>
  <c r="AJ111" i="26" s="1"/>
  <c r="AJ112" i="26" s="1"/>
  <c r="AJ113" i="26" s="1"/>
  <c r="AJ114" i="26" s="1"/>
  <c r="AJ115" i="26" s="1"/>
  <c r="AJ116" i="26" s="1"/>
  <c r="AJ117" i="26" s="1"/>
  <c r="AJ118" i="26" s="1"/>
  <c r="Z52" i="26"/>
  <c r="AD55" i="26"/>
  <c r="AF54" i="26"/>
  <c r="AE50" i="26"/>
  <c r="AD50" i="26"/>
  <c r="R53" i="26"/>
  <c r="V53" i="26" s="1"/>
  <c r="AE55" i="26"/>
  <c r="R51" i="26"/>
  <c r="V51" i="26" s="1"/>
  <c r="AD51" i="26"/>
  <c r="AF55" i="26"/>
  <c r="AE54" i="26"/>
  <c r="AE8" i="26"/>
  <c r="AD6" i="26"/>
  <c r="AF9" i="26"/>
  <c r="AF4" i="26"/>
  <c r="R8" i="26"/>
  <c r="AF6" i="26"/>
  <c r="AD7" i="26"/>
  <c r="AD9" i="26"/>
  <c r="AE4" i="26"/>
  <c r="AD8" i="26"/>
  <c r="AD4" i="26"/>
  <c r="AE7" i="26"/>
  <c r="AE95" i="25"/>
  <c r="AF95" i="25"/>
  <c r="AD95" i="25"/>
  <c r="AF97" i="25"/>
  <c r="AE94" i="25"/>
  <c r="AD97" i="25"/>
  <c r="AF51" i="25"/>
  <c r="AD51" i="25"/>
  <c r="AF54" i="25"/>
  <c r="AE52" i="25"/>
  <c r="AF52" i="25"/>
  <c r="AJ51" i="25"/>
  <c r="AJ52" i="25" s="1"/>
  <c r="AJ53" i="25" s="1"/>
  <c r="AJ54" i="25" s="1"/>
  <c r="AJ55" i="25" s="1"/>
  <c r="AJ56" i="25" s="1"/>
  <c r="AJ57" i="25" s="1"/>
  <c r="AJ58" i="25" s="1"/>
  <c r="AJ59" i="25" s="1"/>
  <c r="AJ60" i="25" s="1"/>
  <c r="AJ61" i="25" s="1"/>
  <c r="AJ62" i="25" s="1"/>
  <c r="AJ63" i="25" s="1"/>
  <c r="AJ64" i="25" s="1"/>
  <c r="AJ65" i="25" s="1"/>
  <c r="AJ66" i="25" s="1"/>
  <c r="AJ67" i="25" s="1"/>
  <c r="AJ68" i="25" s="1"/>
  <c r="AJ69" i="25" s="1"/>
  <c r="AJ70" i="25" s="1"/>
  <c r="AJ71" i="25" s="1"/>
  <c r="AJ72" i="25" s="1"/>
  <c r="AJ73" i="25" s="1"/>
  <c r="AD49" i="25"/>
  <c r="AF4" i="25"/>
  <c r="AE7" i="25"/>
  <c r="AF8" i="25"/>
  <c r="AE8" i="25"/>
  <c r="AE4" i="25"/>
  <c r="AD4" i="25"/>
  <c r="V94" i="29"/>
  <c r="AA98" i="28"/>
  <c r="AB98" i="28" s="1"/>
  <c r="R142" i="26"/>
  <c r="R139" i="26"/>
  <c r="R144" i="26"/>
  <c r="R7" i="28"/>
  <c r="V7" i="28" s="1"/>
  <c r="R144" i="29"/>
  <c r="R141" i="26"/>
  <c r="R145" i="28"/>
  <c r="R144" i="28"/>
  <c r="R141" i="28"/>
  <c r="V99" i="28"/>
  <c r="R96" i="29"/>
  <c r="V96" i="29" s="1"/>
  <c r="AA100" i="26"/>
  <c r="AB100" i="26" s="1"/>
  <c r="R145" i="26"/>
  <c r="R140" i="26"/>
  <c r="AA6" i="26"/>
  <c r="AB6" i="26" s="1"/>
  <c r="R145" i="29"/>
  <c r="R143" i="26"/>
  <c r="R143" i="29"/>
  <c r="V6" i="27"/>
  <c r="AA95" i="29"/>
  <c r="AB95" i="29" s="1"/>
  <c r="R140" i="28"/>
  <c r="R141" i="29"/>
  <c r="R143" i="28"/>
  <c r="R142" i="28"/>
  <c r="AA5" i="27"/>
  <c r="AB5" i="27" s="1"/>
  <c r="R142" i="29"/>
  <c r="R139" i="28"/>
  <c r="AA98" i="29"/>
  <c r="AB98" i="29" s="1"/>
  <c r="V100" i="26"/>
  <c r="D33" i="23"/>
  <c r="F33" i="23"/>
  <c r="D32" i="23"/>
  <c r="F32" i="23"/>
  <c r="E4" i="23"/>
  <c r="AA99" i="29"/>
  <c r="AB99" i="29" s="1"/>
  <c r="V95" i="29"/>
  <c r="AA100" i="29"/>
  <c r="AB100" i="29" s="1"/>
  <c r="AA51" i="29"/>
  <c r="AB51" i="29" s="1"/>
  <c r="V6" i="29"/>
  <c r="V97" i="29"/>
  <c r="V51" i="29"/>
  <c r="AA98" i="26"/>
  <c r="AB98" i="26" s="1"/>
  <c r="AA52" i="27"/>
  <c r="AB52" i="27" s="1"/>
  <c r="V52" i="27"/>
  <c r="R141" i="27"/>
  <c r="R144" i="27"/>
  <c r="R143" i="27"/>
  <c r="R142" i="27"/>
  <c r="R145" i="27"/>
  <c r="R139" i="27"/>
  <c r="R140" i="27"/>
  <c r="V100" i="29"/>
  <c r="AA54" i="26"/>
  <c r="AB54" i="26" s="1"/>
  <c r="V100" i="25"/>
  <c r="V53" i="25"/>
  <c r="V51" i="25"/>
  <c r="AA5" i="29"/>
  <c r="AB5" i="29" s="1"/>
  <c r="V8" i="29"/>
  <c r="V9" i="28"/>
  <c r="AH4" i="28"/>
  <c r="AJ4" i="28" s="1"/>
  <c r="AA4" i="28"/>
  <c r="AB4" i="28" s="1"/>
  <c r="V6" i="26"/>
  <c r="V96" i="25"/>
  <c r="V4" i="25"/>
  <c r="F26" i="23"/>
  <c r="H26" i="23" s="1"/>
  <c r="K26" i="23" s="1"/>
  <c r="AH23" i="28"/>
  <c r="AH5" i="28"/>
  <c r="V4" i="28"/>
  <c r="AH13" i="28"/>
  <c r="AH18" i="25"/>
  <c r="AH12" i="28"/>
  <c r="AH21" i="28"/>
  <c r="AA5" i="25"/>
  <c r="AB5" i="25" s="1"/>
  <c r="AA54" i="25"/>
  <c r="AB54" i="25" s="1"/>
  <c r="AA55" i="25"/>
  <c r="AB55" i="25" s="1"/>
  <c r="AA53" i="25"/>
  <c r="AB53" i="25" s="1"/>
  <c r="AA9" i="29"/>
  <c r="AB9" i="29" s="1"/>
  <c r="AH6" i="29"/>
  <c r="AA10" i="28"/>
  <c r="AB10" i="28" s="1"/>
  <c r="AH22" i="28"/>
  <c r="AH24" i="28"/>
  <c r="AH27" i="28"/>
  <c r="AH18" i="28"/>
  <c r="AH19" i="28"/>
  <c r="AH11" i="28"/>
  <c r="V5" i="27"/>
  <c r="AA6" i="27"/>
  <c r="AB6" i="27" s="1"/>
  <c r="AA10" i="27"/>
  <c r="AB10" i="27" s="1"/>
  <c r="AA7" i="27"/>
  <c r="AB7" i="27" s="1"/>
  <c r="V9" i="25"/>
  <c r="AH21" i="25"/>
  <c r="AH17" i="29"/>
  <c r="AH15" i="25"/>
  <c r="AH27" i="25"/>
  <c r="AH18" i="26"/>
  <c r="AH8" i="26"/>
  <c r="AH10" i="26"/>
  <c r="AH20" i="27"/>
  <c r="AH20" i="26"/>
  <c r="AH28" i="29"/>
  <c r="AH25" i="29"/>
  <c r="AH11" i="26"/>
  <c r="AH14" i="28"/>
  <c r="AH26" i="27"/>
  <c r="AH12" i="27"/>
  <c r="AH17" i="26"/>
  <c r="AH21" i="29"/>
  <c r="V10" i="28"/>
  <c r="AH21" i="26"/>
  <c r="AH28" i="26"/>
  <c r="AH8" i="27"/>
  <c r="AH22" i="29"/>
  <c r="AH27" i="27"/>
  <c r="AH10" i="25"/>
  <c r="AH14" i="29"/>
  <c r="AH7" i="29"/>
  <c r="AA4" i="25"/>
  <c r="AB4" i="25" s="1"/>
  <c r="AH14" i="27"/>
  <c r="AH10" i="27"/>
  <c r="AH26" i="29"/>
  <c r="AA8" i="29"/>
  <c r="AB8" i="29" s="1"/>
  <c r="AH25" i="28"/>
  <c r="AH13" i="27"/>
  <c r="AH11" i="27"/>
  <c r="AH24" i="26"/>
  <c r="AH19" i="26"/>
  <c r="AH15" i="26"/>
  <c r="AH24" i="29"/>
  <c r="AA6" i="29"/>
  <c r="AB6" i="29" s="1"/>
  <c r="AH5" i="27"/>
  <c r="AH26" i="26"/>
  <c r="AH7" i="26"/>
  <c r="AH11" i="25"/>
  <c r="AH17" i="25"/>
  <c r="V7" i="25"/>
  <c r="AH28" i="25"/>
  <c r="AA10" i="25"/>
  <c r="AB10" i="25" s="1"/>
  <c r="AH15" i="29"/>
  <c r="AH10" i="29"/>
  <c r="AH16" i="29"/>
  <c r="AH27" i="29"/>
  <c r="AH9" i="29"/>
  <c r="AH8" i="29"/>
  <c r="AH20" i="29"/>
  <c r="AH13" i="29"/>
  <c r="V10" i="29"/>
  <c r="AH11" i="29"/>
  <c r="AH23" i="29"/>
  <c r="AH5" i="29"/>
  <c r="AH26" i="28"/>
  <c r="AH9" i="28"/>
  <c r="AH28" i="28"/>
  <c r="AH7" i="28"/>
  <c r="AH16" i="28"/>
  <c r="AH15" i="28"/>
  <c r="AH6" i="28"/>
  <c r="AA5" i="28"/>
  <c r="AB5" i="28" s="1"/>
  <c r="AH8" i="28"/>
  <c r="AH18" i="27"/>
  <c r="AH21" i="27"/>
  <c r="AH19" i="27"/>
  <c r="AH23" i="27"/>
  <c r="AH15" i="27"/>
  <c r="AH17" i="27"/>
  <c r="AH7" i="27"/>
  <c r="AH24" i="27"/>
  <c r="AH9" i="27"/>
  <c r="AH22" i="27"/>
  <c r="AH28" i="27"/>
  <c r="AH6" i="27"/>
  <c r="AH7" i="25"/>
  <c r="AH19" i="25"/>
  <c r="AH16" i="25"/>
  <c r="AH9" i="25"/>
  <c r="AH14" i="25"/>
  <c r="AH20" i="25"/>
  <c r="AH13" i="25"/>
  <c r="AH6" i="25"/>
  <c r="AH12" i="25"/>
  <c r="AH24" i="25"/>
  <c r="AH9" i="26"/>
  <c r="AH22" i="26"/>
  <c r="AH13" i="26"/>
  <c r="AH14" i="26"/>
  <c r="V9" i="26"/>
  <c r="AH5" i="26"/>
  <c r="AH6" i="26"/>
  <c r="AH12" i="26"/>
  <c r="AH27" i="26"/>
  <c r="AH23" i="26"/>
  <c r="F76" i="34"/>
  <c r="G29" i="28"/>
  <c r="AA10" i="29"/>
  <c r="AB10" i="29" s="1"/>
  <c r="AH4" i="29"/>
  <c r="AJ4" i="29" s="1"/>
  <c r="G76" i="34"/>
  <c r="AH12" i="29"/>
  <c r="C76" i="34"/>
  <c r="AH8" i="25"/>
  <c r="AH25" i="26"/>
  <c r="D76" i="34"/>
  <c r="AH25" i="27"/>
  <c r="E76" i="34"/>
  <c r="AH4" i="25"/>
  <c r="AJ4" i="25" s="1"/>
  <c r="AA95" i="25"/>
  <c r="AB95" i="25" s="1"/>
  <c r="AA7" i="25"/>
  <c r="AB7" i="25" s="1"/>
  <c r="Z51" i="25"/>
  <c r="AA51" i="25" s="1"/>
  <c r="AB51" i="25" s="1"/>
  <c r="AA6" i="25"/>
  <c r="AB6" i="25" s="1"/>
  <c r="V6" i="25"/>
  <c r="V52" i="25"/>
  <c r="Z52" i="25"/>
  <c r="AA52" i="25" s="1"/>
  <c r="AB52" i="25" s="1"/>
  <c r="Z9" i="25"/>
  <c r="AA9" i="25" s="1"/>
  <c r="AB9" i="25" s="1"/>
  <c r="AA49" i="25"/>
  <c r="AB49" i="25" s="1"/>
  <c r="V49" i="25"/>
  <c r="Z100" i="25"/>
  <c r="AA100" i="25" s="1"/>
  <c r="AB100" i="25" s="1"/>
  <c r="V54" i="25"/>
  <c r="AA97" i="25"/>
  <c r="AB97" i="25" s="1"/>
  <c r="V97" i="25"/>
  <c r="AA50" i="25"/>
  <c r="AB50" i="25" s="1"/>
  <c r="V50" i="25"/>
  <c r="V98" i="25"/>
  <c r="AA98" i="25"/>
  <c r="AB98" i="25" s="1"/>
  <c r="AA94" i="25"/>
  <c r="AB94" i="25" s="1"/>
  <c r="V94" i="25"/>
  <c r="V95" i="25"/>
  <c r="AA8" i="25"/>
  <c r="AB8" i="25" s="1"/>
  <c r="V8" i="25"/>
  <c r="V99" i="25"/>
  <c r="AA99" i="25"/>
  <c r="AB99" i="25" s="1"/>
  <c r="AA53" i="29"/>
  <c r="AB53" i="29" s="1"/>
  <c r="V53" i="29"/>
  <c r="AA54" i="29"/>
  <c r="AB54" i="29" s="1"/>
  <c r="V54" i="29"/>
  <c r="V52" i="29"/>
  <c r="AA52" i="29"/>
  <c r="AB52" i="29" s="1"/>
  <c r="V55" i="29"/>
  <c r="AA55" i="29"/>
  <c r="AB55" i="29" s="1"/>
  <c r="V49" i="29"/>
  <c r="AA49" i="29"/>
  <c r="AB49" i="29" s="1"/>
  <c r="V7" i="29"/>
  <c r="AA7" i="29"/>
  <c r="AB7" i="29" s="1"/>
  <c r="V50" i="29"/>
  <c r="AA50" i="29"/>
  <c r="AB50" i="29" s="1"/>
  <c r="V4" i="29"/>
  <c r="AA4" i="29"/>
  <c r="AB4" i="29" s="1"/>
  <c r="V50" i="28"/>
  <c r="AA50" i="28"/>
  <c r="AB50" i="28" s="1"/>
  <c r="AA53" i="28"/>
  <c r="AB53" i="28" s="1"/>
  <c r="V53" i="28"/>
  <c r="V8" i="28"/>
  <c r="AA8" i="28"/>
  <c r="AB8" i="28" s="1"/>
  <c r="V96" i="28"/>
  <c r="AA96" i="28"/>
  <c r="AB96" i="28" s="1"/>
  <c r="AA95" i="28"/>
  <c r="AB95" i="28" s="1"/>
  <c r="V95" i="28"/>
  <c r="Z9" i="28"/>
  <c r="AA9" i="28" s="1"/>
  <c r="AB9" i="28" s="1"/>
  <c r="AA52" i="28"/>
  <c r="AB52" i="28" s="1"/>
  <c r="V52" i="28"/>
  <c r="AA55" i="28"/>
  <c r="AB55" i="28" s="1"/>
  <c r="V55" i="28"/>
  <c r="V49" i="28"/>
  <c r="AA49" i="28"/>
  <c r="AB49" i="28" s="1"/>
  <c r="V6" i="28"/>
  <c r="AA6" i="28"/>
  <c r="AB6" i="28" s="1"/>
  <c r="V97" i="27"/>
  <c r="AA97" i="27"/>
  <c r="AB97" i="27" s="1"/>
  <c r="V49" i="27"/>
  <c r="AA49" i="27"/>
  <c r="AB49" i="27" s="1"/>
  <c r="V54" i="27"/>
  <c r="AA54" i="27"/>
  <c r="AB54" i="27" s="1"/>
  <c r="V95" i="27"/>
  <c r="AA95" i="27"/>
  <c r="AB95" i="27" s="1"/>
  <c r="AA96" i="27"/>
  <c r="AB96" i="27" s="1"/>
  <c r="V96" i="27"/>
  <c r="AA55" i="27"/>
  <c r="AB55" i="27" s="1"/>
  <c r="V55" i="27"/>
  <c r="AA4" i="27"/>
  <c r="AB4" i="27" s="1"/>
  <c r="V4" i="27"/>
  <c r="V100" i="27"/>
  <c r="AA100" i="27"/>
  <c r="AB100" i="27" s="1"/>
  <c r="V53" i="27"/>
  <c r="V99" i="27"/>
  <c r="AA99" i="27"/>
  <c r="AB99" i="27" s="1"/>
  <c r="AA98" i="27"/>
  <c r="AB98" i="27" s="1"/>
  <c r="V98" i="27"/>
  <c r="V94" i="27"/>
  <c r="AA94" i="27"/>
  <c r="AB94" i="27" s="1"/>
  <c r="V9" i="27"/>
  <c r="AA9" i="27"/>
  <c r="AB9" i="27" s="1"/>
  <c r="AA51" i="27"/>
  <c r="AB51" i="27" s="1"/>
  <c r="V51" i="27"/>
  <c r="V8" i="27"/>
  <c r="AA8" i="27"/>
  <c r="AB8" i="27" s="1"/>
  <c r="V50" i="27"/>
  <c r="AA50" i="27"/>
  <c r="AB50" i="27" s="1"/>
  <c r="AA10" i="26"/>
  <c r="AB10" i="26" s="1"/>
  <c r="V10" i="26"/>
  <c r="V5" i="26"/>
  <c r="AA5" i="26"/>
  <c r="AB5" i="26" s="1"/>
  <c r="AA97" i="26"/>
  <c r="AB97" i="26" s="1"/>
  <c r="V97" i="26"/>
  <c r="AA50" i="26"/>
  <c r="AB50" i="26" s="1"/>
  <c r="V50" i="26"/>
  <c r="Z9" i="26"/>
  <c r="AA9" i="26" s="1"/>
  <c r="AB9" i="26" s="1"/>
  <c r="AA8" i="26"/>
  <c r="AB8" i="26" s="1"/>
  <c r="V8" i="26"/>
  <c r="AA94" i="26"/>
  <c r="AB94" i="26" s="1"/>
  <c r="V94" i="26"/>
  <c r="V4" i="26"/>
  <c r="AA4" i="26"/>
  <c r="AB4" i="26" s="1"/>
  <c r="AA55" i="26"/>
  <c r="AB55" i="26" s="1"/>
  <c r="V55" i="26"/>
  <c r="V7" i="26"/>
  <c r="AA7" i="26"/>
  <c r="AB7" i="26" s="1"/>
  <c r="V96" i="26"/>
  <c r="AA96" i="26"/>
  <c r="AB96" i="26" s="1"/>
  <c r="V52" i="26"/>
  <c r="AA52" i="26"/>
  <c r="AB52" i="26" s="1"/>
  <c r="T21" i="23"/>
  <c r="U28" i="21"/>
  <c r="Z28" i="21" s="1"/>
  <c r="R28" i="21"/>
  <c r="AD28" i="21"/>
  <c r="E27" i="23"/>
  <c r="F27" i="23" s="1"/>
  <c r="AH5" i="21"/>
  <c r="AH6" i="21"/>
  <c r="AH7" i="21"/>
  <c r="AH8" i="21"/>
  <c r="AH9" i="21"/>
  <c r="AH10" i="21"/>
  <c r="AH11" i="21"/>
  <c r="AH12" i="21"/>
  <c r="AH13" i="21"/>
  <c r="AH14" i="21"/>
  <c r="AH15" i="21"/>
  <c r="AH16" i="21"/>
  <c r="AH17" i="21"/>
  <c r="AH18" i="21"/>
  <c r="AH19" i="21"/>
  <c r="AH20" i="21"/>
  <c r="AH21" i="21"/>
  <c r="AH22" i="21"/>
  <c r="AH23" i="21"/>
  <c r="AH24" i="21"/>
  <c r="AH25" i="21"/>
  <c r="AH26" i="21"/>
  <c r="AH27" i="21"/>
  <c r="AH4" i="21"/>
  <c r="AJ4" i="21" s="1"/>
  <c r="Y23" i="21"/>
  <c r="Y24" i="21"/>
  <c r="Y25" i="21"/>
  <c r="Y26" i="21"/>
  <c r="Y27" i="21"/>
  <c r="Y22" i="21"/>
  <c r="Y5" i="21"/>
  <c r="Y6" i="21"/>
  <c r="Y7" i="21"/>
  <c r="Y8" i="21"/>
  <c r="Y9" i="21"/>
  <c r="Y10" i="21"/>
  <c r="Y11" i="21"/>
  <c r="Y12" i="21"/>
  <c r="Y13" i="21"/>
  <c r="Y14" i="21"/>
  <c r="Y15" i="21"/>
  <c r="Y16" i="21"/>
  <c r="Y17" i="21"/>
  <c r="Y18" i="21"/>
  <c r="Y19" i="21"/>
  <c r="Y20" i="21"/>
  <c r="Y21" i="21"/>
  <c r="Y4" i="21"/>
  <c r="S25" i="21"/>
  <c r="U25" i="21" s="1"/>
  <c r="S26" i="21"/>
  <c r="U26" i="21" s="1"/>
  <c r="S27" i="21"/>
  <c r="U27" i="21" s="1"/>
  <c r="S24" i="21"/>
  <c r="X24" i="21" s="1"/>
  <c r="S23" i="21"/>
  <c r="U23" i="21" s="1"/>
  <c r="S22" i="21"/>
  <c r="S5" i="21"/>
  <c r="S6" i="21"/>
  <c r="S7" i="21"/>
  <c r="S8" i="21"/>
  <c r="S9" i="21"/>
  <c r="S10" i="21"/>
  <c r="S11" i="21"/>
  <c r="S12" i="21"/>
  <c r="S13" i="21"/>
  <c r="S14" i="21"/>
  <c r="S15" i="21"/>
  <c r="S16" i="21"/>
  <c r="S17" i="21"/>
  <c r="S18" i="21"/>
  <c r="S19" i="21"/>
  <c r="S4" i="21"/>
  <c r="X4" i="21" s="1"/>
  <c r="L23" i="21"/>
  <c r="AD23" i="21" s="1"/>
  <c r="N23" i="21"/>
  <c r="AE23" i="21" s="1"/>
  <c r="Q23" i="21"/>
  <c r="AF23" i="21" s="1"/>
  <c r="L24" i="21"/>
  <c r="AD24" i="21" s="1"/>
  <c r="N24" i="21"/>
  <c r="AE24" i="21" s="1"/>
  <c r="Q24" i="21"/>
  <c r="AF24" i="21" s="1"/>
  <c r="L25" i="21"/>
  <c r="AD25" i="21" s="1"/>
  <c r="N25" i="21"/>
  <c r="AE25" i="21" s="1"/>
  <c r="Q25" i="21"/>
  <c r="AF25" i="21" s="1"/>
  <c r="L26" i="21"/>
  <c r="AD26" i="21" s="1"/>
  <c r="N26" i="21"/>
  <c r="AE26" i="21" s="1"/>
  <c r="Q26" i="21"/>
  <c r="AF26" i="21" s="1"/>
  <c r="L27" i="21"/>
  <c r="AD27" i="21" s="1"/>
  <c r="N27" i="21"/>
  <c r="AE27" i="21" s="1"/>
  <c r="Q27" i="21"/>
  <c r="AF27" i="21" s="1"/>
  <c r="L20" i="21"/>
  <c r="AD20" i="21" s="1"/>
  <c r="N20" i="21"/>
  <c r="AE20" i="21" s="1"/>
  <c r="Q20" i="21"/>
  <c r="AF20" i="21" s="1"/>
  <c r="S20" i="21"/>
  <c r="U20" i="21" s="1"/>
  <c r="L21" i="21"/>
  <c r="AD21" i="21" s="1"/>
  <c r="N21" i="21"/>
  <c r="AE21" i="21" s="1"/>
  <c r="Q21" i="21"/>
  <c r="AF21" i="21" s="1"/>
  <c r="S21" i="21"/>
  <c r="X21" i="21" s="1"/>
  <c r="AA140" i="29" l="1"/>
  <c r="AB140" i="29" s="1"/>
  <c r="AA96" i="29"/>
  <c r="AB96" i="29" s="1"/>
  <c r="AA49" i="26"/>
  <c r="AB49" i="26" s="1"/>
  <c r="AA139" i="29"/>
  <c r="AB139" i="29" s="1"/>
  <c r="AA7" i="28"/>
  <c r="AB7" i="28" s="1"/>
  <c r="AA51" i="26"/>
  <c r="AB51" i="26" s="1"/>
  <c r="AA53" i="26"/>
  <c r="AB53" i="26" s="1"/>
  <c r="AA94" i="28"/>
  <c r="AB94" i="28" s="1"/>
  <c r="V94" i="28"/>
  <c r="V54" i="28"/>
  <c r="AA54" i="28"/>
  <c r="AB54" i="28" s="1"/>
  <c r="AA51" i="28"/>
  <c r="AB51" i="28" s="1"/>
  <c r="V141" i="29"/>
  <c r="AA141" i="29"/>
  <c r="AB141" i="29" s="1"/>
  <c r="AA144" i="29"/>
  <c r="AB144" i="29" s="1"/>
  <c r="V144" i="29"/>
  <c r="AA142" i="29"/>
  <c r="AB142" i="29" s="1"/>
  <c r="V142" i="29"/>
  <c r="AA140" i="28"/>
  <c r="AB140" i="28" s="1"/>
  <c r="V140" i="28"/>
  <c r="V145" i="29"/>
  <c r="AA145" i="29"/>
  <c r="AB145" i="29" s="1"/>
  <c r="AA145" i="28"/>
  <c r="AB145" i="28" s="1"/>
  <c r="V145" i="28"/>
  <c r="AA144" i="26"/>
  <c r="AB144" i="26" s="1"/>
  <c r="V144" i="26"/>
  <c r="AA140" i="26"/>
  <c r="AB140" i="26" s="1"/>
  <c r="V140" i="26"/>
  <c r="V144" i="28"/>
  <c r="AA144" i="28"/>
  <c r="AB144" i="28" s="1"/>
  <c r="AA139" i="26"/>
  <c r="AB139" i="26" s="1"/>
  <c r="V139" i="26"/>
  <c r="AA139" i="28"/>
  <c r="AB139" i="28" s="1"/>
  <c r="V139" i="28"/>
  <c r="V142" i="28"/>
  <c r="AA142" i="28"/>
  <c r="AB142" i="28" s="1"/>
  <c r="V145" i="26"/>
  <c r="AA145" i="26"/>
  <c r="AB145" i="26" s="1"/>
  <c r="AA141" i="28"/>
  <c r="AB141" i="28" s="1"/>
  <c r="V141" i="28"/>
  <c r="V141" i="26"/>
  <c r="AA141" i="26"/>
  <c r="AB141" i="26" s="1"/>
  <c r="AA142" i="26"/>
  <c r="AB142" i="26" s="1"/>
  <c r="V142" i="26"/>
  <c r="V143" i="26"/>
  <c r="AA143" i="26"/>
  <c r="AB143" i="26" s="1"/>
  <c r="AA143" i="28"/>
  <c r="AB143" i="28" s="1"/>
  <c r="V143" i="28"/>
  <c r="V143" i="29"/>
  <c r="AA143" i="29"/>
  <c r="AB143" i="29" s="1"/>
  <c r="AJ5" i="28"/>
  <c r="AJ6" i="28" s="1"/>
  <c r="AJ7" i="28" s="1"/>
  <c r="AJ8" i="28" s="1"/>
  <c r="AJ9" i="28" s="1"/>
  <c r="AJ10" i="28" s="1"/>
  <c r="AJ11" i="28" s="1"/>
  <c r="AJ12" i="28" s="1"/>
  <c r="AJ13" i="28" s="1"/>
  <c r="AJ14" i="28" s="1"/>
  <c r="AJ15" i="28" s="1"/>
  <c r="AJ16" i="28" s="1"/>
  <c r="AJ17" i="28" s="1"/>
  <c r="AJ18" i="28" s="1"/>
  <c r="AJ19" i="28" s="1"/>
  <c r="AJ20" i="28" s="1"/>
  <c r="AJ21" i="28" s="1"/>
  <c r="AJ22" i="28" s="1"/>
  <c r="AJ23" i="28" s="1"/>
  <c r="AJ24" i="28" s="1"/>
  <c r="AJ25" i="28" s="1"/>
  <c r="AJ26" i="28" s="1"/>
  <c r="AJ27" i="28" s="1"/>
  <c r="AJ28" i="28" s="1"/>
  <c r="AA145" i="27"/>
  <c r="AB145" i="27" s="1"/>
  <c r="V145" i="27"/>
  <c r="V142" i="27"/>
  <c r="AA142" i="27"/>
  <c r="AB142" i="27" s="1"/>
  <c r="V141" i="27"/>
  <c r="AA141" i="27"/>
  <c r="AB141" i="27" s="1"/>
  <c r="AA144" i="27"/>
  <c r="AB144" i="27" s="1"/>
  <c r="V144" i="27"/>
  <c r="V143" i="27"/>
  <c r="AA143" i="27"/>
  <c r="AB143" i="27" s="1"/>
  <c r="V140" i="27"/>
  <c r="AA140" i="27"/>
  <c r="AB140" i="27" s="1"/>
  <c r="AA139" i="27"/>
  <c r="AB139" i="27" s="1"/>
  <c r="V139" i="27"/>
  <c r="AJ5" i="25"/>
  <c r="AJ6" i="25" s="1"/>
  <c r="AH16" i="27"/>
  <c r="AH16" i="26"/>
  <c r="AH25" i="25"/>
  <c r="AH19" i="29"/>
  <c r="AH22" i="25"/>
  <c r="AJ5" i="29"/>
  <c r="AJ6" i="29" s="1"/>
  <c r="AJ7" i="29" s="1"/>
  <c r="AJ8" i="29" s="1"/>
  <c r="AJ9" i="29" s="1"/>
  <c r="AJ10" i="29" s="1"/>
  <c r="AJ11" i="29" s="1"/>
  <c r="AJ12" i="29" s="1"/>
  <c r="AJ13" i="29" s="1"/>
  <c r="AJ14" i="29" s="1"/>
  <c r="AJ15" i="29" s="1"/>
  <c r="AJ16" i="29" s="1"/>
  <c r="AJ17" i="29" s="1"/>
  <c r="AH18" i="29"/>
  <c r="AH23" i="25"/>
  <c r="AH4" i="26"/>
  <c r="AJ4" i="26" s="1"/>
  <c r="AJ5" i="26" s="1"/>
  <c r="AJ6" i="26" s="1"/>
  <c r="AJ7" i="26" s="1"/>
  <c r="AJ8" i="26" s="1"/>
  <c r="AJ9" i="26" s="1"/>
  <c r="AJ10" i="26" s="1"/>
  <c r="AJ11" i="26" s="1"/>
  <c r="AJ12" i="26" s="1"/>
  <c r="AJ13" i="26" s="1"/>
  <c r="AJ14" i="26" s="1"/>
  <c r="AJ15" i="26" s="1"/>
  <c r="AJ16" i="26" s="1"/>
  <c r="AJ17" i="26" s="1"/>
  <c r="AJ18" i="26" s="1"/>
  <c r="AJ19" i="26" s="1"/>
  <c r="AJ20" i="26" s="1"/>
  <c r="AJ21" i="26" s="1"/>
  <c r="AJ22" i="26" s="1"/>
  <c r="AJ23" i="26" s="1"/>
  <c r="AJ24" i="26" s="1"/>
  <c r="AJ25" i="26" s="1"/>
  <c r="AJ26" i="26" s="1"/>
  <c r="AJ27" i="26" s="1"/>
  <c r="AJ28" i="26" s="1"/>
  <c r="G29" i="26"/>
  <c r="G29" i="25"/>
  <c r="AH4" i="27"/>
  <c r="AJ4" i="27" s="1"/>
  <c r="AJ5" i="27" s="1"/>
  <c r="AJ6" i="27" s="1"/>
  <c r="AJ7" i="27" s="1"/>
  <c r="AJ8" i="27" s="1"/>
  <c r="AJ9" i="27" s="1"/>
  <c r="AJ10" i="27" s="1"/>
  <c r="AJ11" i="27" s="1"/>
  <c r="AJ12" i="27" s="1"/>
  <c r="AJ13" i="27" s="1"/>
  <c r="AJ14" i="27" s="1"/>
  <c r="AJ15" i="27" s="1"/>
  <c r="G29" i="27"/>
  <c r="G29" i="29"/>
  <c r="C32" i="23"/>
  <c r="E32" i="23" s="1"/>
  <c r="G32" i="23" s="1"/>
  <c r="L26" i="23"/>
  <c r="M26" i="23" s="1"/>
  <c r="O26" i="23" s="1"/>
  <c r="H27" i="23"/>
  <c r="L27" i="23" s="1"/>
  <c r="M27" i="23" s="1"/>
  <c r="O27" i="23" s="1"/>
  <c r="AA28" i="21"/>
  <c r="AB28" i="21" s="1"/>
  <c r="V28" i="21"/>
  <c r="AJ5" i="21"/>
  <c r="AJ6" i="21" s="1"/>
  <c r="AJ7" i="21" s="1"/>
  <c r="AJ8" i="21" s="1"/>
  <c r="AJ9" i="21" s="1"/>
  <c r="AJ10" i="21" s="1"/>
  <c r="AJ11" i="21" s="1"/>
  <c r="AJ12" i="21" s="1"/>
  <c r="AJ13" i="21" s="1"/>
  <c r="AJ14" i="21" s="1"/>
  <c r="AJ15" i="21" s="1"/>
  <c r="AJ16" i="21" s="1"/>
  <c r="AJ17" i="21" s="1"/>
  <c r="AJ18" i="21" s="1"/>
  <c r="AJ19" i="21" s="1"/>
  <c r="AJ20" i="21" s="1"/>
  <c r="AJ21" i="21" s="1"/>
  <c r="AJ22" i="21" s="1"/>
  <c r="AJ23" i="21" s="1"/>
  <c r="AJ24" i="21" s="1"/>
  <c r="AJ25" i="21" s="1"/>
  <c r="AJ26" i="21" s="1"/>
  <c r="AJ27" i="21" s="1"/>
  <c r="AJ28" i="21" s="1"/>
  <c r="Z23" i="21"/>
  <c r="Z20" i="21"/>
  <c r="Z25" i="21"/>
  <c r="Z27" i="21"/>
  <c r="Z26" i="21"/>
  <c r="U24" i="21"/>
  <c r="Z24" i="21" s="1"/>
  <c r="X25" i="21"/>
  <c r="X26" i="21"/>
  <c r="R25" i="21"/>
  <c r="V25" i="21" s="1"/>
  <c r="R26" i="21"/>
  <c r="R23" i="21"/>
  <c r="V23" i="21" s="1"/>
  <c r="R27" i="21"/>
  <c r="V27" i="21" s="1"/>
  <c r="R24" i="21"/>
  <c r="X23" i="21"/>
  <c r="X27" i="21"/>
  <c r="X20" i="21"/>
  <c r="U21" i="21"/>
  <c r="Z21" i="21" s="1"/>
  <c r="R20" i="21"/>
  <c r="R21" i="21"/>
  <c r="AJ16" i="27" l="1"/>
  <c r="AJ17" i="27" s="1"/>
  <c r="AJ18" i="27" s="1"/>
  <c r="AJ19" i="27" s="1"/>
  <c r="AJ20" i="27" s="1"/>
  <c r="AJ21" i="27" s="1"/>
  <c r="AJ22" i="27" s="1"/>
  <c r="AJ23" i="27" s="1"/>
  <c r="AJ24" i="27" s="1"/>
  <c r="AJ25" i="27" s="1"/>
  <c r="AJ26" i="27" s="1"/>
  <c r="AJ27" i="27" s="1"/>
  <c r="AJ28" i="27" s="1"/>
  <c r="AJ7" i="25"/>
  <c r="AJ18" i="29"/>
  <c r="AJ19" i="29" s="1"/>
  <c r="AJ20" i="29" s="1"/>
  <c r="AJ21" i="29" s="1"/>
  <c r="AJ22" i="29" s="1"/>
  <c r="AJ23" i="29" s="1"/>
  <c r="AJ24" i="29" s="1"/>
  <c r="AJ25" i="29" s="1"/>
  <c r="AJ26" i="29" s="1"/>
  <c r="AJ27" i="29" s="1"/>
  <c r="AJ28" i="29" s="1"/>
  <c r="H32" i="23"/>
  <c r="K27" i="23"/>
  <c r="AA24" i="21"/>
  <c r="AB24" i="21" s="1"/>
  <c r="AA26" i="21"/>
  <c r="AB26" i="21" s="1"/>
  <c r="AA20" i="21"/>
  <c r="AB20" i="21" s="1"/>
  <c r="AA21" i="21"/>
  <c r="AB21" i="21" s="1"/>
  <c r="AA25" i="21"/>
  <c r="AB25" i="21" s="1"/>
  <c r="AA23" i="21"/>
  <c r="AB23" i="21" s="1"/>
  <c r="V21" i="21"/>
  <c r="V24" i="21"/>
  <c r="V26" i="21"/>
  <c r="AA27" i="21"/>
  <c r="AB27" i="21" s="1"/>
  <c r="V20" i="21"/>
  <c r="O151" i="27" l="1" a="1"/>
  <c r="O151" i="27" s="1"/>
  <c r="O159" i="26" a="1"/>
  <c r="O159" i="26" s="1"/>
  <c r="O151" i="26" a="1"/>
  <c r="O151" i="26" s="1"/>
  <c r="O147" i="29" a="1"/>
  <c r="O147" i="29" s="1"/>
  <c r="O151" i="29" a="1"/>
  <c r="O151" i="29" s="1"/>
  <c r="O149" i="29" a="1"/>
  <c r="O149" i="29" s="1"/>
  <c r="O157" i="29" a="1"/>
  <c r="O157" i="29" s="1"/>
  <c r="O146" i="28" a="1"/>
  <c r="O146" i="28" s="1"/>
  <c r="O149" i="28" a="1"/>
  <c r="O149" i="28" s="1"/>
  <c r="O151" i="28" a="1"/>
  <c r="O151" i="28" s="1"/>
  <c r="O146" i="27" a="1"/>
  <c r="O146" i="27" s="1"/>
  <c r="O159" i="27" a="1"/>
  <c r="O159" i="27" s="1"/>
  <c r="O146" i="26" a="1"/>
  <c r="O146" i="26" s="1"/>
  <c r="O149" i="26" a="1"/>
  <c r="O149" i="26" s="1"/>
  <c r="O147" i="25" a="1"/>
  <c r="O147" i="25" s="1"/>
  <c r="O149" i="25" a="1"/>
  <c r="O149" i="25" s="1"/>
  <c r="O146" i="29" a="1"/>
  <c r="O146" i="29" s="1"/>
  <c r="O147" i="28" a="1"/>
  <c r="O147" i="28" s="1"/>
  <c r="O147" i="27" a="1"/>
  <c r="O147" i="27" s="1"/>
  <c r="O151" i="25" a="1"/>
  <c r="O151" i="25" s="1"/>
  <c r="O159" i="28" a="1"/>
  <c r="O159" i="28" s="1"/>
  <c r="O147" i="26" a="1"/>
  <c r="O147" i="26" s="1"/>
  <c r="O146" i="25" a="1"/>
  <c r="O146" i="25" s="1"/>
  <c r="O159" i="25" a="1"/>
  <c r="O159" i="25" s="1"/>
  <c r="O149" i="27" a="1"/>
  <c r="O149" i="27" s="1"/>
  <c r="AJ8" i="25"/>
  <c r="O104" i="29" a="1"/>
  <c r="O104" i="29" s="1"/>
  <c r="O57" i="29" a="1"/>
  <c r="O57" i="29" s="1"/>
  <c r="O102" i="28" a="1"/>
  <c r="O102" i="28" s="1"/>
  <c r="O59" i="28" a="1"/>
  <c r="O59" i="28" s="1"/>
  <c r="O16" i="28" a="1"/>
  <c r="O16" i="28" s="1"/>
  <c r="O69" i="27" a="1"/>
  <c r="O69" i="27" s="1"/>
  <c r="O101" i="26" a="1"/>
  <c r="O101" i="26" s="1"/>
  <c r="O56" i="26" a="1"/>
  <c r="O56" i="26" s="1"/>
  <c r="O102" i="29" a="1"/>
  <c r="O102" i="29" s="1"/>
  <c r="O112" i="29" a="1"/>
  <c r="O112" i="29" s="1"/>
  <c r="O12" i="25" a="1"/>
  <c r="O12" i="25" s="1"/>
  <c r="O101" i="29" a="1"/>
  <c r="O101" i="29" s="1"/>
  <c r="O101" i="28" a="1"/>
  <c r="O101" i="28" s="1"/>
  <c r="O106" i="28" a="1"/>
  <c r="O106" i="28" s="1"/>
  <c r="O24" i="28" a="1"/>
  <c r="O24" i="28" s="1"/>
  <c r="O101" i="27" a="1"/>
  <c r="O101" i="27" s="1"/>
  <c r="O14" i="25" a="1"/>
  <c r="O14" i="25" s="1"/>
  <c r="O12" i="29" a="1"/>
  <c r="O12" i="29" s="1"/>
  <c r="O57" i="28" a="1"/>
  <c r="O57" i="28" s="1"/>
  <c r="O11" i="28" a="1"/>
  <c r="O11" i="28" s="1"/>
  <c r="O114" i="27" a="1"/>
  <c r="O114" i="27" s="1"/>
  <c r="O12" i="27" a="1"/>
  <c r="O12" i="27" s="1"/>
  <c r="O24" i="27" a="1"/>
  <c r="O24" i="27" s="1"/>
  <c r="O57" i="26" a="1"/>
  <c r="O57" i="26" s="1"/>
  <c r="O12" i="26" a="1"/>
  <c r="O12" i="26" s="1"/>
  <c r="O24" i="26" a="1"/>
  <c r="O24" i="26" s="1"/>
  <c r="O11" i="25" a="1"/>
  <c r="O11" i="25" s="1"/>
  <c r="O104" i="27" a="1"/>
  <c r="O104" i="27" s="1"/>
  <c r="O114" i="25" a="1"/>
  <c r="O114" i="25" s="1"/>
  <c r="O16" i="29" a="1"/>
  <c r="O16" i="29" s="1"/>
  <c r="O102" i="27" a="1"/>
  <c r="O102" i="27" s="1"/>
  <c r="O57" i="27" a="1"/>
  <c r="O57" i="27" s="1"/>
  <c r="O14" i="26" a="1"/>
  <c r="O14" i="26" s="1"/>
  <c r="O59" i="25" a="1"/>
  <c r="O59" i="25" s="1"/>
  <c r="O16" i="25" a="1"/>
  <c r="O16" i="25" s="1"/>
  <c r="O106" i="29" a="1"/>
  <c r="O106" i="29" s="1"/>
  <c r="O59" i="29" a="1"/>
  <c r="O59" i="29" s="1"/>
  <c r="O14" i="29" a="1"/>
  <c r="O14" i="29" s="1"/>
  <c r="O12" i="28" a="1"/>
  <c r="O12" i="28" s="1"/>
  <c r="O106" i="27" a="1"/>
  <c r="O106" i="27" s="1"/>
  <c r="O14" i="27" a="1"/>
  <c r="O14" i="27" s="1"/>
  <c r="O106" i="25" a="1"/>
  <c r="O106" i="25" s="1"/>
  <c r="O57" i="25" a="1"/>
  <c r="O57" i="25" s="1"/>
  <c r="O56" i="25" a="1"/>
  <c r="O56" i="25" s="1"/>
  <c r="O61" i="25" a="1"/>
  <c r="O61" i="25" s="1"/>
  <c r="O61" i="29" a="1"/>
  <c r="O61" i="29" s="1"/>
  <c r="O24" i="29" a="1"/>
  <c r="O24" i="29" s="1"/>
  <c r="O114" i="28" a="1"/>
  <c r="O114" i="28" s="1"/>
  <c r="O56" i="27" a="1"/>
  <c r="O56" i="27" s="1"/>
  <c r="O61" i="27" a="1"/>
  <c r="O61" i="27" s="1"/>
  <c r="O104" i="26" a="1"/>
  <c r="O104" i="26" s="1"/>
  <c r="O106" i="26" a="1"/>
  <c r="O106" i="26" s="1"/>
  <c r="O59" i="26" a="1"/>
  <c r="O59" i="26" s="1"/>
  <c r="O11" i="26" a="1"/>
  <c r="O11" i="26" s="1"/>
  <c r="O56" i="29" a="1"/>
  <c r="O56" i="29" s="1"/>
  <c r="O56" i="28" a="1"/>
  <c r="O56" i="28" s="1"/>
  <c r="O69" i="26" a="1"/>
  <c r="O69" i="26" s="1"/>
  <c r="O102" i="25" a="1"/>
  <c r="O102" i="25" s="1"/>
  <c r="O101" i="25" a="1"/>
  <c r="O101" i="25" s="1"/>
  <c r="O104" i="25" a="1"/>
  <c r="O104" i="25" s="1"/>
  <c r="O69" i="25" a="1"/>
  <c r="O69" i="25" s="1"/>
  <c r="O24" i="25" a="1"/>
  <c r="O24" i="25" s="1"/>
  <c r="O67" i="29" a="1"/>
  <c r="O67" i="29" s="1"/>
  <c r="O11" i="29" a="1"/>
  <c r="O11" i="29" s="1"/>
  <c r="O104" i="28" a="1"/>
  <c r="O104" i="28" s="1"/>
  <c r="O69" i="28" a="1"/>
  <c r="O69" i="28" s="1"/>
  <c r="O61" i="28" a="1"/>
  <c r="O61" i="28" s="1"/>
  <c r="O14" i="28" a="1"/>
  <c r="O14" i="28" s="1"/>
  <c r="O59" i="27" a="1"/>
  <c r="O59" i="27" s="1"/>
  <c r="O11" i="27" a="1"/>
  <c r="O11" i="27" s="1"/>
  <c r="O16" i="27" a="1"/>
  <c r="O16" i="27" s="1"/>
  <c r="O102" i="26" a="1"/>
  <c r="O102" i="26" s="1"/>
  <c r="O114" i="26" a="1"/>
  <c r="O114" i="26" s="1"/>
  <c r="O61" i="26" a="1"/>
  <c r="O61" i="26" s="1"/>
  <c r="O16" i="26" a="1"/>
  <c r="O16" i="26" s="1"/>
  <c r="C33" i="23"/>
  <c r="X5" i="21"/>
  <c r="U6" i="21"/>
  <c r="Z6" i="21" s="1"/>
  <c r="X7" i="21"/>
  <c r="X8" i="21"/>
  <c r="X9" i="21"/>
  <c r="U10" i="21"/>
  <c r="Z10" i="21" s="1"/>
  <c r="U11" i="21"/>
  <c r="Z11" i="21" s="1"/>
  <c r="X12" i="21"/>
  <c r="X13" i="21"/>
  <c r="U14" i="21"/>
  <c r="Z14" i="21" s="1"/>
  <c r="X15" i="21"/>
  <c r="X16" i="21"/>
  <c r="X17" i="21"/>
  <c r="U18" i="21"/>
  <c r="Z18" i="21" s="1"/>
  <c r="X19" i="21"/>
  <c r="X22" i="21"/>
  <c r="U4" i="21"/>
  <c r="Z4" i="21" s="1"/>
  <c r="AF7" i="21"/>
  <c r="Q10" i="21"/>
  <c r="AF10" i="21" s="1"/>
  <c r="Q15" i="21"/>
  <c r="AF15" i="21" s="1"/>
  <c r="Q18" i="21"/>
  <c r="AF18" i="21" s="1"/>
  <c r="Q4" i="21"/>
  <c r="AF4" i="21" s="1"/>
  <c r="Q5" i="21"/>
  <c r="AF5" i="21" s="1"/>
  <c r="Q6" i="21"/>
  <c r="AF6" i="21" s="1"/>
  <c r="Q8" i="21"/>
  <c r="AF8" i="21" s="1"/>
  <c r="Q9" i="21"/>
  <c r="AF9" i="21" s="1"/>
  <c r="Q11" i="21"/>
  <c r="AF11" i="21" s="1"/>
  <c r="Q12" i="21"/>
  <c r="AF12" i="21" s="1"/>
  <c r="Q13" i="21"/>
  <c r="AF13" i="21" s="1"/>
  <c r="Q14" i="21"/>
  <c r="AF14" i="21" s="1"/>
  <c r="Q16" i="21"/>
  <c r="AF16" i="21" s="1"/>
  <c r="Q17" i="21"/>
  <c r="AF17" i="21" s="1"/>
  <c r="Q19" i="21"/>
  <c r="AF19" i="21" s="1"/>
  <c r="Q22" i="21"/>
  <c r="AF22" i="21" s="1"/>
  <c r="N5" i="21"/>
  <c r="AE5" i="21" s="1"/>
  <c r="N6" i="21"/>
  <c r="AE6" i="21" s="1"/>
  <c r="N7" i="21"/>
  <c r="AE7" i="21" s="1"/>
  <c r="N8" i="21"/>
  <c r="AE8" i="21" s="1"/>
  <c r="N9" i="21"/>
  <c r="AE9" i="21" s="1"/>
  <c r="N10" i="21"/>
  <c r="AE10" i="21" s="1"/>
  <c r="N11" i="21"/>
  <c r="AE11" i="21" s="1"/>
  <c r="N12" i="21"/>
  <c r="AE12" i="21" s="1"/>
  <c r="N13" i="21"/>
  <c r="AE13" i="21" s="1"/>
  <c r="N14" i="21"/>
  <c r="AE14" i="21" s="1"/>
  <c r="N15" i="21"/>
  <c r="AE15" i="21" s="1"/>
  <c r="N16" i="21"/>
  <c r="AE16" i="21" s="1"/>
  <c r="N17" i="21"/>
  <c r="AE17" i="21" s="1"/>
  <c r="N18" i="21"/>
  <c r="AE18" i="21" s="1"/>
  <c r="N19" i="21"/>
  <c r="AE19" i="21" s="1"/>
  <c r="N22" i="21"/>
  <c r="AE22" i="21" s="1"/>
  <c r="AE4" i="21"/>
  <c r="L5" i="21"/>
  <c r="AD5" i="21" s="1"/>
  <c r="L6" i="21"/>
  <c r="AD6" i="21" s="1"/>
  <c r="L7" i="21"/>
  <c r="AD7" i="21" s="1"/>
  <c r="L8" i="21"/>
  <c r="AD9" i="21"/>
  <c r="L10" i="21"/>
  <c r="AD10" i="21" s="1"/>
  <c r="L11" i="21"/>
  <c r="AD11" i="21" s="1"/>
  <c r="L12" i="21"/>
  <c r="AD12" i="21" s="1"/>
  <c r="L13" i="21"/>
  <c r="AD13" i="21" s="1"/>
  <c r="L14" i="21"/>
  <c r="AD14" i="21" s="1"/>
  <c r="L15" i="21"/>
  <c r="AD15" i="21" s="1"/>
  <c r="L16" i="21"/>
  <c r="AD16" i="21" s="1"/>
  <c r="L17" i="21"/>
  <c r="AD17" i="21" s="1"/>
  <c r="L18" i="21"/>
  <c r="AD18" i="21" s="1"/>
  <c r="L19" i="21"/>
  <c r="AD19" i="21" s="1"/>
  <c r="L22" i="21"/>
  <c r="AD4" i="21"/>
  <c r="D28" i="1"/>
  <c r="E28" i="1"/>
  <c r="F28" i="1"/>
  <c r="G28" i="1"/>
  <c r="H28" i="1"/>
  <c r="D23" i="1"/>
  <c r="E23" i="1"/>
  <c r="F23" i="1"/>
  <c r="G23" i="1"/>
  <c r="H23" i="1"/>
  <c r="E25" i="1"/>
  <c r="F25" i="1"/>
  <c r="G25" i="1"/>
  <c r="H25" i="1"/>
  <c r="D25" i="1"/>
  <c r="H471" i="1"/>
  <c r="G471" i="1"/>
  <c r="F471" i="1"/>
  <c r="E471" i="1"/>
  <c r="H403" i="1"/>
  <c r="G403" i="1"/>
  <c r="F403" i="1"/>
  <c r="E403" i="1"/>
  <c r="H354" i="1"/>
  <c r="G354" i="1"/>
  <c r="F354" i="1"/>
  <c r="E354" i="1"/>
  <c r="H305" i="1"/>
  <c r="G305" i="1"/>
  <c r="F305" i="1"/>
  <c r="E305" i="1"/>
  <c r="H256" i="1"/>
  <c r="G256" i="1"/>
  <c r="F256" i="1"/>
  <c r="E256" i="1"/>
  <c r="H206" i="1"/>
  <c r="G206" i="1"/>
  <c r="F206" i="1"/>
  <c r="E206" i="1"/>
  <c r="H157" i="1"/>
  <c r="G157" i="1"/>
  <c r="F157" i="1"/>
  <c r="E157" i="1"/>
  <c r="H108" i="1"/>
  <c r="G108" i="1"/>
  <c r="F108" i="1"/>
  <c r="E108" i="1"/>
  <c r="F59" i="1"/>
  <c r="G59" i="1"/>
  <c r="H59" i="1"/>
  <c r="E59" i="1"/>
  <c r="M569" i="1"/>
  <c r="L512" i="1"/>
  <c r="K512" i="1"/>
  <c r="L511" i="1"/>
  <c r="K511" i="1"/>
  <c r="J511" i="1"/>
  <c r="M510" i="1"/>
  <c r="L510" i="1"/>
  <c r="K510" i="1"/>
  <c r="J510" i="1"/>
  <c r="M444" i="1"/>
  <c r="L444" i="1"/>
  <c r="K444" i="1"/>
  <c r="J444" i="1"/>
  <c r="M443" i="1"/>
  <c r="L443" i="1"/>
  <c r="K443" i="1"/>
  <c r="J443" i="1"/>
  <c r="M442" i="1"/>
  <c r="L442" i="1"/>
  <c r="K442" i="1"/>
  <c r="J442" i="1"/>
  <c r="M395" i="1"/>
  <c r="L395" i="1"/>
  <c r="K395" i="1"/>
  <c r="J395" i="1"/>
  <c r="M394" i="1"/>
  <c r="L394" i="1"/>
  <c r="K394" i="1"/>
  <c r="J394" i="1"/>
  <c r="M393" i="1"/>
  <c r="L393" i="1"/>
  <c r="K393" i="1"/>
  <c r="J393" i="1"/>
  <c r="M346" i="1"/>
  <c r="L346" i="1"/>
  <c r="K346" i="1"/>
  <c r="J346" i="1"/>
  <c r="L345" i="1"/>
  <c r="K345" i="1"/>
  <c r="J345" i="1"/>
  <c r="M344" i="1"/>
  <c r="L344" i="1"/>
  <c r="K344" i="1"/>
  <c r="J344" i="1"/>
  <c r="M297" i="1"/>
  <c r="L297" i="1"/>
  <c r="K297" i="1"/>
  <c r="J297" i="1"/>
  <c r="K296" i="1"/>
  <c r="J296" i="1"/>
  <c r="M295" i="1"/>
  <c r="L295" i="1"/>
  <c r="K295" i="1"/>
  <c r="J295" i="1"/>
  <c r="M247" i="1"/>
  <c r="L247" i="1"/>
  <c r="K247" i="1"/>
  <c r="J247" i="1"/>
  <c r="L246" i="1"/>
  <c r="K246" i="1"/>
  <c r="J246" i="1"/>
  <c r="M245" i="1"/>
  <c r="L245" i="1"/>
  <c r="K245" i="1"/>
  <c r="J245" i="1"/>
  <c r="M198" i="1"/>
  <c r="L198" i="1"/>
  <c r="K198" i="1"/>
  <c r="J198" i="1"/>
  <c r="L197" i="1"/>
  <c r="K197" i="1"/>
  <c r="J197" i="1"/>
  <c r="M196" i="1"/>
  <c r="L196" i="1"/>
  <c r="K196" i="1"/>
  <c r="J196" i="1"/>
  <c r="M149" i="1"/>
  <c r="L149" i="1"/>
  <c r="K149" i="1"/>
  <c r="J149" i="1"/>
  <c r="M147" i="1"/>
  <c r="L147" i="1"/>
  <c r="K147" i="1"/>
  <c r="J147" i="1"/>
  <c r="K98" i="1"/>
  <c r="L98" i="1"/>
  <c r="M98" i="1"/>
  <c r="K99" i="1"/>
  <c r="K100" i="1"/>
  <c r="L100" i="1"/>
  <c r="M100" i="1"/>
  <c r="J99" i="1"/>
  <c r="J100" i="1"/>
  <c r="J98" i="1"/>
  <c r="Q159" i="25" l="1"/>
  <c r="S159" i="25" a="1"/>
  <c r="S159" i="25" s="1"/>
  <c r="Q149" i="25"/>
  <c r="S149" i="25" a="1"/>
  <c r="S149" i="25" s="1"/>
  <c r="Q146" i="28"/>
  <c r="S146" i="28" a="1"/>
  <c r="S146" i="28" s="1"/>
  <c r="Q146" i="25"/>
  <c r="S146" i="25" a="1"/>
  <c r="S146" i="25" s="1"/>
  <c r="Q147" i="25"/>
  <c r="S147" i="25" a="1"/>
  <c r="S147" i="25" s="1"/>
  <c r="Q157" i="29"/>
  <c r="S157" i="29" a="1"/>
  <c r="S157" i="29" s="1"/>
  <c r="Q149" i="29"/>
  <c r="S149" i="29" a="1"/>
  <c r="S149" i="29" s="1"/>
  <c r="S159" i="28" a="1"/>
  <c r="S159" i="28" s="1"/>
  <c r="Q159" i="28"/>
  <c r="Q146" i="26"/>
  <c r="S146" i="26" a="1"/>
  <c r="S146" i="26" s="1"/>
  <c r="S151" i="29" a="1"/>
  <c r="S151" i="29" s="1"/>
  <c r="Q151" i="29"/>
  <c r="Q147" i="26"/>
  <c r="S147" i="26" a="1"/>
  <c r="S147" i="26" s="1"/>
  <c r="Q151" i="25"/>
  <c r="S151" i="25" a="1"/>
  <c r="S151" i="25" s="1"/>
  <c r="S159" i="27" a="1"/>
  <c r="S159" i="27" s="1"/>
  <c r="Q159" i="27"/>
  <c r="Q147" i="29"/>
  <c r="S147" i="29" a="1"/>
  <c r="S147" i="29" s="1"/>
  <c r="S149" i="26" a="1"/>
  <c r="S149" i="26" s="1"/>
  <c r="Q149" i="26"/>
  <c r="S147" i="27" a="1"/>
  <c r="S147" i="27" s="1"/>
  <c r="Q147" i="27"/>
  <c r="Q146" i="27"/>
  <c r="S146" i="27" a="1"/>
  <c r="S146" i="27" s="1"/>
  <c r="S151" i="26" a="1"/>
  <c r="S151" i="26" s="1"/>
  <c r="Q151" i="26"/>
  <c r="Q147" i="28"/>
  <c r="S147" i="28" a="1"/>
  <c r="S147" i="28" s="1"/>
  <c r="Q151" i="28"/>
  <c r="S151" i="28" a="1"/>
  <c r="S151" i="28" s="1"/>
  <c r="Q159" i="26"/>
  <c r="S159" i="26" a="1"/>
  <c r="S159" i="26" s="1"/>
  <c r="Q149" i="27"/>
  <c r="S149" i="27" a="1"/>
  <c r="S149" i="27" s="1"/>
  <c r="Q146" i="29"/>
  <c r="S146" i="29" a="1"/>
  <c r="S146" i="29" s="1"/>
  <c r="Q149" i="28"/>
  <c r="S149" i="28" a="1"/>
  <c r="S149" i="28" s="1"/>
  <c r="Q151" i="27"/>
  <c r="S151" i="27" a="1"/>
  <c r="S151" i="27" s="1"/>
  <c r="AJ9" i="25"/>
  <c r="E33" i="23"/>
  <c r="G33" i="23" s="1"/>
  <c r="H33" i="23" s="1"/>
  <c r="S61" i="28" a="1"/>
  <c r="S61" i="28" s="1"/>
  <c r="Q61" i="28"/>
  <c r="Q57" i="28"/>
  <c r="S57" i="28" a="1"/>
  <c r="S57" i="28" s="1"/>
  <c r="Q106" i="28"/>
  <c r="S106" i="28" a="1"/>
  <c r="S106" i="28" s="1"/>
  <c r="S56" i="26" a="1"/>
  <c r="S56" i="26" s="1"/>
  <c r="Q56" i="26"/>
  <c r="S61" i="26" a="1"/>
  <c r="S61" i="26" s="1"/>
  <c r="Q61" i="26"/>
  <c r="Q69" i="28"/>
  <c r="S69" i="28" a="1"/>
  <c r="S69" i="28" s="1"/>
  <c r="Q102" i="25"/>
  <c r="S102" i="25" a="1"/>
  <c r="S102" i="25" s="1"/>
  <c r="S59" i="26" a="1"/>
  <c r="S59" i="26" s="1"/>
  <c r="Q59" i="26"/>
  <c r="S61" i="25" a="1"/>
  <c r="S61" i="25" s="1"/>
  <c r="Q61" i="25"/>
  <c r="S12" i="28" a="1"/>
  <c r="S12" i="28" s="1"/>
  <c r="Q12" i="28"/>
  <c r="S57" i="27" a="1"/>
  <c r="S57" i="27" s="1"/>
  <c r="Q57" i="27"/>
  <c r="Q24" i="26"/>
  <c r="S24" i="26" a="1"/>
  <c r="S24" i="26" s="1"/>
  <c r="Q12" i="29"/>
  <c r="S12" i="29" a="1"/>
  <c r="S12" i="29" s="1"/>
  <c r="Q101" i="28"/>
  <c r="S101" i="28" a="1"/>
  <c r="S101" i="28" s="1"/>
  <c r="S101" i="26" a="1"/>
  <c r="S101" i="26" s="1"/>
  <c r="Q101" i="26"/>
  <c r="S11" i="26" a="1"/>
  <c r="S11" i="26" s="1"/>
  <c r="Q11" i="26"/>
  <c r="Q104" i="28"/>
  <c r="S104" i="28" a="1"/>
  <c r="S104" i="28" s="1"/>
  <c r="S101" i="29" a="1"/>
  <c r="S101" i="29" s="1"/>
  <c r="Q101" i="29"/>
  <c r="Q102" i="26"/>
  <c r="S102" i="26" a="1"/>
  <c r="S102" i="26" s="1"/>
  <c r="S11" i="29" a="1"/>
  <c r="S11" i="29" s="1"/>
  <c r="Q11" i="29"/>
  <c r="S56" i="28" a="1"/>
  <c r="S56" i="28" s="1"/>
  <c r="Q56" i="28"/>
  <c r="Q104" i="26"/>
  <c r="S104" i="26" a="1"/>
  <c r="S104" i="26" s="1"/>
  <c r="S57" i="25" a="1"/>
  <c r="S57" i="25" s="1"/>
  <c r="Q57" i="25"/>
  <c r="Q59" i="29"/>
  <c r="S59" i="29" a="1"/>
  <c r="S59" i="29" s="1"/>
  <c r="Q16" i="29"/>
  <c r="S16" i="29" a="1"/>
  <c r="S16" i="29" s="1"/>
  <c r="S57" i="26" a="1"/>
  <c r="S57" i="26" s="1"/>
  <c r="Q57" i="26"/>
  <c r="Q101" i="27"/>
  <c r="S101" i="27" a="1"/>
  <c r="S101" i="27" s="1"/>
  <c r="S12" i="25" a="1"/>
  <c r="S12" i="25" s="1"/>
  <c r="Q12" i="25"/>
  <c r="Q16" i="28"/>
  <c r="S16" i="28" a="1"/>
  <c r="S16" i="28" s="1"/>
  <c r="S61" i="29" a="1"/>
  <c r="S61" i="29" s="1"/>
  <c r="Q61" i="29"/>
  <c r="Q106" i="26"/>
  <c r="S106" i="26" a="1"/>
  <c r="S106" i="26" s="1"/>
  <c r="S69" i="27" a="1"/>
  <c r="S69" i="27" s="1"/>
  <c r="Q69" i="27"/>
  <c r="S16" i="27" a="1"/>
  <c r="S16" i="27" s="1"/>
  <c r="Q16" i="27"/>
  <c r="Q67" i="29"/>
  <c r="S67" i="29" a="1"/>
  <c r="S67" i="29" s="1"/>
  <c r="S56" i="29" a="1"/>
  <c r="S56" i="29" s="1"/>
  <c r="Q56" i="29"/>
  <c r="Q61" i="27"/>
  <c r="S61" i="27" a="1"/>
  <c r="S61" i="27" s="1"/>
  <c r="S106" i="25" a="1"/>
  <c r="S106" i="25" s="1"/>
  <c r="Q106" i="25"/>
  <c r="S106" i="29" a="1"/>
  <c r="S106" i="29" s="1"/>
  <c r="Q106" i="29"/>
  <c r="S114" i="25" a="1"/>
  <c r="S114" i="25" s="1"/>
  <c r="Q114" i="25"/>
  <c r="S24" i="27" a="1"/>
  <c r="S24" i="27" s="1"/>
  <c r="Q24" i="27"/>
  <c r="Q112" i="29"/>
  <c r="S112" i="29" a="1"/>
  <c r="S112" i="29" s="1"/>
  <c r="S59" i="28" a="1"/>
  <c r="S59" i="28" s="1"/>
  <c r="Q59" i="28"/>
  <c r="S101" i="25" a="1"/>
  <c r="S101" i="25" s="1"/>
  <c r="Q101" i="25"/>
  <c r="S114" i="26" a="1"/>
  <c r="S114" i="26" s="1"/>
  <c r="Q114" i="26"/>
  <c r="S14" i="29" a="1"/>
  <c r="S14" i="29" s="1"/>
  <c r="Q14" i="29"/>
  <c r="S102" i="27" a="1"/>
  <c r="S102" i="27" s="1"/>
  <c r="Q102" i="27"/>
  <c r="Q11" i="27"/>
  <c r="S11" i="27" a="1"/>
  <c r="S11" i="27" s="1"/>
  <c r="Q24" i="25"/>
  <c r="S24" i="25" a="1"/>
  <c r="S24" i="25" s="1"/>
  <c r="S56" i="27" a="1"/>
  <c r="S56" i="27" s="1"/>
  <c r="Q56" i="27"/>
  <c r="Q16" i="25"/>
  <c r="S16" i="25" a="1"/>
  <c r="S16" i="25" s="1"/>
  <c r="Q104" i="27"/>
  <c r="S104" i="27" a="1"/>
  <c r="S104" i="27" s="1"/>
  <c r="S12" i="27" a="1"/>
  <c r="S12" i="27" s="1"/>
  <c r="Q12" i="27"/>
  <c r="S102" i="29" a="1"/>
  <c r="S102" i="29" s="1"/>
  <c r="Q102" i="29"/>
  <c r="S102" i="28" a="1"/>
  <c r="S102" i="28" s="1"/>
  <c r="Q102" i="28"/>
  <c r="S16" i="26" a="1"/>
  <c r="S16" i="26" s="1"/>
  <c r="Q16" i="26"/>
  <c r="S14" i="26" a="1"/>
  <c r="S14" i="26" s="1"/>
  <c r="Q14" i="26"/>
  <c r="Q56" i="25"/>
  <c r="S56" i="25" a="1"/>
  <c r="S56" i="25" s="1"/>
  <c r="S14" i="25" a="1"/>
  <c r="S14" i="25" s="1"/>
  <c r="Q14" i="25"/>
  <c r="Q59" i="27"/>
  <c r="S59" i="27" a="1"/>
  <c r="S59" i="27" s="1"/>
  <c r="Q69" i="25"/>
  <c r="S69" i="25" a="1"/>
  <c r="S69" i="25" s="1"/>
  <c r="Q114" i="28"/>
  <c r="S114" i="28" a="1"/>
  <c r="S114" i="28" s="1"/>
  <c r="S59" i="25" a="1"/>
  <c r="S59" i="25" s="1"/>
  <c r="Q59" i="25"/>
  <c r="Q11" i="25"/>
  <c r="S11" i="25" a="1"/>
  <c r="S11" i="25" s="1"/>
  <c r="Q114" i="27"/>
  <c r="S114" i="27" a="1"/>
  <c r="S114" i="27" s="1"/>
  <c r="Q57" i="29"/>
  <c r="S57" i="29" a="1"/>
  <c r="S57" i="29" s="1"/>
  <c r="S106" i="27" a="1"/>
  <c r="S106" i="27" s="1"/>
  <c r="Q106" i="27"/>
  <c r="Q69" i="26"/>
  <c r="S69" i="26" a="1"/>
  <c r="S69" i="26" s="1"/>
  <c r="S12" i="26" a="1"/>
  <c r="S12" i="26" s="1"/>
  <c r="Q12" i="26"/>
  <c r="S14" i="28" a="1"/>
  <c r="S14" i="28" s="1"/>
  <c r="Q14" i="28"/>
  <c r="S104" i="25" a="1"/>
  <c r="S104" i="25" s="1"/>
  <c r="Q104" i="25"/>
  <c r="S24" i="29" a="1"/>
  <c r="S24" i="29" s="1"/>
  <c r="Q24" i="29"/>
  <c r="S14" i="27" a="1"/>
  <c r="S14" i="27" s="1"/>
  <c r="Q14" i="27"/>
  <c r="Q11" i="28"/>
  <c r="S11" i="28" a="1"/>
  <c r="S11" i="28" s="1"/>
  <c r="S24" i="28" a="1"/>
  <c r="S24" i="28" s="1"/>
  <c r="Q24" i="28"/>
  <c r="S104" i="29" a="1"/>
  <c r="S104" i="29" s="1"/>
  <c r="Q104" i="29"/>
  <c r="AD8" i="21"/>
  <c r="R8" i="21"/>
  <c r="U12" i="21"/>
  <c r="Z12" i="21" s="1"/>
  <c r="R22" i="21"/>
  <c r="AD22" i="21"/>
  <c r="U22" i="21"/>
  <c r="Z22" i="21" s="1"/>
  <c r="U15" i="21"/>
  <c r="Z15" i="21" s="1"/>
  <c r="X11" i="21"/>
  <c r="U5" i="21"/>
  <c r="Z5" i="21" s="1"/>
  <c r="U13" i="21"/>
  <c r="Z13" i="21" s="1"/>
  <c r="R11" i="21"/>
  <c r="U8" i="21"/>
  <c r="Z8" i="21" s="1"/>
  <c r="U7" i="21"/>
  <c r="Z7" i="21" s="1"/>
  <c r="U19" i="21"/>
  <c r="Z19" i="21" s="1"/>
  <c r="R15" i="21"/>
  <c r="U17" i="21"/>
  <c r="Z17" i="21" s="1"/>
  <c r="R12" i="21"/>
  <c r="U16" i="21"/>
  <c r="Z16" i="21" s="1"/>
  <c r="R19" i="21"/>
  <c r="U9" i="21"/>
  <c r="Z9" i="21" s="1"/>
  <c r="R7" i="21"/>
  <c r="R5" i="21"/>
  <c r="X14" i="21"/>
  <c r="X6" i="21"/>
  <c r="X18" i="21"/>
  <c r="X10" i="21"/>
  <c r="R4" i="21"/>
  <c r="R13" i="21"/>
  <c r="R18" i="21"/>
  <c r="R17" i="21"/>
  <c r="R9" i="21"/>
  <c r="R14" i="21"/>
  <c r="V14" i="21" s="1"/>
  <c r="R6" i="21"/>
  <c r="R10" i="21"/>
  <c r="R16" i="21"/>
  <c r="B776" i="1"/>
  <c r="B775" i="1"/>
  <c r="H766" i="1"/>
  <c r="G766" i="1"/>
  <c r="F766" i="1"/>
  <c r="E766" i="1"/>
  <c r="B766" i="1"/>
  <c r="H765" i="1"/>
  <c r="G765" i="1"/>
  <c r="F765" i="1"/>
  <c r="E765" i="1"/>
  <c r="B765" i="1"/>
  <c r="H764" i="1"/>
  <c r="G764" i="1"/>
  <c r="F764" i="1"/>
  <c r="E764" i="1"/>
  <c r="B759" i="1"/>
  <c r="B764" i="1" s="1"/>
  <c r="H756" i="1"/>
  <c r="G756" i="1"/>
  <c r="F756" i="1"/>
  <c r="E756" i="1"/>
  <c r="H755" i="1"/>
  <c r="G755" i="1"/>
  <c r="F755" i="1"/>
  <c r="E755" i="1"/>
  <c r="H754" i="1"/>
  <c r="G754" i="1"/>
  <c r="F754" i="1"/>
  <c r="E754" i="1"/>
  <c r="B754" i="1"/>
  <c r="B744" i="1"/>
  <c r="B749" i="1" s="1"/>
  <c r="B735" i="1"/>
  <c r="B739" i="1" s="1"/>
  <c r="H729" i="1"/>
  <c r="G729" i="1"/>
  <c r="F729" i="1"/>
  <c r="E729" i="1"/>
  <c r="D729" i="1"/>
  <c r="B724" i="1"/>
  <c r="B723" i="1"/>
  <c r="H714" i="1"/>
  <c r="G714" i="1"/>
  <c r="F714" i="1"/>
  <c r="E714" i="1"/>
  <c r="B714" i="1"/>
  <c r="H713" i="1"/>
  <c r="G713" i="1"/>
  <c r="F713" i="1"/>
  <c r="E713" i="1"/>
  <c r="B713" i="1"/>
  <c r="H712" i="1"/>
  <c r="G712" i="1"/>
  <c r="F712" i="1"/>
  <c r="E712" i="1"/>
  <c r="B707" i="1"/>
  <c r="B712" i="1" s="1"/>
  <c r="H704" i="1"/>
  <c r="G704" i="1"/>
  <c r="F704" i="1"/>
  <c r="E704" i="1"/>
  <c r="H703" i="1"/>
  <c r="G703" i="1"/>
  <c r="F703" i="1"/>
  <c r="E703" i="1"/>
  <c r="H702" i="1"/>
  <c r="G702" i="1"/>
  <c r="F702" i="1"/>
  <c r="E702" i="1"/>
  <c r="B702" i="1"/>
  <c r="B692" i="1"/>
  <c r="B717" i="1" s="1"/>
  <c r="B722" i="1" s="1"/>
  <c r="B683" i="1"/>
  <c r="B687" i="1" s="1"/>
  <c r="H677" i="1"/>
  <c r="G677" i="1"/>
  <c r="F677" i="1"/>
  <c r="E677" i="1"/>
  <c r="D677" i="1"/>
  <c r="B672" i="1"/>
  <c r="B671" i="1"/>
  <c r="H662" i="1"/>
  <c r="G662" i="1"/>
  <c r="F662" i="1"/>
  <c r="E662" i="1"/>
  <c r="B662" i="1"/>
  <c r="H661" i="1"/>
  <c r="G661" i="1"/>
  <c r="F661" i="1"/>
  <c r="E661" i="1"/>
  <c r="B661" i="1"/>
  <c r="H660" i="1"/>
  <c r="G660" i="1"/>
  <c r="G670" i="1" s="1"/>
  <c r="L670" i="1" s="1"/>
  <c r="F660" i="1"/>
  <c r="E660" i="1"/>
  <c r="B655" i="1"/>
  <c r="B660" i="1" s="1"/>
  <c r="H652" i="1"/>
  <c r="G652" i="1"/>
  <c r="F652" i="1"/>
  <c r="E652" i="1"/>
  <c r="H651" i="1"/>
  <c r="H671" i="1" s="1"/>
  <c r="M671" i="1" s="1"/>
  <c r="G651" i="1"/>
  <c r="F651" i="1"/>
  <c r="E651" i="1"/>
  <c r="H650" i="1"/>
  <c r="G650" i="1"/>
  <c r="F650" i="1"/>
  <c r="E650" i="1"/>
  <c r="B650" i="1"/>
  <c r="B640" i="1"/>
  <c r="B645" i="1" s="1"/>
  <c r="B631" i="1"/>
  <c r="B635" i="1" s="1"/>
  <c r="H625" i="1"/>
  <c r="G625" i="1"/>
  <c r="F625" i="1"/>
  <c r="E625" i="1"/>
  <c r="D625" i="1"/>
  <c r="B603" i="1"/>
  <c r="B598" i="1"/>
  <c r="B588" i="1"/>
  <c r="B613" i="1" s="1"/>
  <c r="B579" i="1"/>
  <c r="B583" i="1" s="1"/>
  <c r="D33" i="1"/>
  <c r="D32" i="1"/>
  <c r="D454" i="1"/>
  <c r="D20" i="1" s="1"/>
  <c r="D6" i="1" s="1"/>
  <c r="D436" i="1"/>
  <c r="D435" i="1"/>
  <c r="D434" i="1"/>
  <c r="D428" i="1"/>
  <c r="D427" i="1"/>
  <c r="D426" i="1"/>
  <c r="E419" i="1"/>
  <c r="E428" i="1" s="1"/>
  <c r="E418" i="1"/>
  <c r="F418" i="1" s="1"/>
  <c r="E417" i="1"/>
  <c r="E426" i="1" s="1"/>
  <c r="D387" i="1"/>
  <c r="D386" i="1"/>
  <c r="D385" i="1"/>
  <c r="D379" i="1"/>
  <c r="D378" i="1"/>
  <c r="D377" i="1"/>
  <c r="E370" i="1"/>
  <c r="E379" i="1" s="1"/>
  <c r="E369" i="1"/>
  <c r="E378" i="1" s="1"/>
  <c r="E368" i="1"/>
  <c r="E385" i="1" s="1"/>
  <c r="D239" i="1"/>
  <c r="D238" i="1"/>
  <c r="D237" i="1"/>
  <c r="D231" i="1"/>
  <c r="D230" i="1"/>
  <c r="D229" i="1"/>
  <c r="E222" i="1"/>
  <c r="E231" i="1" s="1"/>
  <c r="E221" i="1"/>
  <c r="E230" i="1" s="1"/>
  <c r="E220" i="1"/>
  <c r="E229" i="1" s="1"/>
  <c r="D190" i="1"/>
  <c r="D189" i="1"/>
  <c r="D188" i="1"/>
  <c r="D182" i="1"/>
  <c r="D181" i="1"/>
  <c r="D180" i="1"/>
  <c r="E173" i="1"/>
  <c r="F173" i="1" s="1"/>
  <c r="E172" i="1"/>
  <c r="E181" i="1" s="1"/>
  <c r="E171" i="1"/>
  <c r="E188" i="1" s="1"/>
  <c r="M739" i="1"/>
  <c r="F688" i="1" a="1"/>
  <c r="E167" i="1" a="1"/>
  <c r="J740" i="1"/>
  <c r="F217" i="1" a="1"/>
  <c r="L216" i="1"/>
  <c r="J315" i="1"/>
  <c r="J480" i="1"/>
  <c r="L636" i="1"/>
  <c r="J316" i="1"/>
  <c r="L635" i="1"/>
  <c r="J532" i="1"/>
  <c r="F414" i="1" a="1"/>
  <c r="E17" i="1"/>
  <c r="M636" i="1"/>
  <c r="K68" i="1"/>
  <c r="H741" i="1" a="1"/>
  <c r="L481" i="1"/>
  <c r="L316" i="1"/>
  <c r="E688" i="1" a="1"/>
  <c r="M167" i="1"/>
  <c r="J635" i="1"/>
  <c r="H688" i="1" a="1"/>
  <c r="G168" i="1" a="1"/>
  <c r="L687" i="1"/>
  <c r="E363" i="1" a="1"/>
  <c r="K216" i="1"/>
  <c r="L167" i="1"/>
  <c r="K575" i="1"/>
  <c r="G740" i="1" a="1"/>
  <c r="L414" i="1"/>
  <c r="E635" i="1" a="1"/>
  <c r="J69" i="1"/>
  <c r="F363" i="1" a="1"/>
  <c r="L739" i="1"/>
  <c r="H637" i="1" a="1"/>
  <c r="M688" i="1"/>
  <c r="K414" i="1"/>
  <c r="F635" i="1" a="1"/>
  <c r="L482" i="1"/>
  <c r="J215" i="1"/>
  <c r="J741" i="1"/>
  <c r="L575" i="1"/>
  <c r="K740" i="1"/>
  <c r="L412" i="1"/>
  <c r="F739" i="1" a="1"/>
  <c r="M119" i="1"/>
  <c r="M316" i="1"/>
  <c r="L68" i="1"/>
  <c r="M365" i="1"/>
  <c r="G17" i="1"/>
  <c r="F216" i="1" a="1"/>
  <c r="M740" i="1"/>
  <c r="L267" i="1"/>
  <c r="J117" i="1"/>
  <c r="K533" i="1"/>
  <c r="L740" i="1"/>
  <c r="L265" i="1"/>
  <c r="L215" i="1"/>
  <c r="J413" i="1"/>
  <c r="M314" i="1"/>
  <c r="J266" i="1"/>
  <c r="E166" i="1" a="1"/>
  <c r="H414" i="1" a="1"/>
  <c r="K69" i="1"/>
  <c r="K481" i="1"/>
  <c r="E168" i="1" a="1"/>
  <c r="M533" i="1"/>
  <c r="M364" i="1"/>
  <c r="K166" i="1"/>
  <c r="M117" i="1"/>
  <c r="K363" i="1"/>
  <c r="M481" i="1"/>
  <c r="F168" i="1" a="1"/>
  <c r="L69" i="1"/>
  <c r="J267" i="1"/>
  <c r="L314" i="1"/>
  <c r="G414" i="1" a="1"/>
  <c r="F689" i="1" a="1"/>
  <c r="L166" i="1"/>
  <c r="K364" i="1"/>
  <c r="F413" i="1" a="1"/>
  <c r="E216" i="1" a="1"/>
  <c r="K215" i="1"/>
  <c r="M575" i="1"/>
  <c r="M532" i="1"/>
  <c r="J575" i="1"/>
  <c r="K688" i="1"/>
  <c r="H635" i="1" a="1"/>
  <c r="J314" i="1"/>
  <c r="H636" i="1" a="1"/>
  <c r="M166" i="1"/>
  <c r="E687" i="1" a="1"/>
  <c r="L637" i="1"/>
  <c r="K412" i="1"/>
  <c r="G688" i="1" a="1"/>
  <c r="K365" i="1"/>
  <c r="G365" i="1" a="1"/>
  <c r="L534" i="1"/>
  <c r="J534" i="1"/>
  <c r="M168" i="1"/>
  <c r="K480" i="1"/>
  <c r="K316" i="1"/>
  <c r="H17" i="1"/>
  <c r="G217" i="1" a="1"/>
  <c r="M69" i="1"/>
  <c r="M574" i="1"/>
  <c r="M689" i="1"/>
  <c r="H363" i="1" a="1"/>
  <c r="K574" i="1"/>
  <c r="H167" i="1" a="1"/>
  <c r="J364" i="1"/>
  <c r="K168" i="1"/>
  <c r="J533" i="1"/>
  <c r="H740" i="1" a="1"/>
  <c r="E740" i="1" a="1"/>
  <c r="J217" i="1"/>
  <c r="J166" i="1"/>
  <c r="M70" i="1"/>
  <c r="J688" i="1"/>
  <c r="M215" i="1"/>
  <c r="G413" i="1" a="1"/>
  <c r="M267" i="1"/>
  <c r="H168" i="1" a="1"/>
  <c r="K739" i="1"/>
  <c r="K637" i="1"/>
  <c r="G216" i="1" a="1"/>
  <c r="E414" i="1" a="1"/>
  <c r="J119" i="1"/>
  <c r="M363" i="1"/>
  <c r="K687" i="1"/>
  <c r="H217" i="1" a="1"/>
  <c r="K266" i="1"/>
  <c r="G687" i="1" a="1"/>
  <c r="G166" i="1" a="1"/>
  <c r="F215" i="1" a="1"/>
  <c r="J739" i="1"/>
  <c r="G635" i="1" a="1"/>
  <c r="G741" i="1" a="1"/>
  <c r="G167" i="1" a="1"/>
  <c r="J689" i="1"/>
  <c r="E637" i="1" a="1"/>
  <c r="L365" i="1"/>
  <c r="M266" i="1"/>
  <c r="J636" i="1"/>
  <c r="M741" i="1"/>
  <c r="H739" i="1" a="1"/>
  <c r="L168" i="1"/>
  <c r="H413" i="1" a="1"/>
  <c r="F364" i="1" a="1"/>
  <c r="M637" i="1"/>
  <c r="K636" i="1"/>
  <c r="L741" i="1"/>
  <c r="K118" i="1"/>
  <c r="H364" i="1" a="1"/>
  <c r="F166" i="1" a="1"/>
  <c r="K576" i="1"/>
  <c r="H216" i="1" a="1"/>
  <c r="M687" i="1"/>
  <c r="M414" i="1"/>
  <c r="J412" i="1"/>
  <c r="E412" i="1" a="1"/>
  <c r="L119" i="1"/>
  <c r="J70" i="1"/>
  <c r="G739" i="1" a="1"/>
  <c r="K119" i="1"/>
  <c r="J574" i="1"/>
  <c r="G363" i="1" a="1"/>
  <c r="F687" i="1" a="1"/>
  <c r="J265" i="1"/>
  <c r="J414" i="1"/>
  <c r="L689" i="1"/>
  <c r="L363" i="1"/>
  <c r="M482" i="1"/>
  <c r="J363" i="1"/>
  <c r="K534" i="1"/>
  <c r="F17" i="1"/>
  <c r="G689" i="1" a="1"/>
  <c r="L266" i="1"/>
  <c r="J118" i="1"/>
  <c r="G364" i="1" a="1"/>
  <c r="F636" i="1" a="1"/>
  <c r="M265" i="1"/>
  <c r="M534" i="1"/>
  <c r="E689" i="1" a="1"/>
  <c r="H365" i="1" a="1"/>
  <c r="K267" i="1"/>
  <c r="M68" i="1"/>
  <c r="L315" i="1"/>
  <c r="L533" i="1"/>
  <c r="F167" i="1" a="1"/>
  <c r="K413" i="1"/>
  <c r="H689" i="1" a="1"/>
  <c r="L576" i="1"/>
  <c r="K70" i="1"/>
  <c r="K315" i="1"/>
  <c r="E739" i="1" a="1"/>
  <c r="M480" i="1"/>
  <c r="G215" i="1" a="1"/>
  <c r="M413" i="1"/>
  <c r="K689" i="1"/>
  <c r="L532" i="1"/>
  <c r="K532" i="1"/>
  <c r="J168" i="1"/>
  <c r="E215" i="1" a="1"/>
  <c r="L688" i="1"/>
  <c r="L217" i="1"/>
  <c r="M412" i="1"/>
  <c r="K741" i="1"/>
  <c r="E365" i="1" a="1"/>
  <c r="M635" i="1"/>
  <c r="F412" i="1" a="1"/>
  <c r="L118" i="1"/>
  <c r="L480" i="1"/>
  <c r="K167" i="1"/>
  <c r="K117" i="1"/>
  <c r="J481" i="1"/>
  <c r="J167" i="1"/>
  <c r="H412" i="1" a="1"/>
  <c r="F741" i="1" a="1"/>
  <c r="J637" i="1"/>
  <c r="F740" i="1" a="1"/>
  <c r="K482" i="1"/>
  <c r="J68" i="1"/>
  <c r="L364" i="1"/>
  <c r="K314" i="1"/>
  <c r="E413" i="1" a="1"/>
  <c r="M576" i="1"/>
  <c r="L413" i="1"/>
  <c r="L70" i="1"/>
  <c r="J216" i="1"/>
  <c r="E636" i="1" a="1"/>
  <c r="M118" i="1"/>
  <c r="E217" i="1" a="1"/>
  <c r="H687" i="1" a="1"/>
  <c r="K217" i="1"/>
  <c r="G412" i="1" a="1"/>
  <c r="H166" i="1" a="1"/>
  <c r="F365" i="1" a="1"/>
  <c r="K265" i="1"/>
  <c r="L574" i="1"/>
  <c r="H215" i="1" a="1"/>
  <c r="L117" i="1"/>
  <c r="F637" i="1" a="1"/>
  <c r="K635" i="1"/>
  <c r="M315" i="1"/>
  <c r="E364" i="1" a="1"/>
  <c r="J576" i="1"/>
  <c r="G637" i="1" a="1"/>
  <c r="J365" i="1"/>
  <c r="J482" i="1"/>
  <c r="M216" i="1"/>
  <c r="J687" i="1"/>
  <c r="E741" i="1" a="1"/>
  <c r="G636" i="1" a="1"/>
  <c r="M217" i="1"/>
  <c r="X149" i="28" l="1"/>
  <c r="U149" i="28"/>
  <c r="AF149" i="28" s="1"/>
  <c r="R149" i="28"/>
  <c r="R151" i="28"/>
  <c r="U147" i="27"/>
  <c r="X147" i="27"/>
  <c r="R151" i="25"/>
  <c r="X159" i="28"/>
  <c r="U159" i="28"/>
  <c r="R146" i="25"/>
  <c r="U146" i="29"/>
  <c r="X146" i="29"/>
  <c r="U147" i="28"/>
  <c r="X147" i="28"/>
  <c r="R149" i="26"/>
  <c r="U147" i="26"/>
  <c r="AF147" i="26" s="1"/>
  <c r="X147" i="26"/>
  <c r="X149" i="29"/>
  <c r="U149" i="29"/>
  <c r="X146" i="28"/>
  <c r="U146" i="28"/>
  <c r="U151" i="28"/>
  <c r="X151" i="28"/>
  <c r="R146" i="29"/>
  <c r="R147" i="28"/>
  <c r="U149" i="26"/>
  <c r="X149" i="26"/>
  <c r="R147" i="26"/>
  <c r="R149" i="29"/>
  <c r="R146" i="28"/>
  <c r="U146" i="25"/>
  <c r="X146" i="25"/>
  <c r="O159" i="29" a="1"/>
  <c r="O159" i="29" s="1"/>
  <c r="O148" i="29" a="1"/>
  <c r="O148" i="29" s="1"/>
  <c r="O162" i="29" a="1"/>
  <c r="O162" i="29" s="1"/>
  <c r="O154" i="27" a="1"/>
  <c r="O154" i="27" s="1"/>
  <c r="O158" i="25" a="1"/>
  <c r="O158" i="25" s="1"/>
  <c r="O155" i="25" a="1"/>
  <c r="O155" i="25" s="1"/>
  <c r="O148" i="25" a="1"/>
  <c r="O148" i="25" s="1"/>
  <c r="O162" i="25" a="1"/>
  <c r="O162" i="25" s="1"/>
  <c r="O163" i="27" a="1"/>
  <c r="O163" i="27" s="1"/>
  <c r="O157" i="28" a="1"/>
  <c r="O157" i="28" s="1"/>
  <c r="O155" i="27" a="1"/>
  <c r="O155" i="27" s="1"/>
  <c r="O154" i="26" a="1"/>
  <c r="O154" i="26" s="1"/>
  <c r="O150" i="26" a="1"/>
  <c r="O150" i="26" s="1"/>
  <c r="O152" i="26" a="1"/>
  <c r="O152" i="26" s="1"/>
  <c r="O156" i="26" a="1"/>
  <c r="O156" i="26" s="1"/>
  <c r="O156" i="25" a="1"/>
  <c r="O156" i="25" s="1"/>
  <c r="O161" i="27" a="1"/>
  <c r="O161" i="27" s="1"/>
  <c r="O160" i="26" a="1"/>
  <c r="O160" i="26" s="1"/>
  <c r="O152" i="25" a="1"/>
  <c r="O152" i="25" s="1"/>
  <c r="O161" i="29" a="1"/>
  <c r="O161" i="29" s="1"/>
  <c r="O160" i="29" a="1"/>
  <c r="O160" i="29" s="1"/>
  <c r="O155" i="28" a="1"/>
  <c r="O155" i="28" s="1"/>
  <c r="O148" i="28" a="1"/>
  <c r="O148" i="28" s="1"/>
  <c r="O161" i="28" a="1"/>
  <c r="O161" i="28" s="1"/>
  <c r="O150" i="28" a="1"/>
  <c r="O150" i="28" s="1"/>
  <c r="O157" i="27" a="1"/>
  <c r="O157" i="27" s="1"/>
  <c r="O150" i="27" a="1"/>
  <c r="O150" i="27" s="1"/>
  <c r="O152" i="27" a="1"/>
  <c r="O152" i="27" s="1"/>
  <c r="O162" i="26" a="1"/>
  <c r="O162" i="26" s="1"/>
  <c r="O161" i="25" a="1"/>
  <c r="O161" i="25" s="1"/>
  <c r="O162" i="27" a="1"/>
  <c r="O162" i="27" s="1"/>
  <c r="O163" i="29" a="1"/>
  <c r="O163" i="29" s="1"/>
  <c r="O158" i="28" a="1"/>
  <c r="O158" i="28" s="1"/>
  <c r="O157" i="26" a="1"/>
  <c r="O157" i="26" s="1"/>
  <c r="O163" i="26" a="1"/>
  <c r="O163" i="26" s="1"/>
  <c r="O153" i="26" a="1"/>
  <c r="O153" i="26" s="1"/>
  <c r="O156" i="29" a="1"/>
  <c r="O156" i="29" s="1"/>
  <c r="O150" i="29" a="1"/>
  <c r="O150" i="29" s="1"/>
  <c r="O163" i="28" a="1"/>
  <c r="O163" i="28" s="1"/>
  <c r="O156" i="28" a="1"/>
  <c r="O156" i="28" s="1"/>
  <c r="O155" i="26" a="1"/>
  <c r="O155" i="26" s="1"/>
  <c r="O150" i="25" a="1"/>
  <c r="O150" i="25" s="1"/>
  <c r="O161" i="26" a="1"/>
  <c r="O161" i="26" s="1"/>
  <c r="O158" i="29" a="1"/>
  <c r="O158" i="29" s="1"/>
  <c r="O154" i="29" a="1"/>
  <c r="O154" i="29" s="1"/>
  <c r="O154" i="28" a="1"/>
  <c r="O154" i="28" s="1"/>
  <c r="O160" i="27" a="1"/>
  <c r="O160" i="27" s="1"/>
  <c r="O156" i="27" a="1"/>
  <c r="O156" i="27" s="1"/>
  <c r="O163" i="25" a="1"/>
  <c r="O163" i="25" s="1"/>
  <c r="O154" i="25" a="1"/>
  <c r="O154" i="25" s="1"/>
  <c r="O160" i="25" a="1"/>
  <c r="O160" i="25" s="1"/>
  <c r="O158" i="26" a="1"/>
  <c r="O158" i="26" s="1"/>
  <c r="O155" i="29" a="1"/>
  <c r="O155" i="29" s="1"/>
  <c r="O153" i="29" a="1"/>
  <c r="O153" i="29" s="1"/>
  <c r="O152" i="29" a="1"/>
  <c r="O152" i="29" s="1"/>
  <c r="O162" i="28" a="1"/>
  <c r="O162" i="28" s="1"/>
  <c r="O153" i="28" a="1"/>
  <c r="O153" i="28" s="1"/>
  <c r="O160" i="28" a="1"/>
  <c r="O160" i="28" s="1"/>
  <c r="O152" i="28" a="1"/>
  <c r="O152" i="28" s="1"/>
  <c r="O158" i="27" a="1"/>
  <c r="O158" i="27" s="1"/>
  <c r="O148" i="27" a="1"/>
  <c r="O148" i="27" s="1"/>
  <c r="O153" i="27" a="1"/>
  <c r="O153" i="27" s="1"/>
  <c r="O148" i="26" a="1"/>
  <c r="O148" i="26" s="1"/>
  <c r="O157" i="25" a="1"/>
  <c r="O157" i="25" s="1"/>
  <c r="O153" i="25" a="1"/>
  <c r="O153" i="25" s="1"/>
  <c r="X149" i="27"/>
  <c r="U149" i="27"/>
  <c r="R151" i="26"/>
  <c r="U147" i="29"/>
  <c r="AF147" i="29" s="1"/>
  <c r="X147" i="29"/>
  <c r="R151" i="29"/>
  <c r="U157" i="29"/>
  <c r="X157" i="29"/>
  <c r="X149" i="25"/>
  <c r="U149" i="25"/>
  <c r="U151" i="25"/>
  <c r="AF151" i="25" s="1"/>
  <c r="X151" i="25"/>
  <c r="R149" i="27"/>
  <c r="U151" i="26"/>
  <c r="X151" i="26"/>
  <c r="R147" i="29"/>
  <c r="U151" i="29"/>
  <c r="X151" i="29"/>
  <c r="R157" i="29"/>
  <c r="R149" i="25"/>
  <c r="R159" i="28"/>
  <c r="X151" i="27"/>
  <c r="U151" i="27"/>
  <c r="X159" i="26"/>
  <c r="U159" i="26"/>
  <c r="AF159" i="26" s="1"/>
  <c r="U146" i="27"/>
  <c r="X146" i="27"/>
  <c r="R159" i="27"/>
  <c r="U146" i="26"/>
  <c r="X146" i="26"/>
  <c r="U147" i="25"/>
  <c r="AF147" i="25" s="1"/>
  <c r="X147" i="25"/>
  <c r="U159" i="25"/>
  <c r="X159" i="25"/>
  <c r="R147" i="27"/>
  <c r="R151" i="27"/>
  <c r="R159" i="26"/>
  <c r="R146" i="27"/>
  <c r="U159" i="27"/>
  <c r="X159" i="27"/>
  <c r="R146" i="26"/>
  <c r="R147" i="25"/>
  <c r="R159" i="25"/>
  <c r="AJ10" i="25"/>
  <c r="O113" i="29" a="1"/>
  <c r="O113" i="29" s="1"/>
  <c r="S113" i="29" s="1" a="1"/>
  <c r="S113" i="29" s="1"/>
  <c r="O62" i="28" a="1"/>
  <c r="O62" i="28" s="1"/>
  <c r="Q62" i="28" s="1"/>
  <c r="O13" i="27" a="1"/>
  <c r="O13" i="27" s="1"/>
  <c r="Q13" i="27" s="1"/>
  <c r="O13" i="25" a="1"/>
  <c r="O13" i="25" s="1"/>
  <c r="Q13" i="25" s="1"/>
  <c r="O19" i="25" a="1"/>
  <c r="O19" i="25" s="1"/>
  <c r="Q19" i="25" s="1"/>
  <c r="O28" i="28" a="1"/>
  <c r="O28" i="28" s="1"/>
  <c r="Q28" i="28" s="1"/>
  <c r="O103" i="26" a="1"/>
  <c r="O103" i="26" s="1"/>
  <c r="S103" i="26" s="1" a="1"/>
  <c r="S103" i="26" s="1"/>
  <c r="O23" i="25" a="1"/>
  <c r="O23" i="25" s="1"/>
  <c r="Q23" i="25" s="1"/>
  <c r="O25" i="29" a="1"/>
  <c r="O25" i="29" s="1"/>
  <c r="S25" i="29" s="1" a="1"/>
  <c r="S25" i="29" s="1"/>
  <c r="O108" i="27" a="1"/>
  <c r="O108" i="27" s="1"/>
  <c r="Q108" i="27" s="1"/>
  <c r="O117" i="29" a="1"/>
  <c r="O117" i="29" s="1"/>
  <c r="S117" i="29" s="1" a="1"/>
  <c r="S117" i="29" s="1"/>
  <c r="O64" i="25" a="1"/>
  <c r="O64" i="25" s="1"/>
  <c r="S64" i="25" s="1" a="1"/>
  <c r="S64" i="25" s="1"/>
  <c r="O103" i="28" a="1"/>
  <c r="O103" i="28" s="1"/>
  <c r="S103" i="28" s="1" a="1"/>
  <c r="S103" i="28" s="1"/>
  <c r="O66" i="27" a="1"/>
  <c r="O66" i="27" s="1"/>
  <c r="Q66" i="27" s="1"/>
  <c r="O21" i="26" a="1"/>
  <c r="O21" i="26" s="1"/>
  <c r="S21" i="26" s="1" a="1"/>
  <c r="S21" i="26" s="1"/>
  <c r="O27" i="25" a="1"/>
  <c r="O27" i="25" s="1"/>
  <c r="Q27" i="25" s="1"/>
  <c r="O23" i="28" a="1"/>
  <c r="O23" i="28" s="1"/>
  <c r="S23" i="28" s="1" a="1"/>
  <c r="S23" i="28" s="1"/>
  <c r="O105" i="26" a="1"/>
  <c r="O105" i="26" s="1"/>
  <c r="S105" i="26" s="1" a="1"/>
  <c r="S105" i="26" s="1"/>
  <c r="O20" i="25" a="1"/>
  <c r="O20" i="25" s="1"/>
  <c r="S20" i="25" s="1" a="1"/>
  <c r="S20" i="25" s="1"/>
  <c r="O110" i="28" a="1"/>
  <c r="O110" i="28" s="1"/>
  <c r="S110" i="28" s="1" a="1"/>
  <c r="S110" i="28" s="1"/>
  <c r="O110" i="26" a="1"/>
  <c r="O110" i="26" s="1"/>
  <c r="S110" i="26" s="1" a="1"/>
  <c r="S110" i="26" s="1"/>
  <c r="O70" i="29" a="1"/>
  <c r="O70" i="29" s="1"/>
  <c r="S70" i="29" s="1" a="1"/>
  <c r="S70" i="29" s="1"/>
  <c r="O115" i="29" a="1"/>
  <c r="O115" i="29" s="1"/>
  <c r="S115" i="29" s="1" a="1"/>
  <c r="S115" i="29" s="1"/>
  <c r="O103" i="27" a="1"/>
  <c r="O103" i="27" s="1"/>
  <c r="Q103" i="27" s="1"/>
  <c r="O28" i="26" a="1"/>
  <c r="O28" i="26" s="1"/>
  <c r="S28" i="26" s="1" a="1"/>
  <c r="S28" i="26" s="1"/>
  <c r="O60" i="29" a="1"/>
  <c r="O60" i="29" s="1"/>
  <c r="Q60" i="29" s="1"/>
  <c r="O111" i="26" a="1"/>
  <c r="O111" i="26" s="1"/>
  <c r="Q111" i="26" s="1"/>
  <c r="O64" i="26" a="1"/>
  <c r="O64" i="26" s="1"/>
  <c r="Q64" i="26" s="1"/>
  <c r="O105" i="27" a="1"/>
  <c r="O105" i="27" s="1"/>
  <c r="S105" i="27" s="1" a="1"/>
  <c r="S105" i="27" s="1"/>
  <c r="O116" i="28" a="1"/>
  <c r="O116" i="28" s="1"/>
  <c r="Q116" i="28" s="1"/>
  <c r="O18" i="25" a="1"/>
  <c r="O18" i="25" s="1"/>
  <c r="S18" i="25" s="1" a="1"/>
  <c r="S18" i="25" s="1"/>
  <c r="O17" i="27" a="1"/>
  <c r="O17" i="27" s="1"/>
  <c r="Q17" i="27" s="1"/>
  <c r="O118" i="27" a="1"/>
  <c r="O118" i="27" s="1"/>
  <c r="Q118" i="27" s="1"/>
  <c r="O103" i="25" a="1"/>
  <c r="O103" i="25" s="1"/>
  <c r="Q103" i="25" s="1"/>
  <c r="O26" i="28" a="1"/>
  <c r="O26" i="28" s="1"/>
  <c r="S26" i="28" s="1" a="1"/>
  <c r="S26" i="28" s="1"/>
  <c r="O20" i="27" a="1"/>
  <c r="O20" i="27" s="1"/>
  <c r="S20" i="27" s="1" a="1"/>
  <c r="S20" i="27" s="1"/>
  <c r="O18" i="27" a="1"/>
  <c r="O18" i="27" s="1"/>
  <c r="Q18" i="27" s="1"/>
  <c r="O13" i="28" a="1"/>
  <c r="O13" i="28" s="1"/>
  <c r="S13" i="28" s="1" a="1"/>
  <c r="S13" i="28" s="1"/>
  <c r="O105" i="29" a="1"/>
  <c r="O105" i="29" s="1"/>
  <c r="S105" i="29" s="1" a="1"/>
  <c r="S105" i="29" s="1"/>
  <c r="O19" i="28" a="1"/>
  <c r="O19" i="28" s="1"/>
  <c r="S19" i="28" s="1" a="1"/>
  <c r="S19" i="28" s="1"/>
  <c r="O21" i="27" a="1"/>
  <c r="O21" i="27" s="1"/>
  <c r="Q21" i="27" s="1"/>
  <c r="O26" i="27" a="1"/>
  <c r="O26" i="27" s="1"/>
  <c r="S26" i="27" s="1" a="1"/>
  <c r="S26" i="27" s="1"/>
  <c r="O114" i="29" a="1"/>
  <c r="O114" i="29" s="1"/>
  <c r="Q114" i="29" s="1"/>
  <c r="O117" i="27" a="1"/>
  <c r="O117" i="27" s="1"/>
  <c r="S117" i="27" s="1" a="1"/>
  <c r="S117" i="27" s="1"/>
  <c r="O117" i="26" a="1"/>
  <c r="O117" i="26" s="1"/>
  <c r="S117" i="26" s="1" a="1"/>
  <c r="S117" i="26" s="1"/>
  <c r="O62" i="29" a="1"/>
  <c r="O62" i="29" s="1"/>
  <c r="S62" i="29" s="1" a="1"/>
  <c r="S62" i="29" s="1"/>
  <c r="O112" i="28" a="1"/>
  <c r="O112" i="28" s="1"/>
  <c r="Q112" i="28" s="1"/>
  <c r="O115" i="27" a="1"/>
  <c r="O115" i="27" s="1"/>
  <c r="Q115" i="27" s="1"/>
  <c r="O20" i="29" a="1"/>
  <c r="O20" i="29" s="1"/>
  <c r="S20" i="29" s="1" a="1"/>
  <c r="S20" i="29" s="1"/>
  <c r="O66" i="25" a="1"/>
  <c r="O66" i="25" s="1"/>
  <c r="O109" i="28" a="1"/>
  <c r="O109" i="28" s="1"/>
  <c r="Q109" i="28" s="1"/>
  <c r="O28" i="27" a="1"/>
  <c r="O28" i="27" s="1"/>
  <c r="S28" i="27" s="1" a="1"/>
  <c r="S28" i="27" s="1"/>
  <c r="O116" i="29" a="1"/>
  <c r="O116" i="29" s="1"/>
  <c r="S116" i="29" s="1" a="1"/>
  <c r="S116" i="29" s="1"/>
  <c r="O20" i="28" a="1"/>
  <c r="O20" i="28" s="1"/>
  <c r="S20" i="28" s="1" a="1"/>
  <c r="S20" i="28" s="1"/>
  <c r="O67" i="26" a="1"/>
  <c r="O67" i="26" s="1"/>
  <c r="Q67" i="26" s="1"/>
  <c r="O25" i="25" a="1"/>
  <c r="O25" i="25" s="1"/>
  <c r="Q25" i="25" s="1"/>
  <c r="O73" i="28" a="1"/>
  <c r="O73" i="28" s="1"/>
  <c r="S73" i="28" s="1" a="1"/>
  <c r="S73" i="28" s="1"/>
  <c r="O108" i="26" a="1"/>
  <c r="O108" i="26" s="1"/>
  <c r="Q108" i="26" s="1"/>
  <c r="O17" i="29" a="1"/>
  <c r="O17" i="29" s="1"/>
  <c r="S17" i="29" s="1" a="1"/>
  <c r="S17" i="29" s="1"/>
  <c r="O107" i="29" a="1"/>
  <c r="O107" i="29" s="1"/>
  <c r="S107" i="29" s="1" a="1"/>
  <c r="S107" i="29" s="1"/>
  <c r="O68" i="27" a="1"/>
  <c r="O68" i="27" s="1"/>
  <c r="Q68" i="27" s="1"/>
  <c r="O17" i="26" a="1"/>
  <c r="O17" i="26" s="1"/>
  <c r="Q17" i="26" s="1"/>
  <c r="O113" i="25" a="1"/>
  <c r="O113" i="25" s="1"/>
  <c r="Q113" i="25" s="1"/>
  <c r="O15" i="28" a="1"/>
  <c r="O15" i="28" s="1"/>
  <c r="S15" i="28" s="1" a="1"/>
  <c r="S15" i="28" s="1"/>
  <c r="O118" i="29" a="1"/>
  <c r="O118" i="29" s="1"/>
  <c r="Q118" i="29" s="1"/>
  <c r="O65" i="26" a="1"/>
  <c r="O65" i="26" s="1"/>
  <c r="S65" i="26" s="1" a="1"/>
  <c r="S65" i="26" s="1"/>
  <c r="O111" i="28" a="1"/>
  <c r="O111" i="28" s="1"/>
  <c r="S111" i="28" s="1" a="1"/>
  <c r="S111" i="28" s="1"/>
  <c r="O64" i="27" a="1"/>
  <c r="O64" i="27" s="1"/>
  <c r="S64" i="27" s="1" a="1"/>
  <c r="S64" i="27" s="1"/>
  <c r="O66" i="28" a="1"/>
  <c r="O66" i="28" s="1"/>
  <c r="S66" i="28" s="1" a="1"/>
  <c r="S66" i="28" s="1"/>
  <c r="O68" i="28" a="1"/>
  <c r="O68" i="28" s="1"/>
  <c r="S68" i="28" s="1" a="1"/>
  <c r="S68" i="28" s="1"/>
  <c r="O73" i="29" a="1"/>
  <c r="O73" i="29" s="1"/>
  <c r="S73" i="29" s="1" a="1"/>
  <c r="S73" i="29" s="1"/>
  <c r="O15" i="26" a="1"/>
  <c r="O15" i="26" s="1"/>
  <c r="S15" i="26" s="1" a="1"/>
  <c r="S15" i="26" s="1"/>
  <c r="O111" i="29" a="1"/>
  <c r="O111" i="29" s="1"/>
  <c r="S111" i="29" s="1" a="1"/>
  <c r="S111" i="29" s="1"/>
  <c r="O63" i="26" a="1"/>
  <c r="O63" i="26" s="1"/>
  <c r="S63" i="26" s="1" a="1"/>
  <c r="S63" i="26" s="1"/>
  <c r="O22" i="29" a="1"/>
  <c r="O22" i="29" s="1"/>
  <c r="S22" i="29" s="1" a="1"/>
  <c r="S22" i="29" s="1"/>
  <c r="O21" i="25" a="1"/>
  <c r="O21" i="25" s="1"/>
  <c r="S21" i="25" s="1" a="1"/>
  <c r="S21" i="25" s="1"/>
  <c r="O60" i="28" a="1"/>
  <c r="O60" i="28" s="1"/>
  <c r="S60" i="28" s="1" a="1"/>
  <c r="S60" i="28" s="1"/>
  <c r="O109" i="29" a="1"/>
  <c r="O109" i="29" s="1"/>
  <c r="Q109" i="29" s="1"/>
  <c r="O111" i="25" a="1"/>
  <c r="O111" i="25" s="1"/>
  <c r="Q111" i="25" s="1"/>
  <c r="O27" i="29" a="1"/>
  <c r="O27" i="29" s="1"/>
  <c r="Q27" i="29" s="1"/>
  <c r="O21" i="28" a="1"/>
  <c r="O21" i="28" s="1"/>
  <c r="S21" i="28" s="1" a="1"/>
  <c r="S21" i="28" s="1"/>
  <c r="O73" i="26" a="1"/>
  <c r="O73" i="26" s="1"/>
  <c r="S73" i="26" s="1" a="1"/>
  <c r="S73" i="26" s="1"/>
  <c r="O68" i="29" a="1"/>
  <c r="O68" i="29" s="1"/>
  <c r="S68" i="29" s="1" a="1"/>
  <c r="S68" i="29" s="1"/>
  <c r="O107" i="27" a="1"/>
  <c r="O107" i="27" s="1"/>
  <c r="S107" i="27" s="1" a="1"/>
  <c r="S107" i="27" s="1"/>
  <c r="O20" i="26" a="1"/>
  <c r="O20" i="26" s="1"/>
  <c r="S20" i="26" s="1" a="1"/>
  <c r="S20" i="26" s="1"/>
  <c r="O28" i="25" a="1"/>
  <c r="O28" i="25" s="1"/>
  <c r="Q28" i="25" s="1"/>
  <c r="O67" i="28" a="1"/>
  <c r="O67" i="28" s="1"/>
  <c r="S67" i="28" s="1" a="1"/>
  <c r="S67" i="28" s="1"/>
  <c r="O19" i="27" a="1"/>
  <c r="O19" i="27" s="1"/>
  <c r="S19" i="27" s="1" a="1"/>
  <c r="S19" i="27" s="1"/>
  <c r="O109" i="26" a="1"/>
  <c r="O109" i="26" s="1"/>
  <c r="Q109" i="26" s="1"/>
  <c r="O110" i="29" a="1"/>
  <c r="O110" i="29" s="1"/>
  <c r="S110" i="29" s="1" a="1"/>
  <c r="S110" i="29" s="1"/>
  <c r="O27" i="28" a="1"/>
  <c r="O27" i="28" s="1"/>
  <c r="Q27" i="28" s="1"/>
  <c r="O118" i="26" a="1"/>
  <c r="O118" i="26" s="1"/>
  <c r="Q118" i="26" s="1"/>
  <c r="O72" i="28" a="1"/>
  <c r="O72" i="28" s="1"/>
  <c r="Q72" i="28" s="1"/>
  <c r="O64" i="29" a="1"/>
  <c r="O64" i="29" s="1"/>
  <c r="Q64" i="29" s="1"/>
  <c r="O67" i="27" a="1"/>
  <c r="O67" i="27" s="1"/>
  <c r="S67" i="27" s="1" a="1"/>
  <c r="S67" i="27" s="1"/>
  <c r="O103" i="29" a="1"/>
  <c r="O103" i="29" s="1"/>
  <c r="S103" i="29" s="1" a="1"/>
  <c r="S103" i="29" s="1"/>
  <c r="O65" i="29" a="1"/>
  <c r="O65" i="29" s="1"/>
  <c r="Q65" i="29" s="1"/>
  <c r="O25" i="28" a="1"/>
  <c r="O25" i="28" s="1"/>
  <c r="Q25" i="28" s="1"/>
  <c r="O60" i="26" a="1"/>
  <c r="O60" i="26" s="1"/>
  <c r="S60" i="26" s="1" a="1"/>
  <c r="S60" i="26" s="1"/>
  <c r="O112" i="25" a="1"/>
  <c r="O112" i="25" s="1"/>
  <c r="S112" i="25" s="1" a="1"/>
  <c r="S112" i="25" s="1"/>
  <c r="O107" i="28" a="1"/>
  <c r="O107" i="28" s="1"/>
  <c r="S107" i="28" s="1" a="1"/>
  <c r="S107" i="28" s="1"/>
  <c r="O25" i="27" a="1"/>
  <c r="O25" i="27" s="1"/>
  <c r="S25" i="27" s="1" a="1"/>
  <c r="S25" i="27" s="1"/>
  <c r="O73" i="27" a="1"/>
  <c r="O73" i="27" s="1"/>
  <c r="Q73" i="27" s="1"/>
  <c r="O64" i="28" a="1"/>
  <c r="O64" i="28" s="1"/>
  <c r="Q64" i="28" s="1"/>
  <c r="O22" i="26" a="1"/>
  <c r="O22" i="26" s="1"/>
  <c r="Q22" i="26" s="1"/>
  <c r="O13" i="29" a="1"/>
  <c r="O13" i="29" s="1"/>
  <c r="Q13" i="29" s="1"/>
  <c r="O58" i="29" a="1"/>
  <c r="O58" i="29" s="1"/>
  <c r="S58" i="29" s="1" a="1"/>
  <c r="S58" i="29" s="1"/>
  <c r="O71" i="27" a="1"/>
  <c r="O71" i="27" s="1"/>
  <c r="Q71" i="27" s="1"/>
  <c r="O117" i="28" a="1"/>
  <c r="O117" i="28" s="1"/>
  <c r="S117" i="28" s="1" a="1"/>
  <c r="S117" i="28" s="1"/>
  <c r="O108" i="25" a="1"/>
  <c r="O108" i="25" s="1"/>
  <c r="S108" i="25" s="1" a="1"/>
  <c r="S108" i="25" s="1"/>
  <c r="O58" i="26" a="1"/>
  <c r="O58" i="26" s="1"/>
  <c r="Q58" i="26" s="1"/>
  <c r="O71" i="28" a="1"/>
  <c r="O71" i="28" s="1"/>
  <c r="S71" i="28" s="1" a="1"/>
  <c r="S71" i="28" s="1"/>
  <c r="O68" i="25" a="1"/>
  <c r="O68" i="25" s="1"/>
  <c r="S68" i="25" s="1" a="1"/>
  <c r="S68" i="25" s="1"/>
  <c r="O18" i="29" a="1"/>
  <c r="O18" i="29" s="1"/>
  <c r="Q18" i="29" s="1"/>
  <c r="O113" i="27" a="1"/>
  <c r="O113" i="27" s="1"/>
  <c r="S113" i="27" s="1" a="1"/>
  <c r="S113" i="27" s="1"/>
  <c r="O72" i="26" a="1"/>
  <c r="O72" i="26" s="1"/>
  <c r="S72" i="26" s="1" a="1"/>
  <c r="S72" i="26" s="1"/>
  <c r="O110" i="25" a="1"/>
  <c r="O110" i="25" s="1"/>
  <c r="S110" i="25" s="1" a="1"/>
  <c r="S110" i="25" s="1"/>
  <c r="O63" i="29" a="1"/>
  <c r="O63" i="29" s="1"/>
  <c r="Q63" i="29" s="1"/>
  <c r="O111" i="27" a="1"/>
  <c r="O111" i="27" s="1"/>
  <c r="O25" i="26" a="1"/>
  <c r="O25" i="26" s="1"/>
  <c r="S25" i="26" s="1" a="1"/>
  <c r="S25" i="26" s="1"/>
  <c r="O17" i="25" a="1"/>
  <c r="O17" i="25" s="1"/>
  <c r="S17" i="25" s="1" a="1"/>
  <c r="S17" i="25" s="1"/>
  <c r="O70" i="28" a="1"/>
  <c r="O70" i="28" s="1"/>
  <c r="S70" i="28" s="1" a="1"/>
  <c r="S70" i="28" s="1"/>
  <c r="O113" i="26" a="1"/>
  <c r="O113" i="26" s="1"/>
  <c r="Q113" i="26" s="1"/>
  <c r="O18" i="26" a="1"/>
  <c r="O18" i="26" s="1"/>
  <c r="Q18" i="26" s="1"/>
  <c r="O69" i="29" a="1"/>
  <c r="O69" i="29" s="1"/>
  <c r="S69" i="29" s="1" a="1"/>
  <c r="S69" i="29" s="1"/>
  <c r="O17" i="28" a="1"/>
  <c r="O17" i="28" s="1"/>
  <c r="Q17" i="28" s="1"/>
  <c r="O115" i="26" a="1"/>
  <c r="O115" i="26" s="1"/>
  <c r="Q115" i="26" s="1"/>
  <c r="O72" i="25" a="1"/>
  <c r="O72" i="25" s="1"/>
  <c r="Q72" i="25" s="1"/>
  <c r="O28" i="29" a="1"/>
  <c r="O28" i="29" s="1"/>
  <c r="S28" i="29" s="1" a="1"/>
  <c r="S28" i="29" s="1"/>
  <c r="O72" i="27" a="1"/>
  <c r="O72" i="27" s="1"/>
  <c r="Q72" i="27" s="1"/>
  <c r="O115" i="28" a="1"/>
  <c r="O115" i="28" s="1"/>
  <c r="S115" i="28" s="1" a="1"/>
  <c r="S115" i="28" s="1"/>
  <c r="O72" i="29" a="1"/>
  <c r="O72" i="29" s="1"/>
  <c r="S72" i="29" s="1" a="1"/>
  <c r="S72" i="29" s="1"/>
  <c r="O110" i="27" a="1"/>
  <c r="O110" i="27" s="1"/>
  <c r="Q110" i="27" s="1"/>
  <c r="O19" i="26" a="1"/>
  <c r="O19" i="26" s="1"/>
  <c r="S19" i="26" s="1" a="1"/>
  <c r="S19" i="26" s="1"/>
  <c r="O65" i="25" a="1"/>
  <c r="O65" i="25" s="1"/>
  <c r="S65" i="25" s="1" a="1"/>
  <c r="S65" i="25" s="1"/>
  <c r="O65" i="28" a="1"/>
  <c r="O65" i="28" s="1"/>
  <c r="S65" i="28" s="1" a="1"/>
  <c r="S65" i="28" s="1"/>
  <c r="O116" i="26" a="1"/>
  <c r="O116" i="26" s="1"/>
  <c r="Q116" i="26" s="1"/>
  <c r="O58" i="27" a="1"/>
  <c r="O58" i="27" s="1"/>
  <c r="Q58" i="27" s="1"/>
  <c r="O115" i="25" a="1"/>
  <c r="O115" i="25" s="1"/>
  <c r="S115" i="25" s="1" a="1"/>
  <c r="S115" i="25" s="1"/>
  <c r="O62" i="26" a="1"/>
  <c r="O62" i="26" s="1"/>
  <c r="Q62" i="26" s="1"/>
  <c r="O105" i="25" a="1"/>
  <c r="O105" i="25" s="1"/>
  <c r="S105" i="25" s="1" a="1"/>
  <c r="S105" i="25" s="1"/>
  <c r="O23" i="26" a="1"/>
  <c r="O23" i="26" s="1"/>
  <c r="S23" i="26" s="1" a="1"/>
  <c r="S23" i="26" s="1"/>
  <c r="O22" i="27" a="1"/>
  <c r="O22" i="27" s="1"/>
  <c r="S22" i="27" s="1" a="1"/>
  <c r="S22" i="27" s="1"/>
  <c r="O63" i="28" a="1"/>
  <c r="O63" i="28" s="1"/>
  <c r="S63" i="28" s="1" a="1"/>
  <c r="S63" i="28" s="1"/>
  <c r="O15" i="25" a="1"/>
  <c r="O15" i="25" s="1"/>
  <c r="Q15" i="25" s="1"/>
  <c r="O118" i="25" a="1"/>
  <c r="O118" i="25" s="1"/>
  <c r="Q118" i="25" s="1"/>
  <c r="O108" i="28" a="1"/>
  <c r="O108" i="28" s="1"/>
  <c r="S108" i="28" s="1" a="1"/>
  <c r="S108" i="28" s="1"/>
  <c r="O116" i="25" a="1"/>
  <c r="O116" i="25" s="1"/>
  <c r="S116" i="25" s="1" a="1"/>
  <c r="S116" i="25" s="1"/>
  <c r="O109" i="27" a="1"/>
  <c r="O109" i="27" s="1"/>
  <c r="Q109" i="27" s="1"/>
  <c r="O107" i="25" a="1"/>
  <c r="O107" i="25" s="1"/>
  <c r="Q107" i="25" s="1"/>
  <c r="O118" i="28" a="1"/>
  <c r="O118" i="28" s="1"/>
  <c r="S118" i="28" s="1" a="1"/>
  <c r="S118" i="28" s="1"/>
  <c r="O13" i="26" a="1"/>
  <c r="O13" i="26" s="1"/>
  <c r="Q13" i="26" s="1"/>
  <c r="O15" i="29" a="1"/>
  <c r="O15" i="29" s="1"/>
  <c r="S15" i="29" s="1" a="1"/>
  <c r="S15" i="29" s="1"/>
  <c r="O67" i="25" a="1"/>
  <c r="O67" i="25" s="1"/>
  <c r="S67" i="25" s="1" a="1"/>
  <c r="S67" i="25" s="1"/>
  <c r="O105" i="28" a="1"/>
  <c r="O105" i="28" s="1"/>
  <c r="Q105" i="28" s="1"/>
  <c r="O112" i="27" a="1"/>
  <c r="O112" i="27" s="1"/>
  <c r="Q112" i="27" s="1"/>
  <c r="O66" i="26" a="1"/>
  <c r="O66" i="26" s="1"/>
  <c r="S66" i="26" s="1" a="1"/>
  <c r="S66" i="26" s="1"/>
  <c r="O109" i="25" a="1"/>
  <c r="O109" i="25" s="1"/>
  <c r="S109" i="25" s="1" a="1"/>
  <c r="S109" i="25" s="1"/>
  <c r="O23" i="29" a="1"/>
  <c r="O23" i="29" s="1"/>
  <c r="S23" i="29" s="1" a="1"/>
  <c r="S23" i="29" s="1"/>
  <c r="O65" i="27" a="1"/>
  <c r="O65" i="27" s="1"/>
  <c r="S65" i="27" s="1" a="1"/>
  <c r="S65" i="27" s="1"/>
  <c r="O108" i="29" a="1"/>
  <c r="O108" i="29" s="1"/>
  <c r="S108" i="29" s="1" a="1"/>
  <c r="S108" i="29" s="1"/>
  <c r="O22" i="28" a="1"/>
  <c r="O22" i="28" s="1"/>
  <c r="Q22" i="28" s="1"/>
  <c r="O107" i="26" a="1"/>
  <c r="O107" i="26" s="1"/>
  <c r="S107" i="26" s="1" a="1"/>
  <c r="S107" i="26" s="1"/>
  <c r="O117" i="25" a="1"/>
  <c r="O117" i="25" s="1"/>
  <c r="S117" i="25" s="1" a="1"/>
  <c r="S117" i="25" s="1"/>
  <c r="O26" i="29" a="1"/>
  <c r="O26" i="29" s="1"/>
  <c r="S26" i="29" s="1" a="1"/>
  <c r="S26" i="29" s="1"/>
  <c r="O116" i="27" a="1"/>
  <c r="O116" i="27" s="1"/>
  <c r="Q116" i="27" s="1"/>
  <c r="O70" i="26" a="1"/>
  <c r="O70" i="26" s="1"/>
  <c r="S70" i="26" s="1" a="1"/>
  <c r="S70" i="26" s="1"/>
  <c r="O70" i="25" a="1"/>
  <c r="O70" i="25" s="1"/>
  <c r="Q70" i="25" s="1"/>
  <c r="O21" i="29" a="1"/>
  <c r="O21" i="29" s="1"/>
  <c r="S21" i="29" s="1" a="1"/>
  <c r="S21" i="29" s="1"/>
  <c r="O63" i="27" a="1"/>
  <c r="O63" i="27" s="1"/>
  <c r="Q63" i="27" s="1"/>
  <c r="O66" i="29" a="1"/>
  <c r="O66" i="29" s="1"/>
  <c r="S66" i="29" s="1" a="1"/>
  <c r="S66" i="29" s="1"/>
  <c r="O62" i="27" a="1"/>
  <c r="O62" i="27" s="1"/>
  <c r="Q62" i="27" s="1"/>
  <c r="O60" i="25" a="1"/>
  <c r="O60" i="25" s="1"/>
  <c r="S60" i="25" s="1" a="1"/>
  <c r="S60" i="25" s="1"/>
  <c r="O58" i="28" a="1"/>
  <c r="O58" i="28" s="1"/>
  <c r="S58" i="28" s="1" a="1"/>
  <c r="S58" i="28" s="1"/>
  <c r="O68" i="26" a="1"/>
  <c r="O68" i="26" s="1"/>
  <c r="S68" i="26" s="1" a="1"/>
  <c r="S68" i="26" s="1"/>
  <c r="O63" i="25" a="1"/>
  <c r="O63" i="25" s="1"/>
  <c r="Q63" i="25" s="1"/>
  <c r="O15" i="27" a="1"/>
  <c r="O15" i="27" s="1"/>
  <c r="S15" i="27" s="1" a="1"/>
  <c r="S15" i="27" s="1"/>
  <c r="O18" i="28" a="1"/>
  <c r="O18" i="28" s="1"/>
  <c r="S18" i="28" s="1" a="1"/>
  <c r="S18" i="28" s="1"/>
  <c r="O113" i="28" a="1"/>
  <c r="O113" i="28" s="1"/>
  <c r="Q113" i="28" s="1"/>
  <c r="O62" i="25" a="1"/>
  <c r="O62" i="25" s="1"/>
  <c r="S62" i="25" s="1" a="1"/>
  <c r="S62" i="25" s="1"/>
  <c r="O60" i="27" a="1"/>
  <c r="O60" i="27" s="1"/>
  <c r="S60" i="27" s="1" a="1"/>
  <c r="S60" i="27" s="1"/>
  <c r="O19" i="29" a="1"/>
  <c r="O19" i="29" s="1"/>
  <c r="Q19" i="29" s="1"/>
  <c r="O26" i="25" a="1"/>
  <c r="O26" i="25" s="1"/>
  <c r="S26" i="25" s="1" a="1"/>
  <c r="S26" i="25" s="1"/>
  <c r="O23" i="27" a="1"/>
  <c r="O23" i="27" s="1"/>
  <c r="Q23" i="27" s="1"/>
  <c r="O27" i="26" a="1"/>
  <c r="O27" i="26" s="1"/>
  <c r="S27" i="26" s="1" a="1"/>
  <c r="S27" i="26" s="1"/>
  <c r="O71" i="25" a="1"/>
  <c r="O71" i="25" s="1"/>
  <c r="Q71" i="25" s="1"/>
  <c r="O112" i="26" a="1"/>
  <c r="O112" i="26" s="1"/>
  <c r="S112" i="26" s="1" a="1"/>
  <c r="S112" i="26" s="1"/>
  <c r="O71" i="29" a="1"/>
  <c r="O71" i="29" s="1"/>
  <c r="S71" i="29" s="1" a="1"/>
  <c r="S71" i="29" s="1"/>
  <c r="O26" i="26" a="1"/>
  <c r="O26" i="26" s="1"/>
  <c r="S26" i="26" s="1" a="1"/>
  <c r="S26" i="26" s="1"/>
  <c r="O58" i="25" a="1"/>
  <c r="O58" i="25" s="1"/>
  <c r="S58" i="25" s="1" a="1"/>
  <c r="S58" i="25" s="1"/>
  <c r="O70" i="27" a="1"/>
  <c r="O70" i="27" s="1"/>
  <c r="S70" i="27" s="1" a="1"/>
  <c r="S70" i="27" s="1"/>
  <c r="O22" i="25" a="1"/>
  <c r="O22" i="25" s="1"/>
  <c r="Q22" i="25" s="1"/>
  <c r="O73" i="25" a="1"/>
  <c r="O73" i="25" s="1"/>
  <c r="S73" i="25" s="1" a="1"/>
  <c r="S73" i="25" s="1"/>
  <c r="O27" i="27" a="1"/>
  <c r="O27" i="27" s="1"/>
  <c r="Q27" i="27" s="1"/>
  <c r="O71" i="26" a="1"/>
  <c r="O71" i="26" s="1"/>
  <c r="S71" i="26" s="1" a="1"/>
  <c r="S71" i="26" s="1"/>
  <c r="Q117" i="26"/>
  <c r="Q117" i="29"/>
  <c r="S18" i="27" a="1"/>
  <c r="S18" i="27" s="1"/>
  <c r="Q66" i="25"/>
  <c r="S66" i="25" a="1"/>
  <c r="S66" i="25" s="1"/>
  <c r="S110" i="27" a="1"/>
  <c r="S110" i="27" s="1"/>
  <c r="Q72" i="29"/>
  <c r="Q111" i="27"/>
  <c r="S111" i="27" a="1"/>
  <c r="S111" i="27" s="1"/>
  <c r="Q64" i="27"/>
  <c r="R24" i="29"/>
  <c r="R14" i="25"/>
  <c r="R106" i="29"/>
  <c r="U101" i="28"/>
  <c r="X101" i="28"/>
  <c r="R104" i="27"/>
  <c r="R67" i="29"/>
  <c r="R101" i="28"/>
  <c r="R24" i="28"/>
  <c r="R14" i="27"/>
  <c r="R14" i="28"/>
  <c r="R106" i="27"/>
  <c r="X114" i="27"/>
  <c r="U114" i="27"/>
  <c r="U114" i="28"/>
  <c r="X114" i="28"/>
  <c r="R16" i="26"/>
  <c r="R12" i="27"/>
  <c r="R56" i="27"/>
  <c r="R102" i="27"/>
  <c r="R59" i="28"/>
  <c r="R114" i="25"/>
  <c r="R56" i="29"/>
  <c r="U106" i="26"/>
  <c r="AF106" i="26" s="1"/>
  <c r="X106" i="26"/>
  <c r="X101" i="27"/>
  <c r="U101" i="27"/>
  <c r="R57" i="25"/>
  <c r="U102" i="26"/>
  <c r="X102" i="26"/>
  <c r="R101" i="26"/>
  <c r="R57" i="27"/>
  <c r="U102" i="25"/>
  <c r="X102" i="25"/>
  <c r="U106" i="28"/>
  <c r="AF106" i="28" s="1"/>
  <c r="X106" i="28"/>
  <c r="U69" i="28"/>
  <c r="AF69" i="28" s="1"/>
  <c r="X69" i="28"/>
  <c r="U14" i="25"/>
  <c r="AF14" i="25" s="1"/>
  <c r="X14" i="25"/>
  <c r="R112" i="29"/>
  <c r="U101" i="29"/>
  <c r="X101" i="29"/>
  <c r="X24" i="28"/>
  <c r="U24" i="28"/>
  <c r="U14" i="27"/>
  <c r="X14" i="27"/>
  <c r="U14" i="28"/>
  <c r="X14" i="28"/>
  <c r="X106" i="27"/>
  <c r="U106" i="27"/>
  <c r="R114" i="27"/>
  <c r="R114" i="28"/>
  <c r="X16" i="26"/>
  <c r="U16" i="26"/>
  <c r="U12" i="27"/>
  <c r="AF12" i="27" s="1"/>
  <c r="X12" i="27"/>
  <c r="U56" i="27"/>
  <c r="AF56" i="27" s="1"/>
  <c r="X56" i="27"/>
  <c r="U102" i="27"/>
  <c r="AF102" i="27" s="1"/>
  <c r="X102" i="27"/>
  <c r="U59" i="28"/>
  <c r="X59" i="28"/>
  <c r="U114" i="25"/>
  <c r="X114" i="25"/>
  <c r="X56" i="29"/>
  <c r="U56" i="29"/>
  <c r="R106" i="26"/>
  <c r="R101" i="27"/>
  <c r="U57" i="25"/>
  <c r="X57" i="25"/>
  <c r="R102" i="26"/>
  <c r="U101" i="26"/>
  <c r="AF101" i="26" s="1"/>
  <c r="X101" i="26"/>
  <c r="X57" i="27"/>
  <c r="U57" i="27"/>
  <c r="AF57" i="27" s="1"/>
  <c r="R102" i="25"/>
  <c r="R106" i="28"/>
  <c r="U11" i="25"/>
  <c r="AF11" i="25" s="1"/>
  <c r="X11" i="25"/>
  <c r="X67" i="29"/>
  <c r="U67" i="29"/>
  <c r="AF67" i="29" s="1"/>
  <c r="U104" i="26"/>
  <c r="X104" i="26"/>
  <c r="U24" i="29"/>
  <c r="X24" i="29"/>
  <c r="U102" i="28"/>
  <c r="X102" i="28"/>
  <c r="U61" i="29"/>
  <c r="X61" i="29"/>
  <c r="R57" i="28"/>
  <c r="R104" i="29"/>
  <c r="R12" i="26"/>
  <c r="R59" i="25"/>
  <c r="U69" i="25"/>
  <c r="X69" i="25"/>
  <c r="U56" i="25"/>
  <c r="X56" i="25"/>
  <c r="R102" i="29"/>
  <c r="U16" i="25"/>
  <c r="X16" i="25"/>
  <c r="U24" i="25"/>
  <c r="X24" i="25"/>
  <c r="R114" i="26"/>
  <c r="R106" i="25"/>
  <c r="R16" i="27"/>
  <c r="U16" i="28"/>
  <c r="X16" i="28"/>
  <c r="U16" i="29"/>
  <c r="X16" i="29"/>
  <c r="R56" i="28"/>
  <c r="U104" i="28"/>
  <c r="AF104" i="28" s="1"/>
  <c r="X104" i="28"/>
  <c r="X12" i="29"/>
  <c r="U12" i="29"/>
  <c r="R61" i="25"/>
  <c r="R61" i="26"/>
  <c r="X57" i="29"/>
  <c r="U57" i="29"/>
  <c r="AF57" i="29" s="1"/>
  <c r="R102" i="28"/>
  <c r="R14" i="29"/>
  <c r="R57" i="26"/>
  <c r="R12" i="28"/>
  <c r="R11" i="25"/>
  <c r="U106" i="29"/>
  <c r="X106" i="29"/>
  <c r="R69" i="28"/>
  <c r="X104" i="29"/>
  <c r="U104" i="29"/>
  <c r="AF104" i="29" s="1"/>
  <c r="U12" i="26"/>
  <c r="X12" i="26"/>
  <c r="U59" i="25"/>
  <c r="X59" i="25"/>
  <c r="R69" i="25"/>
  <c r="R56" i="25"/>
  <c r="X102" i="29"/>
  <c r="U102" i="29"/>
  <c r="AF102" i="29" s="1"/>
  <c r="R16" i="25"/>
  <c r="R24" i="25"/>
  <c r="U114" i="26"/>
  <c r="X114" i="26"/>
  <c r="U106" i="25"/>
  <c r="X106" i="25"/>
  <c r="U16" i="27"/>
  <c r="X16" i="27"/>
  <c r="R16" i="28"/>
  <c r="R16" i="29"/>
  <c r="U56" i="28"/>
  <c r="X56" i="28"/>
  <c r="R104" i="28"/>
  <c r="R12" i="29"/>
  <c r="U61" i="25"/>
  <c r="X61" i="25"/>
  <c r="U61" i="26"/>
  <c r="AF61" i="26" s="1"/>
  <c r="X61" i="26"/>
  <c r="U104" i="27"/>
  <c r="AF104" i="27" s="1"/>
  <c r="X104" i="27"/>
  <c r="R61" i="29"/>
  <c r="R101" i="29"/>
  <c r="R11" i="28"/>
  <c r="U12" i="28"/>
  <c r="X12" i="28"/>
  <c r="R104" i="25"/>
  <c r="U69" i="26"/>
  <c r="AF69" i="26" s="1"/>
  <c r="X69" i="26"/>
  <c r="U59" i="27"/>
  <c r="AF59" i="27" s="1"/>
  <c r="X59" i="27"/>
  <c r="R14" i="26"/>
  <c r="U11" i="27"/>
  <c r="AF11" i="27" s="1"/>
  <c r="X11" i="27"/>
  <c r="R101" i="25"/>
  <c r="R24" i="27"/>
  <c r="U61" i="27"/>
  <c r="X61" i="27"/>
  <c r="R69" i="27"/>
  <c r="R12" i="25"/>
  <c r="U59" i="29"/>
  <c r="AF59" i="29" s="1"/>
  <c r="X59" i="29"/>
  <c r="R11" i="29"/>
  <c r="R11" i="26"/>
  <c r="U24" i="26"/>
  <c r="X24" i="26"/>
  <c r="R59" i="26"/>
  <c r="R56" i="26"/>
  <c r="R61" i="28"/>
  <c r="U11" i="28"/>
  <c r="AF11" i="28" s="1"/>
  <c r="X11" i="28"/>
  <c r="U112" i="29"/>
  <c r="X112" i="29"/>
  <c r="U57" i="28"/>
  <c r="X57" i="28"/>
  <c r="R57" i="29"/>
  <c r="U14" i="29"/>
  <c r="AF14" i="29" s="1"/>
  <c r="X14" i="29"/>
  <c r="X57" i="26"/>
  <c r="U57" i="26"/>
  <c r="R104" i="26"/>
  <c r="U104" i="25"/>
  <c r="X104" i="25"/>
  <c r="R69" i="26"/>
  <c r="R59" i="27"/>
  <c r="U14" i="26"/>
  <c r="AF14" i="26" s="1"/>
  <c r="X14" i="26"/>
  <c r="R11" i="27"/>
  <c r="U101" i="25"/>
  <c r="X101" i="25"/>
  <c r="U24" i="27"/>
  <c r="AF24" i="27" s="1"/>
  <c r="X24" i="27"/>
  <c r="R61" i="27"/>
  <c r="U69" i="27"/>
  <c r="AF69" i="27" s="1"/>
  <c r="X69" i="27"/>
  <c r="U12" i="25"/>
  <c r="X12" i="25"/>
  <c r="R59" i="29"/>
  <c r="U11" i="29"/>
  <c r="AF11" i="29" s="1"/>
  <c r="X11" i="29"/>
  <c r="U11" i="26"/>
  <c r="X11" i="26"/>
  <c r="R24" i="26"/>
  <c r="U59" i="26"/>
  <c r="X59" i="26"/>
  <c r="U56" i="26"/>
  <c r="AF56" i="26" s="1"/>
  <c r="X56" i="26"/>
  <c r="U61" i="28"/>
  <c r="AF61" i="28" s="1"/>
  <c r="X61" i="28"/>
  <c r="AA22" i="21"/>
  <c r="AB22" i="21" s="1"/>
  <c r="V22" i="21"/>
  <c r="AA4" i="21"/>
  <c r="AB4" i="21" s="1"/>
  <c r="AA17" i="21"/>
  <c r="AB17" i="21" s="1"/>
  <c r="V4" i="21"/>
  <c r="V15" i="21"/>
  <c r="AA15" i="21"/>
  <c r="AB15" i="21" s="1"/>
  <c r="V8" i="21"/>
  <c r="AA8" i="21"/>
  <c r="AB8" i="21" s="1"/>
  <c r="V18" i="21"/>
  <c r="AA18" i="21"/>
  <c r="AB18" i="21" s="1"/>
  <c r="V16" i="21"/>
  <c r="AA16" i="21"/>
  <c r="AB16" i="21" s="1"/>
  <c r="V13" i="21"/>
  <c r="AA13" i="21"/>
  <c r="AB13" i="21" s="1"/>
  <c r="AA19" i="21"/>
  <c r="AB19" i="21" s="1"/>
  <c r="AK5" i="21" s="1"/>
  <c r="V10" i="21"/>
  <c r="AA10" i="21"/>
  <c r="AB10" i="21" s="1"/>
  <c r="V5" i="21"/>
  <c r="AA5" i="21"/>
  <c r="AB5" i="21" s="1"/>
  <c r="V7" i="21"/>
  <c r="AA7" i="21"/>
  <c r="AB7" i="21" s="1"/>
  <c r="V6" i="21"/>
  <c r="AA6" i="21"/>
  <c r="AB6" i="21" s="1"/>
  <c r="V12" i="21"/>
  <c r="AA12" i="21"/>
  <c r="AB12" i="21" s="1"/>
  <c r="V11" i="21"/>
  <c r="AA11" i="21"/>
  <c r="AB11" i="21" s="1"/>
  <c r="AA14" i="21"/>
  <c r="AB14" i="21" s="1"/>
  <c r="V19" i="21"/>
  <c r="V9" i="21"/>
  <c r="AA9" i="21"/>
  <c r="AB9" i="21" s="1"/>
  <c r="V17" i="21"/>
  <c r="F776" i="1"/>
  <c r="K776" i="1" s="1"/>
  <c r="E722" i="1"/>
  <c r="J722" i="1" s="1"/>
  <c r="H774" i="1"/>
  <c r="M774" i="1" s="1"/>
  <c r="E670" i="1"/>
  <c r="J670" i="1" s="1"/>
  <c r="F722" i="1"/>
  <c r="K722" i="1" s="1"/>
  <c r="E774" i="1"/>
  <c r="J774" i="1" s="1"/>
  <c r="E776" i="1"/>
  <c r="J776" i="1" s="1"/>
  <c r="G722" i="1"/>
  <c r="L722" i="1" s="1"/>
  <c r="G774" i="1"/>
  <c r="L774" i="1" s="1"/>
  <c r="F775" i="1"/>
  <c r="K775" i="1" s="1"/>
  <c r="F670" i="1"/>
  <c r="K670" i="1" s="1"/>
  <c r="E724" i="1"/>
  <c r="J724" i="1" s="1"/>
  <c r="B769" i="1"/>
  <c r="B774" i="1" s="1"/>
  <c r="E672" i="1"/>
  <c r="J672" i="1" s="1"/>
  <c r="E775" i="1"/>
  <c r="J775" i="1" s="1"/>
  <c r="G775" i="1"/>
  <c r="L775" i="1" s="1"/>
  <c r="E671" i="1"/>
  <c r="J671" i="1" s="1"/>
  <c r="F774" i="1"/>
  <c r="K774" i="1" s="1"/>
  <c r="D395" i="1"/>
  <c r="D400" i="1" s="1"/>
  <c r="F671" i="1"/>
  <c r="K671" i="1" s="1"/>
  <c r="B665" i="1"/>
  <c r="B670" i="1" s="1"/>
  <c r="G723" i="1"/>
  <c r="L723" i="1" s="1"/>
  <c r="G671" i="1"/>
  <c r="L671" i="1" s="1"/>
  <c r="H776" i="1"/>
  <c r="M776" i="1" s="1"/>
  <c r="G776" i="1"/>
  <c r="L776" i="1" s="1"/>
  <c r="H775" i="1"/>
  <c r="M775" i="1" s="1"/>
  <c r="H724" i="1"/>
  <c r="M724" i="1" s="1"/>
  <c r="G724" i="1"/>
  <c r="L724" i="1" s="1"/>
  <c r="F724" i="1"/>
  <c r="K724" i="1" s="1"/>
  <c r="H722" i="1"/>
  <c r="M722" i="1" s="1"/>
  <c r="H723" i="1"/>
  <c r="M723" i="1" s="1"/>
  <c r="F723" i="1"/>
  <c r="K723" i="1" s="1"/>
  <c r="E723" i="1"/>
  <c r="J723" i="1" s="1"/>
  <c r="F672" i="1"/>
  <c r="K672" i="1" s="1"/>
  <c r="G672" i="1"/>
  <c r="L672" i="1" s="1"/>
  <c r="H672" i="1"/>
  <c r="M672" i="1" s="1"/>
  <c r="H670" i="1"/>
  <c r="M670" i="1" s="1"/>
  <c r="G739" i="1"/>
  <c r="E740" i="1"/>
  <c r="G741" i="1"/>
  <c r="H739" i="1"/>
  <c r="F740" i="1"/>
  <c r="H741" i="1"/>
  <c r="E739" i="1"/>
  <c r="G740" i="1"/>
  <c r="E741" i="1"/>
  <c r="F739" i="1"/>
  <c r="H740" i="1"/>
  <c r="F741" i="1"/>
  <c r="E688" i="1"/>
  <c r="G687" i="1"/>
  <c r="G689" i="1"/>
  <c r="H687" i="1"/>
  <c r="F688" i="1"/>
  <c r="H689" i="1"/>
  <c r="G688" i="1"/>
  <c r="E687" i="1"/>
  <c r="E689" i="1"/>
  <c r="F687" i="1"/>
  <c r="H688" i="1"/>
  <c r="F689" i="1"/>
  <c r="B697" i="1"/>
  <c r="F635" i="1"/>
  <c r="F637" i="1"/>
  <c r="G635" i="1"/>
  <c r="G636" i="1"/>
  <c r="H635" i="1"/>
  <c r="E635" i="1"/>
  <c r="E636" i="1"/>
  <c r="E637" i="1"/>
  <c r="F636" i="1"/>
  <c r="G637" i="1"/>
  <c r="H637" i="1"/>
  <c r="H636" i="1"/>
  <c r="B593" i="1"/>
  <c r="D442" i="1"/>
  <c r="D447" i="1" s="1"/>
  <c r="F369" i="1"/>
  <c r="F378" i="1" s="1"/>
  <c r="D444" i="1"/>
  <c r="D449" i="1" s="1"/>
  <c r="F368" i="1"/>
  <c r="G368" i="1" s="1"/>
  <c r="H368" i="1" s="1"/>
  <c r="D245" i="1"/>
  <c r="D250" i="1" s="1"/>
  <c r="D246" i="1"/>
  <c r="D251" i="1" s="1"/>
  <c r="D393" i="1"/>
  <c r="D398" i="1" s="1"/>
  <c r="E386" i="1"/>
  <c r="E394" i="1" s="1"/>
  <c r="E399" i="1" s="1"/>
  <c r="D443" i="1"/>
  <c r="D448" i="1" s="1"/>
  <c r="F370" i="1"/>
  <c r="G370" i="1" s="1"/>
  <c r="G379" i="1" s="1"/>
  <c r="E377" i="1"/>
  <c r="E393" i="1" s="1"/>
  <c r="E398" i="1" s="1"/>
  <c r="D394" i="1"/>
  <c r="D399" i="1" s="1"/>
  <c r="E387" i="1"/>
  <c r="E395" i="1" s="1"/>
  <c r="E400" i="1" s="1"/>
  <c r="F363" i="1"/>
  <c r="H364" i="1"/>
  <c r="H412" i="1"/>
  <c r="F413" i="1"/>
  <c r="H414" i="1"/>
  <c r="E413" i="1"/>
  <c r="F365" i="1"/>
  <c r="G363" i="1"/>
  <c r="E364" i="1"/>
  <c r="G365" i="1"/>
  <c r="H363" i="1"/>
  <c r="F364" i="1"/>
  <c r="H365" i="1"/>
  <c r="G412" i="1"/>
  <c r="E414" i="1"/>
  <c r="F412" i="1"/>
  <c r="H413" i="1"/>
  <c r="F414" i="1"/>
  <c r="G414" i="1"/>
  <c r="E412" i="1"/>
  <c r="G413" i="1"/>
  <c r="E363" i="1"/>
  <c r="G364" i="1"/>
  <c r="E365" i="1"/>
  <c r="G418" i="1"/>
  <c r="F427" i="1"/>
  <c r="F435" i="1"/>
  <c r="F417" i="1"/>
  <c r="F419" i="1"/>
  <c r="E435" i="1"/>
  <c r="E427" i="1"/>
  <c r="E434" i="1"/>
  <c r="E442" i="1" s="1"/>
  <c r="E447" i="1" s="1"/>
  <c r="E436" i="1"/>
  <c r="E444" i="1" s="1"/>
  <c r="E449" i="1" s="1"/>
  <c r="F221" i="1"/>
  <c r="G221" i="1" s="1"/>
  <c r="H221" i="1" s="1"/>
  <c r="E189" i="1"/>
  <c r="E197" i="1" s="1"/>
  <c r="E202" i="1" s="1"/>
  <c r="F172" i="1"/>
  <c r="F181" i="1" s="1"/>
  <c r="D196" i="1"/>
  <c r="D201" i="1" s="1"/>
  <c r="D197" i="1"/>
  <c r="D202" i="1" s="1"/>
  <c r="D247" i="1"/>
  <c r="D252" i="1" s="1"/>
  <c r="D198" i="1"/>
  <c r="D203" i="1" s="1"/>
  <c r="G215" i="1"/>
  <c r="E216" i="1"/>
  <c r="G217" i="1"/>
  <c r="F166" i="1"/>
  <c r="H167" i="1"/>
  <c r="F168" i="1"/>
  <c r="G168" i="1"/>
  <c r="H215" i="1"/>
  <c r="F216" i="1"/>
  <c r="H217" i="1"/>
  <c r="E217" i="1"/>
  <c r="E215" i="1"/>
  <c r="G166" i="1"/>
  <c r="H166" i="1"/>
  <c r="F215" i="1"/>
  <c r="H216" i="1"/>
  <c r="F217" i="1"/>
  <c r="G216" i="1"/>
  <c r="F167" i="1"/>
  <c r="H168" i="1"/>
  <c r="E166" i="1"/>
  <c r="G167" i="1"/>
  <c r="E168" i="1"/>
  <c r="E167" i="1"/>
  <c r="G173" i="1"/>
  <c r="F182" i="1"/>
  <c r="F190" i="1"/>
  <c r="E180" i="1"/>
  <c r="E196" i="1" s="1"/>
  <c r="E201" i="1" s="1"/>
  <c r="E190" i="1"/>
  <c r="F220" i="1"/>
  <c r="F222" i="1"/>
  <c r="E238" i="1"/>
  <c r="E246" i="1" s="1"/>
  <c r="E251" i="1" s="1"/>
  <c r="E182" i="1"/>
  <c r="E237" i="1"/>
  <c r="E245" i="1" s="1"/>
  <c r="E250" i="1" s="1"/>
  <c r="E239" i="1"/>
  <c r="E247" i="1" s="1"/>
  <c r="E252" i="1" s="1"/>
  <c r="F171" i="1"/>
  <c r="S114" i="29" l="1" a="1"/>
  <c r="S114" i="29" s="1"/>
  <c r="Q71" i="28"/>
  <c r="S27" i="28" a="1"/>
  <c r="S27" i="28" s="1"/>
  <c r="Q60" i="26"/>
  <c r="Z151" i="29"/>
  <c r="AE151" i="29"/>
  <c r="AD151" i="29"/>
  <c r="Z146" i="29"/>
  <c r="AD146" i="29"/>
  <c r="AE146" i="29"/>
  <c r="Z149" i="29"/>
  <c r="AA149" i="29" s="1"/>
  <c r="AB149" i="29" s="1"/>
  <c r="AK149" i="29" s="1"/>
  <c r="AD149" i="29"/>
  <c r="AE149" i="29"/>
  <c r="Z157" i="29"/>
  <c r="AD157" i="29"/>
  <c r="AE157" i="29"/>
  <c r="AF146" i="29"/>
  <c r="AF157" i="29"/>
  <c r="Z147" i="29"/>
  <c r="AE147" i="29"/>
  <c r="AD147" i="29"/>
  <c r="AF149" i="29"/>
  <c r="AF151" i="29"/>
  <c r="Q73" i="29"/>
  <c r="Q68" i="28"/>
  <c r="R68" i="28" s="1"/>
  <c r="S17" i="28" a="1"/>
  <c r="S17" i="28" s="1"/>
  <c r="U17" i="28" s="1"/>
  <c r="AF17" i="28" s="1"/>
  <c r="Q28" i="27"/>
  <c r="R28" i="27" s="1"/>
  <c r="S118" i="26" a="1"/>
  <c r="S118" i="26" s="1"/>
  <c r="S108" i="26" a="1"/>
  <c r="S108" i="26" s="1"/>
  <c r="Z106" i="29"/>
  <c r="AD106" i="29"/>
  <c r="AE106" i="29"/>
  <c r="Z112" i="29"/>
  <c r="AD112" i="29"/>
  <c r="AE112" i="29"/>
  <c r="Z101" i="29"/>
  <c r="AD101" i="29"/>
  <c r="AE101" i="29"/>
  <c r="Z104" i="29"/>
  <c r="AA104" i="29" s="1"/>
  <c r="AB104" i="29" s="1"/>
  <c r="AK104" i="29" s="1"/>
  <c r="AE104" i="29"/>
  <c r="AD104" i="29"/>
  <c r="AF101" i="29"/>
  <c r="AF112" i="29"/>
  <c r="Z102" i="29"/>
  <c r="AD102" i="29"/>
  <c r="AE102" i="29"/>
  <c r="AF106" i="29"/>
  <c r="Z56" i="29"/>
  <c r="AE56" i="29"/>
  <c r="AD56" i="29"/>
  <c r="AF56" i="29"/>
  <c r="Z67" i="29"/>
  <c r="AA67" i="29" s="1"/>
  <c r="AB67" i="29" s="1"/>
  <c r="AE67" i="29"/>
  <c r="AD67" i="29"/>
  <c r="Z59" i="29"/>
  <c r="AA59" i="29" s="1"/>
  <c r="AB59" i="29" s="1"/>
  <c r="AK59" i="29" s="1"/>
  <c r="AD59" i="29"/>
  <c r="AE59" i="29"/>
  <c r="Z61" i="29"/>
  <c r="AD61" i="29"/>
  <c r="AE61" i="29"/>
  <c r="Z57" i="29"/>
  <c r="AD57" i="29"/>
  <c r="AE57" i="29"/>
  <c r="AF61" i="29"/>
  <c r="Z16" i="29"/>
  <c r="AD16" i="29"/>
  <c r="AE16" i="29"/>
  <c r="Z24" i="29"/>
  <c r="AD24" i="29"/>
  <c r="AE24" i="29"/>
  <c r="Z12" i="29"/>
  <c r="AA12" i="29" s="1"/>
  <c r="AB12" i="29" s="1"/>
  <c r="AE12" i="29"/>
  <c r="AD12" i="29"/>
  <c r="AF24" i="29"/>
  <c r="Z14" i="29"/>
  <c r="AE14" i="29"/>
  <c r="AD14" i="29"/>
  <c r="AF12" i="29"/>
  <c r="Z11" i="29"/>
  <c r="AA11" i="29" s="1"/>
  <c r="AB11" i="29" s="1"/>
  <c r="AE11" i="29"/>
  <c r="AD11" i="29"/>
  <c r="AF16" i="29"/>
  <c r="Z159" i="28"/>
  <c r="AD159" i="28"/>
  <c r="AE159" i="28"/>
  <c r="Z151" i="28"/>
  <c r="AE151" i="28"/>
  <c r="AD151" i="28"/>
  <c r="Z146" i="28"/>
  <c r="AA146" i="28" s="1"/>
  <c r="AB146" i="28" s="1"/>
  <c r="AD146" i="28"/>
  <c r="AE146" i="28"/>
  <c r="Z147" i="28"/>
  <c r="AE147" i="28"/>
  <c r="AD147" i="28"/>
  <c r="AF146" i="28"/>
  <c r="AF147" i="28"/>
  <c r="AF151" i="28"/>
  <c r="Z149" i="28"/>
  <c r="AE149" i="28"/>
  <c r="AD149" i="28"/>
  <c r="AF159" i="28"/>
  <c r="Z114" i="28"/>
  <c r="AD114" i="28"/>
  <c r="AE114" i="28"/>
  <c r="Z101" i="28"/>
  <c r="AA101" i="28" s="1"/>
  <c r="AB101" i="28" s="1"/>
  <c r="AD101" i="28"/>
  <c r="AE101" i="28"/>
  <c r="Z106" i="28"/>
  <c r="AA106" i="28" s="1"/>
  <c r="AB106" i="28" s="1"/>
  <c r="AK94" i="28" s="1"/>
  <c r="AD106" i="28"/>
  <c r="AE106" i="28"/>
  <c r="Z102" i="28"/>
  <c r="AE102" i="28"/>
  <c r="AD102" i="28"/>
  <c r="AF114" i="28"/>
  <c r="AF101" i="28"/>
  <c r="Z104" i="28"/>
  <c r="AA104" i="28" s="1"/>
  <c r="AB104" i="28" s="1"/>
  <c r="AK104" i="28" s="1"/>
  <c r="AD104" i="28"/>
  <c r="AE104" i="28"/>
  <c r="AF102" i="28"/>
  <c r="Z57" i="28"/>
  <c r="AA57" i="28" s="1"/>
  <c r="AB57" i="28" s="1"/>
  <c r="AD57" i="28"/>
  <c r="AE57" i="28"/>
  <c r="Z59" i="28"/>
  <c r="AD59" i="28"/>
  <c r="AE59" i="28"/>
  <c r="Z56" i="28"/>
  <c r="AA56" i="28" s="1"/>
  <c r="AB56" i="28" s="1"/>
  <c r="AE56" i="28"/>
  <c r="AD56" i="28"/>
  <c r="Z69" i="28"/>
  <c r="AA69" i="28" s="1"/>
  <c r="AB69" i="28" s="1"/>
  <c r="AE69" i="28"/>
  <c r="AD69" i="28"/>
  <c r="AF59" i="28"/>
  <c r="S62" i="28" a="1"/>
  <c r="S62" i="28" s="1"/>
  <c r="AF56" i="28"/>
  <c r="Z61" i="28"/>
  <c r="AA61" i="28" s="1"/>
  <c r="AB61" i="28" s="1"/>
  <c r="AK49" i="28" s="1"/>
  <c r="AD61" i="28"/>
  <c r="AE61" i="28"/>
  <c r="AF57" i="28"/>
  <c r="Z14" i="28"/>
  <c r="AD14" i="28"/>
  <c r="AE14" i="28"/>
  <c r="Q23" i="28"/>
  <c r="Z16" i="28"/>
  <c r="AE16" i="28"/>
  <c r="AD16" i="28"/>
  <c r="Z11" i="28"/>
  <c r="AA11" i="28" s="1"/>
  <c r="AB11" i="28" s="1"/>
  <c r="AD11" i="28"/>
  <c r="AE11" i="28"/>
  <c r="Z12" i="28"/>
  <c r="AA12" i="28" s="1"/>
  <c r="AB12" i="28" s="1"/>
  <c r="AD12" i="28"/>
  <c r="AE12" i="28"/>
  <c r="S25" i="28" a="1"/>
  <c r="S25" i="28" s="1"/>
  <c r="U25" i="28" s="1"/>
  <c r="AF16" i="28"/>
  <c r="AF12" i="28"/>
  <c r="AF14" i="28"/>
  <c r="Z24" i="28"/>
  <c r="AD24" i="28"/>
  <c r="AE24" i="28"/>
  <c r="AF24" i="28"/>
  <c r="Z146" i="27"/>
  <c r="AA146" i="27" s="1"/>
  <c r="AB146" i="27" s="1"/>
  <c r="AD146" i="27"/>
  <c r="AE146" i="27"/>
  <c r="Z149" i="27"/>
  <c r="AE149" i="27"/>
  <c r="AD149" i="27"/>
  <c r="Z159" i="27"/>
  <c r="AE159" i="27"/>
  <c r="AD159" i="27"/>
  <c r="Z151" i="27"/>
  <c r="AA151" i="27" s="1"/>
  <c r="AB151" i="27" s="1"/>
  <c r="AK139" i="27" s="1"/>
  <c r="AD151" i="27"/>
  <c r="AE151" i="27"/>
  <c r="AF146" i="27"/>
  <c r="AF151" i="27"/>
  <c r="AF159" i="27"/>
  <c r="Z147" i="27"/>
  <c r="AE147" i="27"/>
  <c r="AD147" i="27"/>
  <c r="AF149" i="27"/>
  <c r="AF147" i="27"/>
  <c r="Z106" i="27"/>
  <c r="AA106" i="27" s="1"/>
  <c r="AB106" i="27" s="1"/>
  <c r="AK94" i="27" s="1"/>
  <c r="AE106" i="27"/>
  <c r="AD106" i="27"/>
  <c r="Z101" i="27"/>
  <c r="AE101" i="27"/>
  <c r="AD101" i="27"/>
  <c r="AF101" i="27"/>
  <c r="Z114" i="27"/>
  <c r="AA114" i="27" s="1"/>
  <c r="AB114" i="27" s="1"/>
  <c r="AE114" i="27"/>
  <c r="AD114" i="27"/>
  <c r="AF114" i="27"/>
  <c r="Z104" i="27"/>
  <c r="AD104" i="27"/>
  <c r="AE104" i="27"/>
  <c r="Z102" i="27"/>
  <c r="AD102" i="27"/>
  <c r="AE102" i="27"/>
  <c r="Q107" i="27"/>
  <c r="AF106" i="27"/>
  <c r="Z59" i="27"/>
  <c r="AD59" i="27"/>
  <c r="AE59" i="27"/>
  <c r="Z61" i="27"/>
  <c r="AA61" i="27" s="1"/>
  <c r="AB61" i="27" s="1"/>
  <c r="AK49" i="27" s="1"/>
  <c r="AE61" i="27"/>
  <c r="AD61" i="27"/>
  <c r="Z57" i="27"/>
  <c r="AD57" i="27"/>
  <c r="AE57" i="27"/>
  <c r="Z69" i="27"/>
  <c r="AD69" i="27"/>
  <c r="AE69" i="27"/>
  <c r="Z56" i="27"/>
  <c r="AE56" i="27"/>
  <c r="AD56" i="27"/>
  <c r="AF61" i="27"/>
  <c r="Z14" i="27"/>
  <c r="AD14" i="27"/>
  <c r="AE14" i="27"/>
  <c r="Z11" i="27"/>
  <c r="AA11" i="27" s="1"/>
  <c r="AB11" i="27" s="1"/>
  <c r="AE11" i="27"/>
  <c r="AD11" i="27"/>
  <c r="Z16" i="27"/>
  <c r="AD16" i="27"/>
  <c r="AE16" i="27"/>
  <c r="Z12" i="27"/>
  <c r="AA12" i="27" s="1"/>
  <c r="AB12" i="27" s="1"/>
  <c r="AD12" i="27"/>
  <c r="AE12" i="27"/>
  <c r="AF14" i="27"/>
  <c r="Z24" i="27"/>
  <c r="AD24" i="27"/>
  <c r="AE24" i="27"/>
  <c r="AF16" i="27"/>
  <c r="Z151" i="26"/>
  <c r="AA151" i="26" s="1"/>
  <c r="AB151" i="26" s="1"/>
  <c r="AK139" i="26" s="1"/>
  <c r="AD151" i="26"/>
  <c r="AE151" i="26"/>
  <c r="Z146" i="26"/>
  <c r="AA146" i="26" s="1"/>
  <c r="AB146" i="26" s="1"/>
  <c r="AD146" i="26"/>
  <c r="AE146" i="26"/>
  <c r="AF146" i="26"/>
  <c r="Z159" i="26"/>
  <c r="AA159" i="26" s="1"/>
  <c r="AB159" i="26" s="1"/>
  <c r="AE159" i="26"/>
  <c r="AD159" i="26"/>
  <c r="Z149" i="26"/>
  <c r="AA149" i="26" s="1"/>
  <c r="AB149" i="26" s="1"/>
  <c r="AK149" i="26" s="1"/>
  <c r="AD149" i="26"/>
  <c r="AE149" i="26"/>
  <c r="AF151" i="26"/>
  <c r="Z147" i="26"/>
  <c r="AE147" i="26"/>
  <c r="AD147" i="26"/>
  <c r="AF149" i="26"/>
  <c r="Z102" i="26"/>
  <c r="AD102" i="26"/>
  <c r="AE102" i="26"/>
  <c r="Z114" i="26"/>
  <c r="AA114" i="26" s="1"/>
  <c r="AB114" i="26" s="1"/>
  <c r="AD114" i="26"/>
  <c r="AE114" i="26"/>
  <c r="AF102" i="26"/>
  <c r="Z104" i="26"/>
  <c r="AD104" i="26"/>
  <c r="AE104" i="26"/>
  <c r="Z101" i="26"/>
  <c r="AD101" i="26"/>
  <c r="AE101" i="26"/>
  <c r="AF114" i="26"/>
  <c r="Z106" i="26"/>
  <c r="AE106" i="26"/>
  <c r="AD106" i="26"/>
  <c r="AF104" i="26"/>
  <c r="Z56" i="26"/>
  <c r="AE56" i="26"/>
  <c r="AD56" i="26"/>
  <c r="Z59" i="26"/>
  <c r="AA59" i="26" s="1"/>
  <c r="AB59" i="26" s="1"/>
  <c r="AK59" i="26" s="1"/>
  <c r="AE59" i="26"/>
  <c r="AD59" i="26"/>
  <c r="Z57" i="26"/>
  <c r="AA57" i="26" s="1"/>
  <c r="AB57" i="26" s="1"/>
  <c r="AD57" i="26"/>
  <c r="AE57" i="26"/>
  <c r="Z69" i="26"/>
  <c r="AD69" i="26"/>
  <c r="AE69" i="26"/>
  <c r="AF59" i="26"/>
  <c r="Z61" i="26"/>
  <c r="AD61" i="26"/>
  <c r="AE61" i="26"/>
  <c r="AF57" i="26"/>
  <c r="Z11" i="26"/>
  <c r="AA11" i="26" s="1"/>
  <c r="AB11" i="26" s="1"/>
  <c r="AD11" i="26"/>
  <c r="AE11" i="26"/>
  <c r="Z16" i="26"/>
  <c r="AD16" i="26"/>
  <c r="AE16" i="26"/>
  <c r="AF16" i="26"/>
  <c r="Z24" i="26"/>
  <c r="AD24" i="26"/>
  <c r="AE24" i="26"/>
  <c r="AF24" i="26"/>
  <c r="AF11" i="26"/>
  <c r="Z14" i="26"/>
  <c r="AE14" i="26"/>
  <c r="AD14" i="26"/>
  <c r="Z12" i="26"/>
  <c r="AD12" i="26"/>
  <c r="AE12" i="26"/>
  <c r="AF12" i="26"/>
  <c r="Z149" i="25"/>
  <c r="AA149" i="25" s="1"/>
  <c r="AB149" i="25" s="1"/>
  <c r="AK149" i="25" s="1"/>
  <c r="AD149" i="25"/>
  <c r="AE149" i="25"/>
  <c r="Z159" i="25"/>
  <c r="AA159" i="25" s="1"/>
  <c r="AB159" i="25" s="1"/>
  <c r="AD159" i="25"/>
  <c r="AE159" i="25"/>
  <c r="Z147" i="25"/>
  <c r="AA147" i="25" s="1"/>
  <c r="AB147" i="25" s="1"/>
  <c r="AD147" i="25"/>
  <c r="AE147" i="25"/>
  <c r="Z146" i="25"/>
  <c r="AE146" i="25"/>
  <c r="AD146" i="25"/>
  <c r="AF149" i="25"/>
  <c r="AF146" i="25"/>
  <c r="Z151" i="25"/>
  <c r="AA151" i="25" s="1"/>
  <c r="AB151" i="25" s="1"/>
  <c r="AK139" i="25" s="1"/>
  <c r="AE151" i="25"/>
  <c r="AD151" i="25"/>
  <c r="AF159" i="25"/>
  <c r="Z102" i="25"/>
  <c r="AA102" i="25" s="1"/>
  <c r="AB102" i="25" s="1"/>
  <c r="AD102" i="25"/>
  <c r="AE102" i="25"/>
  <c r="Z114" i="25"/>
  <c r="AD114" i="25"/>
  <c r="AE114" i="25"/>
  <c r="AF103" i="25"/>
  <c r="AF102" i="25"/>
  <c r="Z104" i="25"/>
  <c r="AA104" i="25" s="1"/>
  <c r="AB104" i="25" s="1"/>
  <c r="AK104" i="25" s="1"/>
  <c r="AE104" i="25"/>
  <c r="AD104" i="25"/>
  <c r="Z106" i="25"/>
  <c r="AA106" i="25" s="1"/>
  <c r="AB106" i="25" s="1"/>
  <c r="AK94" i="25" s="1"/>
  <c r="AE106" i="25"/>
  <c r="AD106" i="25"/>
  <c r="AF104" i="25"/>
  <c r="Z101" i="25"/>
  <c r="AA101" i="25" s="1"/>
  <c r="AB101" i="25" s="1"/>
  <c r="AE101" i="25"/>
  <c r="AD101" i="25"/>
  <c r="AF114" i="25"/>
  <c r="AF106" i="25"/>
  <c r="AF107" i="25"/>
  <c r="AF101" i="25"/>
  <c r="Z69" i="25"/>
  <c r="AD69" i="25"/>
  <c r="AE69" i="25"/>
  <c r="AF69" i="25"/>
  <c r="Z56" i="25"/>
  <c r="AA56" i="25" s="1"/>
  <c r="AB56" i="25" s="1"/>
  <c r="AE56" i="25"/>
  <c r="AD56" i="25"/>
  <c r="Z57" i="25"/>
  <c r="AA57" i="25" s="1"/>
  <c r="AB57" i="25" s="1"/>
  <c r="AE57" i="25"/>
  <c r="AD57" i="25"/>
  <c r="AF56" i="25"/>
  <c r="Z61" i="25"/>
  <c r="AA61" i="25" s="1"/>
  <c r="AB61" i="25" s="1"/>
  <c r="AK49" i="25" s="1"/>
  <c r="AE61" i="25"/>
  <c r="AD61" i="25"/>
  <c r="AF61" i="25"/>
  <c r="Z59" i="25"/>
  <c r="AA59" i="25" s="1"/>
  <c r="AB59" i="25" s="1"/>
  <c r="AK59" i="25" s="1"/>
  <c r="AE59" i="25"/>
  <c r="AD59" i="25"/>
  <c r="AF59" i="25"/>
  <c r="AF57" i="25"/>
  <c r="Z16" i="25"/>
  <c r="AD16" i="25"/>
  <c r="AE16" i="25"/>
  <c r="Z12" i="25"/>
  <c r="AA12" i="25" s="1"/>
  <c r="AB12" i="25" s="1"/>
  <c r="AD12" i="25"/>
  <c r="AE12" i="25"/>
  <c r="AF12" i="25"/>
  <c r="Z11" i="25"/>
  <c r="AA11" i="25" s="1"/>
  <c r="AB11" i="25" s="1"/>
  <c r="AD11" i="25"/>
  <c r="AE11" i="25"/>
  <c r="Z14" i="25"/>
  <c r="AE14" i="25"/>
  <c r="AD14" i="25"/>
  <c r="Z24" i="25"/>
  <c r="AE24" i="25"/>
  <c r="AD24" i="25"/>
  <c r="AF24" i="25"/>
  <c r="AF16" i="25"/>
  <c r="S63" i="29" a="1"/>
  <c r="S63" i="29" s="1"/>
  <c r="U63" i="29" s="1"/>
  <c r="AF63" i="29" s="1"/>
  <c r="S22" i="28" a="1"/>
  <c r="S22" i="28" s="1"/>
  <c r="U22" i="28" s="1"/>
  <c r="AF22" i="28" s="1"/>
  <c r="S72" i="27" a="1"/>
  <c r="S72" i="27" s="1"/>
  <c r="S113" i="26" a="1"/>
  <c r="S113" i="26" s="1"/>
  <c r="S116" i="26" a="1"/>
  <c r="S116" i="26" s="1"/>
  <c r="Q72" i="26"/>
  <c r="R72" i="26" s="1"/>
  <c r="Q20" i="26"/>
  <c r="AA146" i="29"/>
  <c r="AB146" i="29" s="1"/>
  <c r="V146" i="29"/>
  <c r="Q156" i="29"/>
  <c r="S156" i="29" a="1"/>
  <c r="S156" i="29" s="1"/>
  <c r="Q150" i="26"/>
  <c r="S150" i="26" a="1"/>
  <c r="S150" i="26" s="1"/>
  <c r="V159" i="25"/>
  <c r="V146" i="27"/>
  <c r="V149" i="25"/>
  <c r="Q158" i="27"/>
  <c r="S158" i="27" a="1"/>
  <c r="S158" i="27" s="1"/>
  <c r="Q158" i="26"/>
  <c r="S158" i="26" a="1"/>
  <c r="S158" i="26" s="1"/>
  <c r="S158" i="29" a="1"/>
  <c r="S158" i="29" s="1"/>
  <c r="Q158" i="29"/>
  <c r="S153" i="26" a="1"/>
  <c r="S153" i="26" s="1"/>
  <c r="Q153" i="26"/>
  <c r="Q152" i="27"/>
  <c r="S152" i="27" a="1"/>
  <c r="S152" i="27" s="1"/>
  <c r="Q161" i="29"/>
  <c r="S161" i="29" a="1"/>
  <c r="S161" i="29" s="1"/>
  <c r="S154" i="26" a="1"/>
  <c r="S154" i="26" s="1"/>
  <c r="Q154" i="26"/>
  <c r="Q154" i="27"/>
  <c r="S154" i="27" a="1"/>
  <c r="S154" i="27" s="1"/>
  <c r="V149" i="29"/>
  <c r="S154" i="29" a="1"/>
  <c r="S154" i="29" s="1"/>
  <c r="Q154" i="29"/>
  <c r="Q152" i="28"/>
  <c r="S152" i="28" a="1"/>
  <c r="S152" i="28" s="1"/>
  <c r="Q160" i="25"/>
  <c r="S160" i="25" a="1"/>
  <c r="S160" i="25" s="1"/>
  <c r="Q161" i="26"/>
  <c r="S161" i="26" a="1"/>
  <c r="S161" i="26" s="1"/>
  <c r="Q163" i="26"/>
  <c r="S163" i="26" a="1"/>
  <c r="S163" i="26" s="1"/>
  <c r="Q150" i="27"/>
  <c r="S150" i="27" a="1"/>
  <c r="S150" i="27" s="1"/>
  <c r="Q152" i="25"/>
  <c r="S152" i="25" a="1"/>
  <c r="S152" i="25" s="1"/>
  <c r="Q155" i="27"/>
  <c r="S155" i="27" a="1"/>
  <c r="S155" i="27" s="1"/>
  <c r="Q162" i="29"/>
  <c r="S162" i="29" a="1"/>
  <c r="S162" i="29" s="1"/>
  <c r="V151" i="28"/>
  <c r="AA151" i="28"/>
  <c r="AB151" i="28" s="1"/>
  <c r="AK139" i="28" s="1"/>
  <c r="Q148" i="27"/>
  <c r="S148" i="27" a="1"/>
  <c r="S148" i="27" s="1"/>
  <c r="Q158" i="25"/>
  <c r="S158" i="25" a="1"/>
  <c r="S158" i="25" s="1"/>
  <c r="V147" i="25"/>
  <c r="V159" i="26"/>
  <c r="V157" i="29"/>
  <c r="AA157" i="29"/>
  <c r="AB157" i="29" s="1"/>
  <c r="Q160" i="28"/>
  <c r="S160" i="28" a="1"/>
  <c r="S160" i="28" s="1"/>
  <c r="S154" i="25" a="1"/>
  <c r="S154" i="25" s="1"/>
  <c r="Q154" i="25"/>
  <c r="Q150" i="25"/>
  <c r="S150" i="25" a="1"/>
  <c r="S150" i="25" s="1"/>
  <c r="S157" i="26" a="1"/>
  <c r="S157" i="26" s="1"/>
  <c r="Q157" i="26"/>
  <c r="Q157" i="27"/>
  <c r="S157" i="27" a="1"/>
  <c r="S157" i="27" s="1"/>
  <c r="Q160" i="26"/>
  <c r="S160" i="26" a="1"/>
  <c r="S160" i="26" s="1"/>
  <c r="Q157" i="28"/>
  <c r="S157" i="28" a="1"/>
  <c r="S157" i="28" s="1"/>
  <c r="Q148" i="29"/>
  <c r="S148" i="29" a="1"/>
  <c r="S148" i="29" s="1"/>
  <c r="AA146" i="25"/>
  <c r="AB146" i="25" s="1"/>
  <c r="V146" i="25"/>
  <c r="V151" i="26"/>
  <c r="Q160" i="29"/>
  <c r="S160" i="29" a="1"/>
  <c r="S160" i="29" s="1"/>
  <c r="V149" i="27"/>
  <c r="AA149" i="27"/>
  <c r="AB149" i="27" s="1"/>
  <c r="AK149" i="27" s="1"/>
  <c r="Q153" i="25"/>
  <c r="S153" i="25" a="1"/>
  <c r="S153" i="25" s="1"/>
  <c r="Q153" i="28"/>
  <c r="S153" i="28" a="1"/>
  <c r="S153" i="28" s="1"/>
  <c r="Q163" i="25"/>
  <c r="S163" i="25" a="1"/>
  <c r="S163" i="25" s="1"/>
  <c r="Q155" i="26"/>
  <c r="S155" i="26" a="1"/>
  <c r="S155" i="26" s="1"/>
  <c r="Q158" i="28"/>
  <c r="S158" i="28" a="1"/>
  <c r="S158" i="28" s="1"/>
  <c r="Q150" i="28"/>
  <c r="S150" i="28" a="1"/>
  <c r="S150" i="28" s="1"/>
  <c r="S161" i="27" a="1"/>
  <c r="S161" i="27" s="1"/>
  <c r="Q161" i="27"/>
  <c r="Q163" i="27"/>
  <c r="S163" i="27" a="1"/>
  <c r="S163" i="27" s="1"/>
  <c r="Q159" i="29"/>
  <c r="S159" i="29" a="1"/>
  <c r="S159" i="29" s="1"/>
  <c r="V147" i="26"/>
  <c r="AA147" i="26"/>
  <c r="AB147" i="26" s="1"/>
  <c r="V149" i="26"/>
  <c r="V149" i="28"/>
  <c r="AA149" i="28"/>
  <c r="AB149" i="28" s="1"/>
  <c r="AK149" i="28" s="1"/>
  <c r="Q162" i="26"/>
  <c r="S162" i="26" a="1"/>
  <c r="S162" i="26" s="1"/>
  <c r="V146" i="26"/>
  <c r="V151" i="27"/>
  <c r="V151" i="29"/>
  <c r="AA151" i="29"/>
  <c r="AB151" i="29" s="1"/>
  <c r="S157" i="25" a="1"/>
  <c r="S157" i="25" s="1"/>
  <c r="Q157" i="25"/>
  <c r="Q162" i="28"/>
  <c r="S162" i="28" a="1"/>
  <c r="S162" i="28" s="1"/>
  <c r="S156" i="27" a="1"/>
  <c r="S156" i="27" s="1"/>
  <c r="Q156" i="27"/>
  <c r="Q156" i="28"/>
  <c r="S156" i="28" a="1"/>
  <c r="S156" i="28" s="1"/>
  <c r="Q163" i="29"/>
  <c r="S163" i="29" a="1"/>
  <c r="S163" i="29" s="1"/>
  <c r="Q161" i="28"/>
  <c r="S161" i="28" a="1"/>
  <c r="S161" i="28" s="1"/>
  <c r="Q156" i="25"/>
  <c r="S156" i="25" a="1"/>
  <c r="S156" i="25" s="1"/>
  <c r="Q162" i="25"/>
  <c r="S162" i="25" a="1"/>
  <c r="S162" i="25" s="1"/>
  <c r="V147" i="29"/>
  <c r="AA147" i="29"/>
  <c r="AB147" i="29" s="1"/>
  <c r="Q148" i="26"/>
  <c r="S148" i="26" a="1"/>
  <c r="S148" i="26" s="1"/>
  <c r="Q152" i="29"/>
  <c r="S152" i="29" a="1"/>
  <c r="S152" i="29" s="1"/>
  <c r="Q160" i="27"/>
  <c r="S160" i="27" a="1"/>
  <c r="S160" i="27" s="1"/>
  <c r="Q163" i="28"/>
  <c r="S163" i="28" a="1"/>
  <c r="S163" i="28" s="1"/>
  <c r="Q162" i="27"/>
  <c r="S162" i="27" a="1"/>
  <c r="S162" i="27" s="1"/>
  <c r="Q148" i="28"/>
  <c r="S148" i="28" a="1"/>
  <c r="S148" i="28" s="1"/>
  <c r="S156" i="26" a="1"/>
  <c r="S156" i="26" s="1"/>
  <c r="Q156" i="26"/>
  <c r="Q148" i="25"/>
  <c r="S148" i="25" a="1"/>
  <c r="S148" i="25" s="1"/>
  <c r="V151" i="25"/>
  <c r="S155" i="29" a="1"/>
  <c r="S155" i="29" s="1"/>
  <c r="Q155" i="29"/>
  <c r="V147" i="28"/>
  <c r="AA147" i="28"/>
  <c r="AB147" i="28" s="1"/>
  <c r="AA147" i="27"/>
  <c r="AB147" i="27" s="1"/>
  <c r="V147" i="27"/>
  <c r="AA159" i="27"/>
  <c r="AB159" i="27" s="1"/>
  <c r="V159" i="27"/>
  <c r="V159" i="28"/>
  <c r="AA159" i="28"/>
  <c r="AB159" i="28" s="1"/>
  <c r="Q153" i="27"/>
  <c r="S153" i="27" a="1"/>
  <c r="S153" i="27" s="1"/>
  <c r="S153" i="29" a="1"/>
  <c r="S153" i="29" s="1"/>
  <c r="Q153" i="29"/>
  <c r="Q154" i="28"/>
  <c r="S154" i="28" a="1"/>
  <c r="S154" i="28" s="1"/>
  <c r="Q150" i="29"/>
  <c r="S150" i="29" a="1"/>
  <c r="S150" i="29" s="1"/>
  <c r="Q161" i="25"/>
  <c r="S161" i="25" a="1"/>
  <c r="S161" i="25" s="1"/>
  <c r="Q155" i="28"/>
  <c r="S155" i="28" a="1"/>
  <c r="S155" i="28" s="1"/>
  <c r="Q152" i="26"/>
  <c r="S152" i="26" a="1"/>
  <c r="S152" i="26" s="1"/>
  <c r="Q155" i="25"/>
  <c r="S155" i="25" a="1"/>
  <c r="S155" i="25" s="1"/>
  <c r="V146" i="28"/>
  <c r="Q69" i="29"/>
  <c r="S13" i="29" a="1"/>
  <c r="S13" i="29" s="1"/>
  <c r="U13" i="29" s="1"/>
  <c r="S19" i="29" a="1"/>
  <c r="S19" i="29" s="1"/>
  <c r="X19" i="29" s="1"/>
  <c r="S108" i="27" a="1"/>
  <c r="S108" i="27" s="1"/>
  <c r="V114" i="27"/>
  <c r="S17" i="27" a="1"/>
  <c r="S17" i="27" s="1"/>
  <c r="X17" i="27" s="1"/>
  <c r="S111" i="25" a="1"/>
  <c r="S111" i="25" s="1"/>
  <c r="U111" i="25" s="1"/>
  <c r="AF111" i="25" s="1"/>
  <c r="Q13" i="28"/>
  <c r="Q115" i="25"/>
  <c r="Q58" i="25"/>
  <c r="S25" i="25" a="1"/>
  <c r="S25" i="25" s="1"/>
  <c r="U25" i="25" s="1"/>
  <c r="AF25" i="25" s="1"/>
  <c r="AJ11" i="25"/>
  <c r="S111" i="26" a="1"/>
  <c r="S111" i="26" s="1"/>
  <c r="Q107" i="29"/>
  <c r="Q70" i="26"/>
  <c r="S112" i="27" a="1"/>
  <c r="S112" i="27" s="1"/>
  <c r="X112" i="27" s="1"/>
  <c r="S27" i="27" a="1"/>
  <c r="S27" i="27" s="1"/>
  <c r="X27" i="27" s="1"/>
  <c r="S13" i="27" a="1"/>
  <c r="S13" i="27" s="1"/>
  <c r="U13" i="27" s="1"/>
  <c r="Q21" i="26"/>
  <c r="S13" i="25" a="1"/>
  <c r="S13" i="25" s="1"/>
  <c r="X13" i="25" s="1"/>
  <c r="S15" i="25" a="1"/>
  <c r="S15" i="25" s="1"/>
  <c r="U15" i="25" s="1"/>
  <c r="AF15" i="25" s="1"/>
  <c r="Q19" i="26"/>
  <c r="Q15" i="26"/>
  <c r="S72" i="28" a="1"/>
  <c r="S72" i="28" s="1"/>
  <c r="X72" i="28" s="1"/>
  <c r="S62" i="26" a="1"/>
  <c r="S62" i="26" s="1"/>
  <c r="U62" i="26" s="1"/>
  <c r="S60" i="29" a="1"/>
  <c r="S60" i="29" s="1"/>
  <c r="U60" i="29" s="1"/>
  <c r="S118" i="27" a="1"/>
  <c r="S118" i="27" s="1"/>
  <c r="X118" i="27" s="1"/>
  <c r="S27" i="29" a="1"/>
  <c r="S27" i="29" s="1"/>
  <c r="X27" i="29" s="1"/>
  <c r="Q112" i="25"/>
  <c r="Q68" i="25"/>
  <c r="S63" i="25" a="1"/>
  <c r="S63" i="25" s="1"/>
  <c r="U63" i="25" s="1"/>
  <c r="Q58" i="29"/>
  <c r="S118" i="25" a="1"/>
  <c r="S118" i="25" s="1"/>
  <c r="X118" i="25" s="1"/>
  <c r="Q15" i="29"/>
  <c r="Q105" i="29"/>
  <c r="S115" i="26" a="1"/>
  <c r="S115" i="26" s="1"/>
  <c r="X115" i="26" s="1"/>
  <c r="Q117" i="25"/>
  <c r="Q70" i="27"/>
  <c r="S118" i="29" a="1"/>
  <c r="S118" i="29" s="1"/>
  <c r="U118" i="29" s="1"/>
  <c r="S28" i="25" a="1"/>
  <c r="S28" i="25" s="1"/>
  <c r="U28" i="25" s="1"/>
  <c r="Q109" i="25"/>
  <c r="Q64" i="25"/>
  <c r="Q20" i="25"/>
  <c r="Q62" i="29"/>
  <c r="Q17" i="29"/>
  <c r="Q25" i="26"/>
  <c r="Q26" i="25"/>
  <c r="S19" i="25" a="1"/>
  <c r="S19" i="25" s="1"/>
  <c r="U19" i="25" s="1"/>
  <c r="Q23" i="29"/>
  <c r="S28" i="28" a="1"/>
  <c r="S28" i="28" s="1"/>
  <c r="U28" i="28" s="1"/>
  <c r="Q103" i="28"/>
  <c r="Q26" i="29"/>
  <c r="Q66" i="29"/>
  <c r="S103" i="25" a="1"/>
  <c r="S103" i="25" s="1"/>
  <c r="U103" i="25" s="1"/>
  <c r="Q19" i="28"/>
  <c r="Q110" i="28"/>
  <c r="Q111" i="29"/>
  <c r="Q105" i="25"/>
  <c r="S112" i="28" a="1"/>
  <c r="S112" i="28" s="1"/>
  <c r="U112" i="28" s="1"/>
  <c r="AF112" i="28" s="1"/>
  <c r="Q116" i="29"/>
  <c r="Q26" i="26"/>
  <c r="Q22" i="29"/>
  <c r="S73" i="27" a="1"/>
  <c r="S73" i="27" s="1"/>
  <c r="X73" i="27" s="1"/>
  <c r="Q21" i="29"/>
  <c r="Q113" i="29"/>
  <c r="Q70" i="29"/>
  <c r="Q62" i="25"/>
  <c r="S17" i="26" a="1"/>
  <c r="S17" i="26" s="1"/>
  <c r="U17" i="26" s="1"/>
  <c r="AF17" i="26" s="1"/>
  <c r="S71" i="25" a="1"/>
  <c r="S71" i="25" s="1"/>
  <c r="U71" i="25" s="1"/>
  <c r="AF71" i="25" s="1"/>
  <c r="Q21" i="25"/>
  <c r="Q67" i="25"/>
  <c r="Q58" i="28"/>
  <c r="S103" i="27" a="1"/>
  <c r="S103" i="27" s="1"/>
  <c r="X103" i="27" s="1"/>
  <c r="Q66" i="28"/>
  <c r="R66" i="28" s="1"/>
  <c r="Q108" i="25"/>
  <c r="Q105" i="27"/>
  <c r="S64" i="28" a="1"/>
  <c r="S64" i="28" s="1"/>
  <c r="U64" i="28" s="1"/>
  <c r="Q117" i="28"/>
  <c r="S109" i="27" a="1"/>
  <c r="S109" i="27" s="1"/>
  <c r="X109" i="27" s="1"/>
  <c r="Q18" i="28"/>
  <c r="S23" i="25" a="1"/>
  <c r="S23" i="25" s="1"/>
  <c r="X23" i="25" s="1"/>
  <c r="S67" i="26" a="1"/>
  <c r="S67" i="26" s="1"/>
  <c r="X67" i="26" s="1"/>
  <c r="Q71" i="29"/>
  <c r="S113" i="28" a="1"/>
  <c r="S113" i="28" s="1"/>
  <c r="U113" i="28" s="1"/>
  <c r="S22" i="25" a="1"/>
  <c r="S22" i="25" s="1"/>
  <c r="U22" i="25" s="1"/>
  <c r="AF22" i="25" s="1"/>
  <c r="Q25" i="29"/>
  <c r="Q20" i="29"/>
  <c r="S109" i="26" a="1"/>
  <c r="S109" i="26" s="1"/>
  <c r="U109" i="26" s="1"/>
  <c r="S116" i="28" a="1"/>
  <c r="S116" i="28" s="1"/>
  <c r="U116" i="28" s="1"/>
  <c r="Q20" i="27"/>
  <c r="Q103" i="29"/>
  <c r="Q22" i="27"/>
  <c r="Q71" i="26"/>
  <c r="Q112" i="26"/>
  <c r="Q113" i="27"/>
  <c r="S107" i="25" a="1"/>
  <c r="S107" i="25" s="1"/>
  <c r="U107" i="25" s="1"/>
  <c r="Q67" i="27"/>
  <c r="Q65" i="28"/>
  <c r="Q15" i="27"/>
  <c r="Q26" i="28"/>
  <c r="Q73" i="26"/>
  <c r="Q70" i="28"/>
  <c r="Q111" i="28"/>
  <c r="Q25" i="27"/>
  <c r="Q73" i="25"/>
  <c r="S71" i="27" a="1"/>
  <c r="S71" i="27" s="1"/>
  <c r="U71" i="27" s="1"/>
  <c r="AF71" i="27" s="1"/>
  <c r="S68" i="27" a="1"/>
  <c r="S68" i="27" s="1"/>
  <c r="X68" i="27" s="1"/>
  <c r="S64" i="26" a="1"/>
  <c r="S64" i="26" s="1"/>
  <c r="U64" i="26" s="1"/>
  <c r="Q19" i="27"/>
  <c r="Q28" i="29"/>
  <c r="Q27" i="26"/>
  <c r="S58" i="26" a="1"/>
  <c r="S58" i="26" s="1"/>
  <c r="U58" i="26" s="1"/>
  <c r="AF58" i="26" s="1"/>
  <c r="S109" i="29" a="1"/>
  <c r="S109" i="29" s="1"/>
  <c r="U109" i="29" s="1"/>
  <c r="AF109" i="29" s="1"/>
  <c r="S113" i="25" a="1"/>
  <c r="S113" i="25" s="1"/>
  <c r="U113" i="25" s="1"/>
  <c r="Q65" i="26"/>
  <c r="Q63" i="26"/>
  <c r="Q73" i="28"/>
  <c r="Q21" i="28"/>
  <c r="Q68" i="29"/>
  <c r="Q67" i="28"/>
  <c r="Q110" i="29"/>
  <c r="S64" i="29" a="1"/>
  <c r="S64" i="29" s="1"/>
  <c r="X64" i="29" s="1"/>
  <c r="S65" i="29" a="1"/>
  <c r="S65" i="29" s="1"/>
  <c r="X65" i="29" s="1"/>
  <c r="Q107" i="28"/>
  <c r="S21" i="27" a="1"/>
  <c r="S21" i="27" s="1"/>
  <c r="U21" i="27" s="1"/>
  <c r="S18" i="29" a="1"/>
  <c r="S18" i="29" s="1"/>
  <c r="U18" i="29" s="1"/>
  <c r="AF18" i="29" s="1"/>
  <c r="Q110" i="25"/>
  <c r="Q17" i="25"/>
  <c r="S18" i="26" a="1"/>
  <c r="S18" i="26" s="1"/>
  <c r="U18" i="26" s="1"/>
  <c r="AF18" i="26" s="1"/>
  <c r="S72" i="25" a="1"/>
  <c r="S72" i="25" s="1"/>
  <c r="X72" i="25" s="1"/>
  <c r="Q115" i="28"/>
  <c r="R115" i="28" s="1"/>
  <c r="Q65" i="25"/>
  <c r="Q26" i="27"/>
  <c r="S105" i="28" a="1"/>
  <c r="S105" i="28" s="1"/>
  <c r="U105" i="28" s="1"/>
  <c r="Q108" i="29"/>
  <c r="S70" i="25" a="1"/>
  <c r="S70" i="25" s="1"/>
  <c r="X70" i="25" s="1"/>
  <c r="Q60" i="25"/>
  <c r="Q117" i="27"/>
  <c r="Q23" i="26"/>
  <c r="S23" i="27" a="1"/>
  <c r="S23" i="27" s="1"/>
  <c r="U23" i="27" s="1"/>
  <c r="Q108" i="28"/>
  <c r="R108" i="28" s="1"/>
  <c r="Q118" i="28"/>
  <c r="Q60" i="28"/>
  <c r="S115" i="27" a="1"/>
  <c r="S115" i="27" s="1"/>
  <c r="U115" i="27" s="1"/>
  <c r="S27" i="25" a="1"/>
  <c r="S27" i="25" s="1"/>
  <c r="U27" i="25" s="1"/>
  <c r="AF27" i="25" s="1"/>
  <c r="Q115" i="29"/>
  <c r="S109" i="28" a="1"/>
  <c r="S109" i="28" s="1"/>
  <c r="U109" i="28" s="1"/>
  <c r="S22" i="26" a="1"/>
  <c r="S22" i="26" s="1"/>
  <c r="X22" i="26" s="1"/>
  <c r="Q60" i="27"/>
  <c r="S116" i="27" a="1"/>
  <c r="S116" i="27" s="1"/>
  <c r="X116" i="27" s="1"/>
  <c r="S62" i="27" a="1"/>
  <c r="S62" i="27" s="1"/>
  <c r="U62" i="27" s="1"/>
  <c r="Q20" i="28"/>
  <c r="Q116" i="25"/>
  <c r="Q103" i="26"/>
  <c r="S66" i="27" a="1"/>
  <c r="S66" i="27" s="1"/>
  <c r="X66" i="27" s="1"/>
  <c r="Q105" i="26"/>
  <c r="Q110" i="26"/>
  <c r="Q28" i="26"/>
  <c r="Q15" i="28"/>
  <c r="Q18" i="25"/>
  <c r="Q66" i="26"/>
  <c r="AF66" i="26" s="1"/>
  <c r="Q65" i="27"/>
  <c r="Q107" i="26"/>
  <c r="S63" i="27" a="1"/>
  <c r="S63" i="27" s="1"/>
  <c r="X63" i="27" s="1"/>
  <c r="Q68" i="26"/>
  <c r="S58" i="27" a="1"/>
  <c r="S58" i="27" s="1"/>
  <c r="U58" i="27" s="1"/>
  <c r="AF58" i="27" s="1"/>
  <c r="Q63" i="28"/>
  <c r="S13" i="26" a="1"/>
  <c r="S13" i="26" s="1"/>
  <c r="U13" i="26" s="1"/>
  <c r="AF13" i="26" s="1"/>
  <c r="AA114" i="25"/>
  <c r="AB114" i="25" s="1"/>
  <c r="V67" i="29"/>
  <c r="X66" i="28"/>
  <c r="U66" i="28"/>
  <c r="U67" i="27"/>
  <c r="X67" i="27"/>
  <c r="U70" i="28"/>
  <c r="X70" i="28"/>
  <c r="X26" i="29"/>
  <c r="U26" i="29"/>
  <c r="U105" i="25"/>
  <c r="X105" i="25"/>
  <c r="U27" i="26"/>
  <c r="X27" i="26"/>
  <c r="U118" i="26"/>
  <c r="X118" i="26"/>
  <c r="R17" i="28"/>
  <c r="R116" i="26"/>
  <c r="R13" i="29"/>
  <c r="R19" i="29"/>
  <c r="U15" i="28"/>
  <c r="X15" i="28"/>
  <c r="R118" i="29"/>
  <c r="R116" i="28"/>
  <c r="U18" i="25"/>
  <c r="X18" i="25"/>
  <c r="X73" i="29"/>
  <c r="U73" i="29"/>
  <c r="X111" i="29"/>
  <c r="U111" i="29"/>
  <c r="U22" i="29"/>
  <c r="X22" i="29"/>
  <c r="R20" i="26"/>
  <c r="R118" i="26"/>
  <c r="X60" i="26"/>
  <c r="U60" i="26"/>
  <c r="X17" i="29"/>
  <c r="U17" i="29"/>
  <c r="U72" i="26"/>
  <c r="X72" i="26"/>
  <c r="R111" i="27"/>
  <c r="R113" i="26"/>
  <c r="U72" i="27"/>
  <c r="X72" i="27"/>
  <c r="R110" i="27"/>
  <c r="U116" i="26"/>
  <c r="X116" i="26"/>
  <c r="R25" i="25"/>
  <c r="U66" i="26"/>
  <c r="X66" i="26"/>
  <c r="U65" i="27"/>
  <c r="X65" i="27"/>
  <c r="U107" i="26"/>
  <c r="X107" i="26"/>
  <c r="R116" i="27"/>
  <c r="R63" i="27"/>
  <c r="R62" i="27"/>
  <c r="X68" i="26"/>
  <c r="U68" i="26"/>
  <c r="U20" i="28"/>
  <c r="X20" i="28"/>
  <c r="R58" i="27"/>
  <c r="U18" i="28"/>
  <c r="X18" i="28"/>
  <c r="R113" i="28"/>
  <c r="U117" i="28"/>
  <c r="X117" i="28"/>
  <c r="U19" i="29"/>
  <c r="AF19" i="29" s="1"/>
  <c r="U63" i="28"/>
  <c r="X63" i="28"/>
  <c r="R112" i="28"/>
  <c r="R15" i="25"/>
  <c r="R118" i="25"/>
  <c r="U116" i="25"/>
  <c r="X116" i="25"/>
  <c r="R107" i="25"/>
  <c r="R13" i="26"/>
  <c r="R108" i="26"/>
  <c r="U103" i="26"/>
  <c r="X103" i="26"/>
  <c r="R66" i="27"/>
  <c r="U105" i="26"/>
  <c r="X105" i="26"/>
  <c r="U110" i="26"/>
  <c r="X110" i="26"/>
  <c r="U28" i="26"/>
  <c r="X28" i="26"/>
  <c r="U62" i="29"/>
  <c r="X62" i="29"/>
  <c r="U73" i="26"/>
  <c r="X73" i="26"/>
  <c r="R27" i="28"/>
  <c r="R25" i="28"/>
  <c r="R63" i="29"/>
  <c r="U65" i="28"/>
  <c r="X65" i="28"/>
  <c r="X21" i="29"/>
  <c r="U21" i="29"/>
  <c r="U115" i="25"/>
  <c r="X115" i="25"/>
  <c r="U108" i="25"/>
  <c r="X108" i="25"/>
  <c r="R17" i="26"/>
  <c r="R111" i="25"/>
  <c r="U113" i="26"/>
  <c r="AF113" i="26" s="1"/>
  <c r="X113" i="26"/>
  <c r="V12" i="29"/>
  <c r="U111" i="26"/>
  <c r="X111" i="26"/>
  <c r="R64" i="27"/>
  <c r="X68" i="28"/>
  <c r="U68" i="28"/>
  <c r="R118" i="27"/>
  <c r="R27" i="29"/>
  <c r="R72" i="28"/>
  <c r="U112" i="25"/>
  <c r="X112" i="25"/>
  <c r="R73" i="27"/>
  <c r="U68" i="25"/>
  <c r="X68" i="25"/>
  <c r="R70" i="26"/>
  <c r="R107" i="29"/>
  <c r="R62" i="26"/>
  <c r="U28" i="27"/>
  <c r="X28" i="27"/>
  <c r="U71" i="28"/>
  <c r="X71" i="28"/>
  <c r="R22" i="25"/>
  <c r="R109" i="29"/>
  <c r="R113" i="29"/>
  <c r="X117" i="29"/>
  <c r="U117" i="29"/>
  <c r="R64" i="26"/>
  <c r="U21" i="25"/>
  <c r="X21" i="25"/>
  <c r="U19" i="27"/>
  <c r="X19" i="27"/>
  <c r="U28" i="29"/>
  <c r="X28" i="29"/>
  <c r="R66" i="25"/>
  <c r="X22" i="28"/>
  <c r="R58" i="29"/>
  <c r="U26" i="25"/>
  <c r="X26" i="25"/>
  <c r="R114" i="29"/>
  <c r="U20" i="26"/>
  <c r="X20" i="26"/>
  <c r="R60" i="26"/>
  <c r="U110" i="27"/>
  <c r="X110" i="27"/>
  <c r="U108" i="26"/>
  <c r="X108" i="26"/>
  <c r="R111" i="26"/>
  <c r="X105" i="27"/>
  <c r="U105" i="27"/>
  <c r="U64" i="27"/>
  <c r="X64" i="27"/>
  <c r="U26" i="28"/>
  <c r="X26" i="28"/>
  <c r="U20" i="27"/>
  <c r="X20" i="27"/>
  <c r="R109" i="28"/>
  <c r="R28" i="25"/>
  <c r="R109" i="26"/>
  <c r="U72" i="28"/>
  <c r="AF72" i="28" s="1"/>
  <c r="U103" i="29"/>
  <c r="X103" i="29"/>
  <c r="X25" i="26"/>
  <c r="U25" i="26"/>
  <c r="R115" i="26"/>
  <c r="U19" i="26"/>
  <c r="X19" i="26"/>
  <c r="U67" i="25"/>
  <c r="X67" i="25"/>
  <c r="U70" i="26"/>
  <c r="X70" i="26"/>
  <c r="U107" i="29"/>
  <c r="X107" i="29"/>
  <c r="R22" i="26"/>
  <c r="U15" i="27"/>
  <c r="X15" i="27"/>
  <c r="R71" i="27"/>
  <c r="U60" i="27"/>
  <c r="X60" i="27"/>
  <c r="X22" i="27"/>
  <c r="U22" i="27"/>
  <c r="R58" i="26"/>
  <c r="R71" i="28"/>
  <c r="R71" i="25"/>
  <c r="X71" i="29"/>
  <c r="U71" i="29"/>
  <c r="U58" i="25"/>
  <c r="X58" i="25"/>
  <c r="U73" i="25"/>
  <c r="X73" i="25"/>
  <c r="U19" i="28"/>
  <c r="X19" i="28"/>
  <c r="X113" i="29"/>
  <c r="U113" i="29"/>
  <c r="R13" i="25"/>
  <c r="R23" i="25"/>
  <c r="R117" i="29"/>
  <c r="U21" i="26"/>
  <c r="X21" i="26"/>
  <c r="X70" i="29"/>
  <c r="U70" i="29"/>
  <c r="X20" i="29"/>
  <c r="U20" i="29"/>
  <c r="U111" i="28"/>
  <c r="X111" i="28"/>
  <c r="U107" i="27"/>
  <c r="X107" i="27"/>
  <c r="U25" i="27"/>
  <c r="X25" i="27"/>
  <c r="U69" i="29"/>
  <c r="X69" i="29"/>
  <c r="U23" i="29"/>
  <c r="X23" i="29"/>
  <c r="U66" i="29"/>
  <c r="X66" i="29"/>
  <c r="R64" i="28"/>
  <c r="U62" i="25"/>
  <c r="X62" i="25"/>
  <c r="R73" i="29"/>
  <c r="U111" i="27"/>
  <c r="X111" i="27"/>
  <c r="R72" i="27"/>
  <c r="V104" i="28"/>
  <c r="AA16" i="27"/>
  <c r="AB16" i="27" s="1"/>
  <c r="V24" i="25"/>
  <c r="AA101" i="26"/>
  <c r="AB101" i="26" s="1"/>
  <c r="V106" i="26"/>
  <c r="AA102" i="27"/>
  <c r="AB102" i="27" s="1"/>
  <c r="V101" i="26"/>
  <c r="V102" i="27"/>
  <c r="R17" i="27"/>
  <c r="X15" i="26"/>
  <c r="U15" i="26"/>
  <c r="R117" i="25"/>
  <c r="R117" i="27"/>
  <c r="U62" i="28"/>
  <c r="X62" i="28"/>
  <c r="R25" i="29"/>
  <c r="R105" i="29"/>
  <c r="U63" i="26"/>
  <c r="X63" i="26"/>
  <c r="U21" i="28"/>
  <c r="X21" i="28"/>
  <c r="X110" i="29"/>
  <c r="U110" i="29"/>
  <c r="R21" i="27"/>
  <c r="U117" i="25"/>
  <c r="X117" i="25"/>
  <c r="U60" i="25"/>
  <c r="X60" i="25"/>
  <c r="X117" i="27"/>
  <c r="U117" i="27"/>
  <c r="R63" i="25"/>
  <c r="U23" i="26"/>
  <c r="X23" i="26"/>
  <c r="R23" i="27"/>
  <c r="U108" i="28"/>
  <c r="X108" i="28"/>
  <c r="R109" i="27"/>
  <c r="U118" i="28"/>
  <c r="X118" i="28"/>
  <c r="U60" i="28"/>
  <c r="X60" i="28"/>
  <c r="U15" i="29"/>
  <c r="X15" i="29"/>
  <c r="U13" i="28"/>
  <c r="X13" i="28"/>
  <c r="R115" i="27"/>
  <c r="R62" i="28"/>
  <c r="R19" i="25"/>
  <c r="U25" i="29"/>
  <c r="X25" i="29"/>
  <c r="X64" i="25"/>
  <c r="U64" i="25"/>
  <c r="R27" i="25"/>
  <c r="U20" i="25"/>
  <c r="X20" i="25"/>
  <c r="U115" i="29"/>
  <c r="X115" i="29"/>
  <c r="X105" i="29"/>
  <c r="U105" i="29"/>
  <c r="R67" i="26"/>
  <c r="R103" i="25"/>
  <c r="X113" i="27"/>
  <c r="U113" i="27"/>
  <c r="R113" i="25"/>
  <c r="U65" i="26"/>
  <c r="X65" i="26"/>
  <c r="U73" i="28"/>
  <c r="X73" i="28"/>
  <c r="U68" i="29"/>
  <c r="X68" i="29"/>
  <c r="U67" i="28"/>
  <c r="X67" i="28"/>
  <c r="R64" i="29"/>
  <c r="R65" i="29"/>
  <c r="U107" i="28"/>
  <c r="X107" i="28"/>
  <c r="R18" i="29"/>
  <c r="U110" i="25"/>
  <c r="X110" i="25"/>
  <c r="U17" i="25"/>
  <c r="X17" i="25"/>
  <c r="R18" i="26"/>
  <c r="R72" i="25"/>
  <c r="U115" i="28"/>
  <c r="X115" i="28"/>
  <c r="U65" i="25"/>
  <c r="X65" i="25"/>
  <c r="U26" i="27"/>
  <c r="X26" i="27"/>
  <c r="R105" i="28"/>
  <c r="U109" i="25"/>
  <c r="X109" i="25"/>
  <c r="X108" i="29"/>
  <c r="U108" i="29"/>
  <c r="R70" i="25"/>
  <c r="AA14" i="27"/>
  <c r="AB14" i="27" s="1"/>
  <c r="R60" i="29"/>
  <c r="R107" i="27"/>
  <c r="U27" i="28"/>
  <c r="X27" i="28"/>
  <c r="X25" i="28"/>
  <c r="R69" i="29"/>
  <c r="R72" i="29"/>
  <c r="U66" i="25"/>
  <c r="AF66" i="25" s="1"/>
  <c r="X66" i="25"/>
  <c r="R112" i="27"/>
  <c r="R22" i="28"/>
  <c r="R66" i="29"/>
  <c r="U58" i="28"/>
  <c r="X58" i="28"/>
  <c r="U58" i="29"/>
  <c r="X58" i="29"/>
  <c r="X114" i="29"/>
  <c r="U114" i="29"/>
  <c r="U112" i="26"/>
  <c r="X112" i="26"/>
  <c r="R70" i="27"/>
  <c r="U18" i="27"/>
  <c r="X18" i="27"/>
  <c r="U27" i="27"/>
  <c r="AF27" i="27" s="1"/>
  <c r="R13" i="27"/>
  <c r="U108" i="27"/>
  <c r="AF108" i="27" s="1"/>
  <c r="X108" i="27"/>
  <c r="U23" i="28"/>
  <c r="X23" i="28"/>
  <c r="R117" i="26"/>
  <c r="X72" i="29"/>
  <c r="U72" i="29"/>
  <c r="U26" i="26"/>
  <c r="X26" i="26"/>
  <c r="U70" i="27"/>
  <c r="X70" i="27"/>
  <c r="R18" i="27"/>
  <c r="R27" i="27"/>
  <c r="U71" i="26"/>
  <c r="X71" i="26"/>
  <c r="U116" i="29"/>
  <c r="X116" i="29"/>
  <c r="R28" i="28"/>
  <c r="R108" i="27"/>
  <c r="U103" i="28"/>
  <c r="X103" i="28"/>
  <c r="U110" i="28"/>
  <c r="X110" i="28"/>
  <c r="R103" i="27"/>
  <c r="U117" i="26"/>
  <c r="AF117" i="26" s="1"/>
  <c r="X117" i="26"/>
  <c r="R68" i="27"/>
  <c r="AA101" i="29"/>
  <c r="AB101" i="29" s="1"/>
  <c r="V101" i="29"/>
  <c r="V112" i="29"/>
  <c r="AA112" i="29"/>
  <c r="AB112" i="29" s="1"/>
  <c r="V59" i="26"/>
  <c r="AK4" i="27"/>
  <c r="AA61" i="26"/>
  <c r="AB61" i="26" s="1"/>
  <c r="AK49" i="26" s="1"/>
  <c r="V61" i="26"/>
  <c r="V61" i="27"/>
  <c r="V12" i="25"/>
  <c r="V101" i="25"/>
  <c r="AA14" i="26"/>
  <c r="AB14" i="26" s="1"/>
  <c r="V14" i="26"/>
  <c r="V61" i="29"/>
  <c r="AA61" i="29"/>
  <c r="AB61" i="29" s="1"/>
  <c r="AK49" i="29" s="1"/>
  <c r="V16" i="25"/>
  <c r="AA16" i="25"/>
  <c r="AB16" i="25" s="1"/>
  <c r="AK4" i="25" s="1"/>
  <c r="V11" i="25"/>
  <c r="AA102" i="28"/>
  <c r="AB102" i="28" s="1"/>
  <c r="V102" i="28"/>
  <c r="V61" i="25"/>
  <c r="AA102" i="29"/>
  <c r="AB102" i="29" s="1"/>
  <c r="V102" i="29"/>
  <c r="V104" i="29"/>
  <c r="V106" i="28"/>
  <c r="V102" i="26"/>
  <c r="AA102" i="26"/>
  <c r="AB102" i="26" s="1"/>
  <c r="AA114" i="28"/>
  <c r="AB114" i="28" s="1"/>
  <c r="V114" i="28"/>
  <c r="V56" i="29"/>
  <c r="AA56" i="29"/>
  <c r="AB56" i="29" s="1"/>
  <c r="AA56" i="27"/>
  <c r="AB56" i="27" s="1"/>
  <c r="V56" i="27"/>
  <c r="V14" i="27"/>
  <c r="V104" i="27"/>
  <c r="AA104" i="27"/>
  <c r="AB104" i="27" s="1"/>
  <c r="AK104" i="27" s="1"/>
  <c r="AA106" i="29"/>
  <c r="AB106" i="29" s="1"/>
  <c r="AK94" i="29" s="1"/>
  <c r="V106" i="29"/>
  <c r="V56" i="28"/>
  <c r="V59" i="27"/>
  <c r="AA59" i="27"/>
  <c r="AB59" i="27" s="1"/>
  <c r="AK59" i="27" s="1"/>
  <c r="V14" i="29"/>
  <c r="AA14" i="29"/>
  <c r="AB14" i="29" s="1"/>
  <c r="V59" i="25"/>
  <c r="AA14" i="28"/>
  <c r="AB14" i="28" s="1"/>
  <c r="V14" i="28"/>
  <c r="V59" i="29"/>
  <c r="V11" i="26"/>
  <c r="V104" i="25"/>
  <c r="AA16" i="29"/>
  <c r="AB16" i="29" s="1"/>
  <c r="AK4" i="29" s="1"/>
  <c r="V16" i="29"/>
  <c r="V114" i="26"/>
  <c r="AA12" i="26"/>
  <c r="AB12" i="26" s="1"/>
  <c r="V12" i="26"/>
  <c r="V57" i="28"/>
  <c r="V102" i="25"/>
  <c r="V57" i="25"/>
  <c r="V12" i="27"/>
  <c r="V24" i="28"/>
  <c r="AA24" i="28"/>
  <c r="AB24" i="28" s="1"/>
  <c r="AK5" i="28" s="1"/>
  <c r="AA14" i="25"/>
  <c r="AB14" i="25" s="1"/>
  <c r="V14" i="25"/>
  <c r="V69" i="25"/>
  <c r="AA69" i="25"/>
  <c r="AB69" i="25" s="1"/>
  <c r="V61" i="28"/>
  <c r="V69" i="27"/>
  <c r="AA69" i="27"/>
  <c r="AB69" i="27" s="1"/>
  <c r="V12" i="28"/>
  <c r="V114" i="25"/>
  <c r="V11" i="27"/>
  <c r="V24" i="27"/>
  <c r="AA24" i="27"/>
  <c r="AB24" i="27" s="1"/>
  <c r="AK5" i="27" s="1"/>
  <c r="V106" i="25"/>
  <c r="V69" i="26"/>
  <c r="AA69" i="26"/>
  <c r="AB69" i="26" s="1"/>
  <c r="AA56" i="26"/>
  <c r="AB56" i="26" s="1"/>
  <c r="V56" i="26"/>
  <c r="V16" i="28"/>
  <c r="AA16" i="28"/>
  <c r="AB16" i="28" s="1"/>
  <c r="V56" i="25"/>
  <c r="V69" i="28"/>
  <c r="V57" i="26"/>
  <c r="V16" i="27"/>
  <c r="AA24" i="25"/>
  <c r="AB24" i="25" s="1"/>
  <c r="V101" i="27"/>
  <c r="AA101" i="27"/>
  <c r="AB101" i="27" s="1"/>
  <c r="AA57" i="27"/>
  <c r="AB57" i="27" s="1"/>
  <c r="V57" i="27"/>
  <c r="AA59" i="28"/>
  <c r="AB59" i="28" s="1"/>
  <c r="AK59" i="28" s="1"/>
  <c r="V59" i="28"/>
  <c r="AA16" i="26"/>
  <c r="AB16" i="26" s="1"/>
  <c r="AK4" i="26" s="1"/>
  <c r="V16" i="26"/>
  <c r="V106" i="27"/>
  <c r="V101" i="28"/>
  <c r="AA24" i="29"/>
  <c r="AB24" i="29" s="1"/>
  <c r="V24" i="29"/>
  <c r="AA106" i="26"/>
  <c r="AB106" i="26" s="1"/>
  <c r="AK94" i="26" s="1"/>
  <c r="V57" i="29"/>
  <c r="AA57" i="29"/>
  <c r="AB57" i="29" s="1"/>
  <c r="V104" i="26"/>
  <c r="AA104" i="26"/>
  <c r="AB104" i="26" s="1"/>
  <c r="AK104" i="26" s="1"/>
  <c r="V11" i="29"/>
  <c r="V24" i="26"/>
  <c r="AA24" i="26"/>
  <c r="AB24" i="26" s="1"/>
  <c r="V11" i="28"/>
  <c r="AK27" i="21"/>
  <c r="AK28" i="21"/>
  <c r="AK21" i="21"/>
  <c r="AK18" i="21"/>
  <c r="AK24" i="21"/>
  <c r="AK23" i="21"/>
  <c r="AK12" i="21"/>
  <c r="AK4" i="21"/>
  <c r="AK8" i="21"/>
  <c r="AK20" i="21"/>
  <c r="AK6" i="21"/>
  <c r="AK15" i="21"/>
  <c r="AK9" i="21"/>
  <c r="AK25" i="21"/>
  <c r="AK11" i="21"/>
  <c r="AK14" i="21"/>
  <c r="AK26" i="21"/>
  <c r="AK13" i="21"/>
  <c r="AK19" i="21"/>
  <c r="AK17" i="21"/>
  <c r="AK16" i="21"/>
  <c r="AK10" i="21"/>
  <c r="AK7" i="21"/>
  <c r="AK22" i="21"/>
  <c r="I777" i="1"/>
  <c r="I673" i="1"/>
  <c r="I725" i="1"/>
  <c r="F386" i="1"/>
  <c r="F394" i="1" s="1"/>
  <c r="F399" i="1" s="1"/>
  <c r="G369" i="1"/>
  <c r="H369" i="1" s="1"/>
  <c r="F377" i="1"/>
  <c r="F385" i="1"/>
  <c r="G377" i="1"/>
  <c r="G385" i="1"/>
  <c r="F189" i="1"/>
  <c r="F197" i="1" s="1"/>
  <c r="F202" i="1" s="1"/>
  <c r="F443" i="1"/>
  <c r="F448" i="1" s="1"/>
  <c r="G172" i="1"/>
  <c r="G181" i="1" s="1"/>
  <c r="F387" i="1"/>
  <c r="G387" i="1"/>
  <c r="G395" i="1" s="1"/>
  <c r="G400" i="1" s="1"/>
  <c r="F379" i="1"/>
  <c r="H370" i="1"/>
  <c r="H387" i="1" s="1"/>
  <c r="F436" i="1"/>
  <c r="F428" i="1"/>
  <c r="G419" i="1"/>
  <c r="F426" i="1"/>
  <c r="F434" i="1"/>
  <c r="G417" i="1"/>
  <c r="H418" i="1"/>
  <c r="G427" i="1"/>
  <c r="G435" i="1"/>
  <c r="H377" i="1"/>
  <c r="H385" i="1"/>
  <c r="E443" i="1"/>
  <c r="E448" i="1" s="1"/>
  <c r="F238" i="1"/>
  <c r="G238" i="1"/>
  <c r="F230" i="1"/>
  <c r="G230" i="1"/>
  <c r="E198" i="1"/>
  <c r="E203" i="1" s="1"/>
  <c r="G171" i="1"/>
  <c r="F180" i="1"/>
  <c r="F188" i="1"/>
  <c r="F198" i="1"/>
  <c r="F203" i="1" s="1"/>
  <c r="F239" i="1"/>
  <c r="G222" i="1"/>
  <c r="F231" i="1"/>
  <c r="F237" i="1"/>
  <c r="F229" i="1"/>
  <c r="G220" i="1"/>
  <c r="H173" i="1"/>
  <c r="G190" i="1"/>
  <c r="G182" i="1"/>
  <c r="H230" i="1"/>
  <c r="H238" i="1"/>
  <c r="U64" i="29" l="1"/>
  <c r="X13" i="29"/>
  <c r="AA13" i="29" s="1"/>
  <c r="AB13" i="29" s="1"/>
  <c r="AF117" i="28"/>
  <c r="X17" i="28"/>
  <c r="AF105" i="26"/>
  <c r="X111" i="25"/>
  <c r="AA111" i="25" s="1"/>
  <c r="AB111" i="25" s="1"/>
  <c r="AK96" i="25" s="1"/>
  <c r="AF73" i="25"/>
  <c r="R156" i="29"/>
  <c r="AF103" i="29"/>
  <c r="AF108" i="29"/>
  <c r="X63" i="29"/>
  <c r="AF68" i="29"/>
  <c r="AF69" i="29"/>
  <c r="AF66" i="29"/>
  <c r="AF23" i="28"/>
  <c r="AF20" i="28"/>
  <c r="AF18" i="28"/>
  <c r="AF19" i="28"/>
  <c r="AF67" i="27"/>
  <c r="X109" i="26"/>
  <c r="AF63" i="26"/>
  <c r="AF19" i="26"/>
  <c r="AF116" i="25"/>
  <c r="AF67" i="25"/>
  <c r="AF20" i="25"/>
  <c r="AF17" i="25"/>
  <c r="Z115" i="29"/>
  <c r="AD115" i="29"/>
  <c r="AE115" i="29"/>
  <c r="AF107" i="29"/>
  <c r="Z110" i="29"/>
  <c r="AD110" i="29"/>
  <c r="AE110" i="29"/>
  <c r="Z107" i="29"/>
  <c r="AA107" i="29" s="1"/>
  <c r="AB107" i="29" s="1"/>
  <c r="AK97" i="29" s="1"/>
  <c r="AE107" i="29"/>
  <c r="AD107" i="29"/>
  <c r="Z117" i="29"/>
  <c r="AE117" i="29"/>
  <c r="AD117" i="29"/>
  <c r="AF117" i="29"/>
  <c r="Z118" i="29"/>
  <c r="AE118" i="29"/>
  <c r="AD118" i="29"/>
  <c r="Z114" i="29"/>
  <c r="AE114" i="29"/>
  <c r="AD114" i="29"/>
  <c r="Z108" i="29"/>
  <c r="AD108" i="29"/>
  <c r="AE108" i="29"/>
  <c r="Z113" i="29"/>
  <c r="AA113" i="29" s="1"/>
  <c r="AB113" i="29" s="1"/>
  <c r="AE113" i="29"/>
  <c r="AD113" i="29"/>
  <c r="X118" i="29"/>
  <c r="AF116" i="29"/>
  <c r="Z116" i="29"/>
  <c r="AE116" i="29"/>
  <c r="AD116" i="29"/>
  <c r="AF105" i="29"/>
  <c r="AF118" i="29"/>
  <c r="Z103" i="29"/>
  <c r="AE103" i="29"/>
  <c r="AD103" i="29"/>
  <c r="AF115" i="29"/>
  <c r="Z105" i="29"/>
  <c r="AE105" i="29"/>
  <c r="AD105" i="29"/>
  <c r="AF110" i="29"/>
  <c r="Z109" i="29"/>
  <c r="AE109" i="29"/>
  <c r="AD109" i="29"/>
  <c r="AF113" i="29"/>
  <c r="AF111" i="29"/>
  <c r="Z111" i="29"/>
  <c r="AD111" i="29"/>
  <c r="AE111" i="29"/>
  <c r="AF114" i="29"/>
  <c r="Z64" i="29"/>
  <c r="AD64" i="29"/>
  <c r="AE64" i="29"/>
  <c r="Z73" i="29"/>
  <c r="AD73" i="29"/>
  <c r="AE73" i="29"/>
  <c r="Z68" i="29"/>
  <c r="AE68" i="29"/>
  <c r="AD68" i="29"/>
  <c r="Z69" i="29"/>
  <c r="AD69" i="29"/>
  <c r="AE69" i="29"/>
  <c r="Z71" i="29"/>
  <c r="AD71" i="29"/>
  <c r="AE71" i="29"/>
  <c r="R62" i="29"/>
  <c r="V62" i="29" s="1"/>
  <c r="AF62" i="29"/>
  <c r="Z72" i="29"/>
  <c r="AE72" i="29"/>
  <c r="AD72" i="29"/>
  <c r="Z70" i="29"/>
  <c r="AE70" i="29"/>
  <c r="AD70" i="29"/>
  <c r="AF71" i="29"/>
  <c r="Z58" i="29"/>
  <c r="AE58" i="29"/>
  <c r="AD58" i="29"/>
  <c r="AF70" i="29"/>
  <c r="Z60" i="29"/>
  <c r="AD60" i="29"/>
  <c r="AE60" i="29"/>
  <c r="AF64" i="29"/>
  <c r="AF60" i="29"/>
  <c r="AF72" i="29"/>
  <c r="Z63" i="29"/>
  <c r="AE63" i="29"/>
  <c r="AD63" i="29"/>
  <c r="U65" i="29"/>
  <c r="V65" i="29" s="1"/>
  <c r="Z66" i="29"/>
  <c r="AD66" i="29"/>
  <c r="AE66" i="29"/>
  <c r="Z62" i="29"/>
  <c r="AE62" i="29"/>
  <c r="AD62" i="29"/>
  <c r="AF58" i="29"/>
  <c r="AF73" i="29"/>
  <c r="Z13" i="29"/>
  <c r="AE13" i="29"/>
  <c r="AD13" i="29"/>
  <c r="AF13" i="29"/>
  <c r="Z15" i="29"/>
  <c r="AE15" i="29"/>
  <c r="AD15" i="29"/>
  <c r="Z17" i="29"/>
  <c r="AD17" i="29"/>
  <c r="AE17" i="29"/>
  <c r="AF15" i="29"/>
  <c r="Z25" i="29"/>
  <c r="AD25" i="29"/>
  <c r="AE25" i="29"/>
  <c r="Z22" i="29"/>
  <c r="AE22" i="29"/>
  <c r="AD22" i="29"/>
  <c r="R23" i="29"/>
  <c r="AF23" i="29"/>
  <c r="AF21" i="29"/>
  <c r="Z23" i="29"/>
  <c r="AE23" i="29"/>
  <c r="AD23" i="29"/>
  <c r="AF20" i="29"/>
  <c r="Z20" i="29"/>
  <c r="AE20" i="29"/>
  <c r="AD20" i="29"/>
  <c r="Z18" i="29"/>
  <c r="AE18" i="29"/>
  <c r="AD18" i="29"/>
  <c r="R28" i="29"/>
  <c r="V28" i="29" s="1"/>
  <c r="AF28" i="29"/>
  <c r="AF25" i="29"/>
  <c r="R22" i="29"/>
  <c r="AF22" i="29"/>
  <c r="AF17" i="29"/>
  <c r="Z28" i="29"/>
  <c r="AD28" i="29"/>
  <c r="AE28" i="29"/>
  <c r="Z19" i="29"/>
  <c r="AE19" i="29"/>
  <c r="AD19" i="29"/>
  <c r="AF26" i="29"/>
  <c r="Z21" i="29"/>
  <c r="AE21" i="29"/>
  <c r="AD21" i="29"/>
  <c r="Z26" i="29"/>
  <c r="AE26" i="29"/>
  <c r="AD26" i="29"/>
  <c r="AF111" i="28"/>
  <c r="AF118" i="28"/>
  <c r="Z105" i="28"/>
  <c r="AE105" i="28"/>
  <c r="AD105" i="28"/>
  <c r="Z118" i="28"/>
  <c r="AE118" i="28"/>
  <c r="AD118" i="28"/>
  <c r="Z115" i="28"/>
  <c r="AD115" i="28"/>
  <c r="AE115" i="28"/>
  <c r="AF108" i="28"/>
  <c r="Z110" i="28"/>
  <c r="AE110" i="28"/>
  <c r="AD110" i="28"/>
  <c r="Z107" i="28"/>
  <c r="AD107" i="28"/>
  <c r="AE107" i="28"/>
  <c r="Z108" i="28"/>
  <c r="AD108" i="28"/>
  <c r="AE108" i="28"/>
  <c r="AF107" i="28"/>
  <c r="Z113" i="28"/>
  <c r="AD113" i="28"/>
  <c r="AE113" i="28"/>
  <c r="Z109" i="28"/>
  <c r="AD109" i="28"/>
  <c r="AE109" i="28"/>
  <c r="AF115" i="28"/>
  <c r="Z112" i="28"/>
  <c r="AE112" i="28"/>
  <c r="AD112" i="28"/>
  <c r="AF103" i="28"/>
  <c r="Z103" i="28"/>
  <c r="AE103" i="28"/>
  <c r="AD103" i="28"/>
  <c r="X112" i="28"/>
  <c r="Z117" i="28"/>
  <c r="AE117" i="28"/>
  <c r="AD117" i="28"/>
  <c r="AF113" i="28"/>
  <c r="Z111" i="28"/>
  <c r="AD111" i="28"/>
  <c r="AE111" i="28"/>
  <c r="Z116" i="28"/>
  <c r="AE116" i="28"/>
  <c r="AD116" i="28"/>
  <c r="AF116" i="28"/>
  <c r="AF109" i="28"/>
  <c r="R110" i="28"/>
  <c r="V110" i="28" s="1"/>
  <c r="AF110" i="28"/>
  <c r="AF105" i="28"/>
  <c r="Z67" i="28"/>
  <c r="AD67" i="28"/>
  <c r="AE67" i="28"/>
  <c r="Z68" i="28"/>
  <c r="AE68" i="28"/>
  <c r="AD68" i="28"/>
  <c r="Z62" i="28"/>
  <c r="AD62" i="28"/>
  <c r="AE62" i="28"/>
  <c r="Z71" i="28"/>
  <c r="AE71" i="28"/>
  <c r="AD71" i="28"/>
  <c r="Z65" i="28"/>
  <c r="AD65" i="28"/>
  <c r="AE65" i="28"/>
  <c r="Z70" i="28"/>
  <c r="AE70" i="28"/>
  <c r="AD70" i="28"/>
  <c r="AF67" i="28"/>
  <c r="AF58" i="28"/>
  <c r="AF63" i="28"/>
  <c r="R60" i="28"/>
  <c r="AF60" i="28"/>
  <c r="Z63" i="28"/>
  <c r="AE63" i="28"/>
  <c r="AD63" i="28"/>
  <c r="AF70" i="28"/>
  <c r="AF68" i="28"/>
  <c r="Z73" i="28"/>
  <c r="AE73" i="28"/>
  <c r="AD73" i="28"/>
  <c r="Z66" i="28"/>
  <c r="AE66" i="28"/>
  <c r="AD66" i="28"/>
  <c r="AF73" i="28"/>
  <c r="Z64" i="28"/>
  <c r="AE64" i="28"/>
  <c r="AD64" i="28"/>
  <c r="AF71" i="28"/>
  <c r="AF64" i="28"/>
  <c r="Z58" i="28"/>
  <c r="AD58" i="28"/>
  <c r="AE58" i="28"/>
  <c r="Z60" i="28"/>
  <c r="AD60" i="28"/>
  <c r="AE60" i="28"/>
  <c r="Z72" i="28"/>
  <c r="AD72" i="28"/>
  <c r="AE72" i="28"/>
  <c r="AF65" i="28"/>
  <c r="AF66" i="28"/>
  <c r="AF62" i="28"/>
  <c r="Z27" i="28"/>
  <c r="AE27" i="28"/>
  <c r="AD27" i="28"/>
  <c r="R23" i="28"/>
  <c r="V23" i="28" s="1"/>
  <c r="Z23" i="28"/>
  <c r="AD23" i="28"/>
  <c r="AE23" i="28"/>
  <c r="Z19" i="28"/>
  <c r="AE19" i="28"/>
  <c r="AD19" i="28"/>
  <c r="Z26" i="28"/>
  <c r="AE26" i="28"/>
  <c r="AD26" i="28"/>
  <c r="R19" i="28"/>
  <c r="AF26" i="28"/>
  <c r="AF13" i="28"/>
  <c r="AF27" i="28"/>
  <c r="Z15" i="28"/>
  <c r="AD15" i="28"/>
  <c r="AE15" i="28"/>
  <c r="Z25" i="28"/>
  <c r="AA25" i="28" s="1"/>
  <c r="AB25" i="28" s="1"/>
  <c r="AD25" i="28"/>
  <c r="AE25" i="28"/>
  <c r="Z20" i="28"/>
  <c r="AD20" i="28"/>
  <c r="AE20" i="28"/>
  <c r="Z28" i="28"/>
  <c r="AD28" i="28"/>
  <c r="AE28" i="28"/>
  <c r="AF25" i="28"/>
  <c r="AF28" i="28"/>
  <c r="Z21" i="28"/>
  <c r="AE21" i="28"/>
  <c r="AD21" i="28"/>
  <c r="R13" i="28"/>
  <c r="V13" i="28" s="1"/>
  <c r="Z22" i="28"/>
  <c r="AA22" i="28" s="1"/>
  <c r="AB22" i="28" s="1"/>
  <c r="AE22" i="28"/>
  <c r="AD22" i="28"/>
  <c r="Z18" i="28"/>
  <c r="AD18" i="28"/>
  <c r="AE18" i="28"/>
  <c r="AF21" i="28"/>
  <c r="Z13" i="28"/>
  <c r="AD13" i="28"/>
  <c r="AE13" i="28"/>
  <c r="Z17" i="28"/>
  <c r="AE17" i="28"/>
  <c r="AD17" i="28"/>
  <c r="R15" i="28"/>
  <c r="AF15" i="28"/>
  <c r="AK159" i="27"/>
  <c r="AK140" i="27"/>
  <c r="Z105" i="27"/>
  <c r="AE105" i="27"/>
  <c r="AD105" i="27"/>
  <c r="Z115" i="27"/>
  <c r="AE115" i="27"/>
  <c r="AD115" i="27"/>
  <c r="Z111" i="27"/>
  <c r="AD111" i="27"/>
  <c r="AE111" i="27"/>
  <c r="AF113" i="27"/>
  <c r="Z113" i="27"/>
  <c r="AE113" i="27"/>
  <c r="AD113" i="27"/>
  <c r="U116" i="27"/>
  <c r="AF105" i="27"/>
  <c r="AF111" i="27"/>
  <c r="Z108" i="27"/>
  <c r="AD108" i="27"/>
  <c r="AE108" i="27"/>
  <c r="Z117" i="27"/>
  <c r="AE117" i="27"/>
  <c r="AD117" i="27"/>
  <c r="Z107" i="27"/>
  <c r="AD107" i="27"/>
  <c r="AE107" i="27"/>
  <c r="AF107" i="27"/>
  <c r="AF115" i="27"/>
  <c r="Z110" i="27"/>
  <c r="AD110" i="27"/>
  <c r="AE110" i="27"/>
  <c r="AF117" i="27"/>
  <c r="AF110" i="27"/>
  <c r="Z62" i="27"/>
  <c r="AE62" i="27"/>
  <c r="AD62" i="27"/>
  <c r="AF60" i="27"/>
  <c r="Z70" i="27"/>
  <c r="AE70" i="27"/>
  <c r="AD70" i="27"/>
  <c r="AF62" i="27"/>
  <c r="R65" i="27"/>
  <c r="AF65" i="27"/>
  <c r="Z71" i="27"/>
  <c r="AE71" i="27"/>
  <c r="AD71" i="27"/>
  <c r="Z65" i="27"/>
  <c r="AD65" i="27"/>
  <c r="AE65" i="27"/>
  <c r="Z64" i="27"/>
  <c r="AA64" i="27" s="1"/>
  <c r="AB64" i="27" s="1"/>
  <c r="AK57" i="27" s="1"/>
  <c r="AE64" i="27"/>
  <c r="AD64" i="27"/>
  <c r="Z72" i="27"/>
  <c r="AA72" i="27" s="1"/>
  <c r="AB72" i="27" s="1"/>
  <c r="AD72" i="27"/>
  <c r="AE72" i="27"/>
  <c r="AF72" i="27"/>
  <c r="Z60" i="27"/>
  <c r="AE60" i="27"/>
  <c r="AD60" i="27"/>
  <c r="Z67" i="27"/>
  <c r="AE67" i="27"/>
  <c r="AD67" i="27"/>
  <c r="Z58" i="27"/>
  <c r="AE58" i="27"/>
  <c r="AD58" i="27"/>
  <c r="AF70" i="27"/>
  <c r="AF64" i="27"/>
  <c r="Z18" i="27"/>
  <c r="AE18" i="27"/>
  <c r="AD18" i="27"/>
  <c r="Z20" i="27"/>
  <c r="AD20" i="27"/>
  <c r="AE20" i="27"/>
  <c r="Z28" i="27"/>
  <c r="AA28" i="27" s="1"/>
  <c r="AB28" i="27" s="1"/>
  <c r="AD28" i="27"/>
  <c r="AE28" i="27"/>
  <c r="AF28" i="27"/>
  <c r="Z25" i="27"/>
  <c r="AE25" i="27"/>
  <c r="AD25" i="27"/>
  <c r="AF26" i="27"/>
  <c r="Z21" i="27"/>
  <c r="AE21" i="27"/>
  <c r="AD21" i="27"/>
  <c r="R19" i="27"/>
  <c r="AF19" i="27"/>
  <c r="AF18" i="27"/>
  <c r="Z23" i="27"/>
  <c r="AD23" i="27"/>
  <c r="AE23" i="27"/>
  <c r="AF22" i="27"/>
  <c r="AF23" i="27"/>
  <c r="Z15" i="27"/>
  <c r="AE15" i="27"/>
  <c r="AD15" i="27"/>
  <c r="Z19" i="27"/>
  <c r="AE19" i="27"/>
  <c r="AD19" i="27"/>
  <c r="AF15" i="27"/>
  <c r="AF21" i="27"/>
  <c r="AF20" i="27"/>
  <c r="Z13" i="27"/>
  <c r="AE13" i="27"/>
  <c r="AD13" i="27"/>
  <c r="Z26" i="27"/>
  <c r="AE26" i="27"/>
  <c r="AD26" i="27"/>
  <c r="Z27" i="27"/>
  <c r="AD27" i="27"/>
  <c r="AE27" i="27"/>
  <c r="Z22" i="27"/>
  <c r="AE22" i="27"/>
  <c r="AD22" i="27"/>
  <c r="AF13" i="27"/>
  <c r="R25" i="27"/>
  <c r="AF25" i="27"/>
  <c r="Z103" i="26"/>
  <c r="AE103" i="26"/>
  <c r="AD103" i="26"/>
  <c r="Z118" i="26"/>
  <c r="AA118" i="26" s="1"/>
  <c r="AB118" i="26" s="1"/>
  <c r="AD118" i="26"/>
  <c r="AE118" i="26"/>
  <c r="Z109" i="26"/>
  <c r="AD109" i="26"/>
  <c r="AE109" i="26"/>
  <c r="AF112" i="26"/>
  <c r="Z111" i="26"/>
  <c r="AD111" i="26"/>
  <c r="AE111" i="26"/>
  <c r="Z110" i="26"/>
  <c r="AE110" i="26"/>
  <c r="AD110" i="26"/>
  <c r="AF110" i="26"/>
  <c r="AD108" i="26"/>
  <c r="AE108" i="26"/>
  <c r="Z116" i="26"/>
  <c r="AD116" i="26"/>
  <c r="AE116" i="26"/>
  <c r="Z105" i="26"/>
  <c r="AE105" i="26"/>
  <c r="AD105" i="26"/>
  <c r="Z107" i="26"/>
  <c r="AE107" i="26"/>
  <c r="AD107" i="26"/>
  <c r="R107" i="26"/>
  <c r="V107" i="26" s="1"/>
  <c r="AF107" i="26"/>
  <c r="AF118" i="26"/>
  <c r="AF109" i="26"/>
  <c r="Z117" i="26"/>
  <c r="AA117" i="26" s="1"/>
  <c r="AB117" i="26" s="1"/>
  <c r="AD117" i="26"/>
  <c r="AE117" i="26"/>
  <c r="Z113" i="26"/>
  <c r="AE113" i="26"/>
  <c r="AD113" i="26"/>
  <c r="AF103" i="26"/>
  <c r="AF116" i="26"/>
  <c r="Z112" i="26"/>
  <c r="AD112" i="26"/>
  <c r="AE112" i="26"/>
  <c r="AF111" i="26"/>
  <c r="AF108" i="26"/>
  <c r="R68" i="26"/>
  <c r="V68" i="26" s="1"/>
  <c r="AF68" i="26"/>
  <c r="R73" i="26"/>
  <c r="V73" i="26" s="1"/>
  <c r="AF73" i="26"/>
  <c r="AF71" i="26"/>
  <c r="Z64" i="26"/>
  <c r="AE64" i="26"/>
  <c r="AD64" i="26"/>
  <c r="Z73" i="26"/>
  <c r="AE73" i="26"/>
  <c r="AD73" i="26"/>
  <c r="Z72" i="26"/>
  <c r="AA72" i="26" s="1"/>
  <c r="AB72" i="26" s="1"/>
  <c r="AE72" i="26"/>
  <c r="AD72" i="26"/>
  <c r="AF65" i="26"/>
  <c r="Z71" i="26"/>
  <c r="AD71" i="26"/>
  <c r="AE71" i="26"/>
  <c r="Z68" i="26"/>
  <c r="AA68" i="26" s="1"/>
  <c r="AB68" i="26" s="1"/>
  <c r="AD68" i="26"/>
  <c r="AE68" i="26"/>
  <c r="Z62" i="26"/>
  <c r="AE62" i="26"/>
  <c r="AD62" i="26"/>
  <c r="X64" i="26"/>
  <c r="AA64" i="26" s="1"/>
  <c r="AB64" i="26" s="1"/>
  <c r="AK57" i="26" s="1"/>
  <c r="Z63" i="26"/>
  <c r="AE63" i="26"/>
  <c r="AD63" i="26"/>
  <c r="Z60" i="26"/>
  <c r="AD60" i="26"/>
  <c r="AE60" i="26"/>
  <c r="Z58" i="26"/>
  <c r="AE58" i="26"/>
  <c r="AD58" i="26"/>
  <c r="AF60" i="26"/>
  <c r="Z65" i="26"/>
  <c r="AE65" i="26"/>
  <c r="AD65" i="26"/>
  <c r="U67" i="26"/>
  <c r="Z66" i="26"/>
  <c r="AE66" i="26"/>
  <c r="AD66" i="26"/>
  <c r="AF70" i="26"/>
  <c r="AF64" i="26"/>
  <c r="Z70" i="26"/>
  <c r="AD70" i="26"/>
  <c r="AE70" i="26"/>
  <c r="AF72" i="26"/>
  <c r="AF62" i="26"/>
  <c r="Z20" i="26"/>
  <c r="AA20" i="26" s="1"/>
  <c r="AB20" i="26" s="1"/>
  <c r="AE20" i="26"/>
  <c r="AD20" i="26"/>
  <c r="Z28" i="26"/>
  <c r="AD28" i="26"/>
  <c r="AE28" i="26"/>
  <c r="AF27" i="26"/>
  <c r="R15" i="26"/>
  <c r="V15" i="26" s="1"/>
  <c r="AF15" i="26"/>
  <c r="AF20" i="26"/>
  <c r="Z23" i="26"/>
  <c r="AE23" i="26"/>
  <c r="AD23" i="26"/>
  <c r="Z27" i="26"/>
  <c r="AE27" i="26"/>
  <c r="AD27" i="26"/>
  <c r="R28" i="26"/>
  <c r="V28" i="26" s="1"/>
  <c r="AF28" i="26"/>
  <c r="AF25" i="26"/>
  <c r="R26" i="26"/>
  <c r="V26" i="26" s="1"/>
  <c r="AF26" i="26"/>
  <c r="Z26" i="26"/>
  <c r="AD26" i="26"/>
  <c r="AE26" i="26"/>
  <c r="Z17" i="26"/>
  <c r="AD17" i="26"/>
  <c r="AE17" i="26"/>
  <c r="Z13" i="26"/>
  <c r="AE13" i="26"/>
  <c r="AD13" i="26"/>
  <c r="Z15" i="26"/>
  <c r="AD15" i="26"/>
  <c r="AE15" i="26"/>
  <c r="Z21" i="26"/>
  <c r="AE21" i="26"/>
  <c r="AD21" i="26"/>
  <c r="AF23" i="26"/>
  <c r="AF21" i="26"/>
  <c r="Z19" i="26"/>
  <c r="AD19" i="26"/>
  <c r="AE19" i="26"/>
  <c r="Z25" i="26"/>
  <c r="AD25" i="26"/>
  <c r="AE25" i="26"/>
  <c r="Z18" i="26"/>
  <c r="AD18" i="26"/>
  <c r="AE18" i="26"/>
  <c r="Z115" i="25"/>
  <c r="AD115" i="25"/>
  <c r="AE115" i="25"/>
  <c r="Z105" i="25"/>
  <c r="AD105" i="25"/>
  <c r="AE105" i="25"/>
  <c r="Z116" i="25"/>
  <c r="AE116" i="25"/>
  <c r="AD116" i="25"/>
  <c r="Z111" i="25"/>
  <c r="AD111" i="25"/>
  <c r="AE111" i="25"/>
  <c r="AF108" i="25"/>
  <c r="Z110" i="25"/>
  <c r="AD110" i="25"/>
  <c r="AE110" i="25"/>
  <c r="Z113" i="25"/>
  <c r="AE113" i="25"/>
  <c r="AD113" i="25"/>
  <c r="AF105" i="25"/>
  <c r="AF113" i="25"/>
  <c r="AF109" i="25"/>
  <c r="Z107" i="25"/>
  <c r="AD107" i="25"/>
  <c r="AE107" i="25"/>
  <c r="Z109" i="25"/>
  <c r="AD109" i="25"/>
  <c r="AE109" i="25"/>
  <c r="Z117" i="25"/>
  <c r="AE117" i="25"/>
  <c r="AD117" i="25"/>
  <c r="R110" i="25"/>
  <c r="V110" i="25" s="1"/>
  <c r="AF110" i="25"/>
  <c r="Z112" i="25"/>
  <c r="AE112" i="25"/>
  <c r="AD112" i="25"/>
  <c r="Z108" i="25"/>
  <c r="AE108" i="25"/>
  <c r="AD108" i="25"/>
  <c r="Z103" i="25"/>
  <c r="AD103" i="25"/>
  <c r="AE103" i="25"/>
  <c r="AF115" i="25"/>
  <c r="AF117" i="25"/>
  <c r="AF112" i="25"/>
  <c r="Z68" i="25"/>
  <c r="AD68" i="25"/>
  <c r="AE68" i="25"/>
  <c r="Z58" i="25"/>
  <c r="AD58" i="25"/>
  <c r="AE58" i="25"/>
  <c r="Z63" i="25"/>
  <c r="AD63" i="25"/>
  <c r="AE63" i="25"/>
  <c r="Z62" i="25"/>
  <c r="AE62" i="25"/>
  <c r="AD62" i="25"/>
  <c r="Z71" i="25"/>
  <c r="AE71" i="25"/>
  <c r="AD71" i="25"/>
  <c r="Z60" i="25"/>
  <c r="AD60" i="25"/>
  <c r="AE60" i="25"/>
  <c r="AF68" i="25"/>
  <c r="Z65" i="25"/>
  <c r="AE65" i="25"/>
  <c r="AD65" i="25"/>
  <c r="Z67" i="25"/>
  <c r="AD67" i="25"/>
  <c r="AE67" i="25"/>
  <c r="AF65" i="25"/>
  <c r="AF60" i="25"/>
  <c r="Z66" i="25"/>
  <c r="AD66" i="25"/>
  <c r="AE66" i="25"/>
  <c r="R62" i="25"/>
  <c r="V62" i="25" s="1"/>
  <c r="AF62" i="25"/>
  <c r="Z64" i="25"/>
  <c r="AE64" i="25"/>
  <c r="AD64" i="25"/>
  <c r="Z73" i="25"/>
  <c r="AD73" i="25"/>
  <c r="AE73" i="25"/>
  <c r="AF64" i="25"/>
  <c r="R58" i="25"/>
  <c r="V58" i="25" s="1"/>
  <c r="AF58" i="25"/>
  <c r="AF63" i="25"/>
  <c r="Z27" i="25"/>
  <c r="AD27" i="25"/>
  <c r="AE27" i="25"/>
  <c r="Z18" i="25"/>
  <c r="AD18" i="25"/>
  <c r="AE18" i="25"/>
  <c r="AF18" i="25"/>
  <c r="Z19" i="25"/>
  <c r="AD19" i="25"/>
  <c r="AE19" i="25"/>
  <c r="Z28" i="25"/>
  <c r="AD28" i="25"/>
  <c r="AE28" i="25"/>
  <c r="AF19" i="25"/>
  <c r="Z17" i="25"/>
  <c r="AE17" i="25"/>
  <c r="AD17" i="25"/>
  <c r="AF26" i="25"/>
  <c r="AF28" i="25"/>
  <c r="Z25" i="25"/>
  <c r="AE25" i="25"/>
  <c r="AD25" i="25"/>
  <c r="Z21" i="25"/>
  <c r="AE21" i="25"/>
  <c r="AD21" i="25"/>
  <c r="AF21" i="25"/>
  <c r="Z20" i="25"/>
  <c r="AD20" i="25"/>
  <c r="AE20" i="25"/>
  <c r="Z22" i="25"/>
  <c r="AE22" i="25"/>
  <c r="AD22" i="25"/>
  <c r="Z15" i="25"/>
  <c r="AE15" i="25"/>
  <c r="AD15" i="25"/>
  <c r="Z26" i="25"/>
  <c r="AD26" i="25"/>
  <c r="AE26" i="25"/>
  <c r="X15" i="25"/>
  <c r="AA15" i="25" s="1"/>
  <c r="AB15" i="25" s="1"/>
  <c r="AK14" i="25" s="1"/>
  <c r="R63" i="26"/>
  <c r="V73" i="29"/>
  <c r="AK140" i="28"/>
  <c r="AK159" i="28"/>
  <c r="AK95" i="28"/>
  <c r="AK114" i="28"/>
  <c r="R118" i="28"/>
  <c r="V118" i="28" s="1"/>
  <c r="AK50" i="28"/>
  <c r="AK69" i="28"/>
  <c r="AK140" i="26"/>
  <c r="AK159" i="26"/>
  <c r="U115" i="26"/>
  <c r="AK95" i="26"/>
  <c r="AK114" i="26"/>
  <c r="R71" i="26"/>
  <c r="V71" i="26" s="1"/>
  <c r="AK50" i="26"/>
  <c r="AK69" i="26"/>
  <c r="R25" i="26"/>
  <c r="AA25" i="26" s="1"/>
  <c r="AB25" i="26" s="1"/>
  <c r="AK8" i="26" s="1"/>
  <c r="AK140" i="25"/>
  <c r="AK159" i="25"/>
  <c r="X103" i="25"/>
  <c r="R115" i="25"/>
  <c r="V115" i="25" s="1"/>
  <c r="X63" i="25"/>
  <c r="R156" i="27"/>
  <c r="U150" i="25"/>
  <c r="X150" i="25"/>
  <c r="R158" i="29"/>
  <c r="R155" i="25"/>
  <c r="R150" i="29"/>
  <c r="X156" i="27"/>
  <c r="U156" i="27"/>
  <c r="R163" i="25"/>
  <c r="R157" i="28"/>
  <c r="U158" i="29"/>
  <c r="X158" i="29"/>
  <c r="U17" i="27"/>
  <c r="R67" i="28"/>
  <c r="X113" i="28"/>
  <c r="U152" i="26"/>
  <c r="AF152" i="26" s="1"/>
  <c r="X152" i="26"/>
  <c r="X154" i="28"/>
  <c r="U154" i="28"/>
  <c r="R162" i="27"/>
  <c r="R148" i="26"/>
  <c r="U161" i="28"/>
  <c r="X161" i="28"/>
  <c r="U162" i="28"/>
  <c r="AF162" i="28" s="1"/>
  <c r="X162" i="28"/>
  <c r="U150" i="28"/>
  <c r="AF150" i="28" s="1"/>
  <c r="X150" i="28"/>
  <c r="U153" i="28"/>
  <c r="AF153" i="28" s="1"/>
  <c r="X153" i="28"/>
  <c r="U160" i="26"/>
  <c r="X160" i="26"/>
  <c r="R154" i="25"/>
  <c r="U162" i="29"/>
  <c r="X162" i="29"/>
  <c r="U163" i="26"/>
  <c r="X163" i="26"/>
  <c r="R154" i="29"/>
  <c r="U161" i="29"/>
  <c r="AF161" i="29" s="1"/>
  <c r="X161" i="29"/>
  <c r="X158" i="26"/>
  <c r="U158" i="26"/>
  <c r="U155" i="25"/>
  <c r="X155" i="25"/>
  <c r="R148" i="28"/>
  <c r="U163" i="25"/>
  <c r="X163" i="25"/>
  <c r="U150" i="27"/>
  <c r="X150" i="27"/>
  <c r="U162" i="27"/>
  <c r="X162" i="27"/>
  <c r="R156" i="25"/>
  <c r="R160" i="29"/>
  <c r="R150" i="25"/>
  <c r="R152" i="26"/>
  <c r="R154" i="28"/>
  <c r="X148" i="25"/>
  <c r="U148" i="25"/>
  <c r="U163" i="28"/>
  <c r="AF163" i="28" s="1"/>
  <c r="X163" i="28"/>
  <c r="R161" i="28"/>
  <c r="R162" i="28"/>
  <c r="R150" i="28"/>
  <c r="R153" i="28"/>
  <c r="R160" i="26"/>
  <c r="X154" i="25"/>
  <c r="U154" i="25"/>
  <c r="AF154" i="25" s="1"/>
  <c r="R162" i="29"/>
  <c r="V162" i="29" s="1"/>
  <c r="R163" i="26"/>
  <c r="U154" i="29"/>
  <c r="AF154" i="29" s="1"/>
  <c r="X154" i="29"/>
  <c r="R161" i="29"/>
  <c r="R158" i="26"/>
  <c r="X156" i="25"/>
  <c r="U156" i="25"/>
  <c r="U160" i="29"/>
  <c r="X160" i="29"/>
  <c r="X152" i="28"/>
  <c r="U152" i="28"/>
  <c r="AF152" i="28" s="1"/>
  <c r="U155" i="29"/>
  <c r="X155" i="29"/>
  <c r="U161" i="27"/>
  <c r="AF161" i="27" s="1"/>
  <c r="X161" i="27"/>
  <c r="R150" i="27"/>
  <c r="R103" i="28"/>
  <c r="V103" i="28" s="1"/>
  <c r="U155" i="28"/>
  <c r="X155" i="28"/>
  <c r="R153" i="29"/>
  <c r="R148" i="25"/>
  <c r="R163" i="28"/>
  <c r="U163" i="29"/>
  <c r="X163" i="29"/>
  <c r="R157" i="25"/>
  <c r="X162" i="26"/>
  <c r="U162" i="26"/>
  <c r="X159" i="29"/>
  <c r="U159" i="29"/>
  <c r="U158" i="28"/>
  <c r="X158" i="28"/>
  <c r="U153" i="25"/>
  <c r="X153" i="25"/>
  <c r="U157" i="27"/>
  <c r="AF157" i="27" s="1"/>
  <c r="X157" i="27"/>
  <c r="U160" i="28"/>
  <c r="X160" i="28"/>
  <c r="U158" i="25"/>
  <c r="X158" i="25"/>
  <c r="U155" i="27"/>
  <c r="X155" i="27"/>
  <c r="U161" i="26"/>
  <c r="X161" i="26"/>
  <c r="U152" i="27"/>
  <c r="X152" i="27"/>
  <c r="X158" i="27"/>
  <c r="U158" i="27"/>
  <c r="AF158" i="27" s="1"/>
  <c r="U150" i="26"/>
  <c r="X150" i="26"/>
  <c r="R155" i="29"/>
  <c r="R161" i="27"/>
  <c r="U148" i="26"/>
  <c r="AF148" i="26" s="1"/>
  <c r="X148" i="26"/>
  <c r="R152" i="28"/>
  <c r="X64" i="28"/>
  <c r="R67" i="27"/>
  <c r="V67" i="27" s="1"/>
  <c r="X105" i="28"/>
  <c r="AA105" i="28" s="1"/>
  <c r="AB105" i="28" s="1"/>
  <c r="AK99" i="28" s="1"/>
  <c r="U118" i="27"/>
  <c r="X71" i="27"/>
  <c r="AA71" i="27" s="1"/>
  <c r="AB71" i="27" s="1"/>
  <c r="R117" i="28"/>
  <c r="V117" i="28" s="1"/>
  <c r="X116" i="28"/>
  <c r="R155" i="28"/>
  <c r="U153" i="29"/>
  <c r="X153" i="29"/>
  <c r="R156" i="26"/>
  <c r="U160" i="27"/>
  <c r="X160" i="27"/>
  <c r="R163" i="29"/>
  <c r="U157" i="25"/>
  <c r="X157" i="25"/>
  <c r="R162" i="26"/>
  <c r="R159" i="29"/>
  <c r="R158" i="28"/>
  <c r="R153" i="25"/>
  <c r="R157" i="27"/>
  <c r="R160" i="28"/>
  <c r="R158" i="25"/>
  <c r="R155" i="27"/>
  <c r="R161" i="26"/>
  <c r="R152" i="27"/>
  <c r="R158" i="27"/>
  <c r="R150" i="26"/>
  <c r="U150" i="29"/>
  <c r="AF150" i="29" s="1"/>
  <c r="X150" i="29"/>
  <c r="R152" i="29"/>
  <c r="U157" i="28"/>
  <c r="X157" i="28"/>
  <c r="R154" i="26"/>
  <c r="U154" i="26"/>
  <c r="X154" i="26"/>
  <c r="U161" i="25"/>
  <c r="AF161" i="25" s="1"/>
  <c r="X161" i="25"/>
  <c r="U153" i="27"/>
  <c r="AF153" i="27" s="1"/>
  <c r="X153" i="27"/>
  <c r="X156" i="26"/>
  <c r="U156" i="26"/>
  <c r="R160" i="27"/>
  <c r="U162" i="25"/>
  <c r="AF162" i="25" s="1"/>
  <c r="X162" i="25"/>
  <c r="X156" i="28"/>
  <c r="U156" i="28"/>
  <c r="AK139" i="29"/>
  <c r="U163" i="27"/>
  <c r="AF163" i="27" s="1"/>
  <c r="X163" i="27"/>
  <c r="U155" i="26"/>
  <c r="AF155" i="26" s="1"/>
  <c r="X155" i="26"/>
  <c r="U148" i="29"/>
  <c r="X148" i="29"/>
  <c r="R157" i="26"/>
  <c r="AK140" i="29"/>
  <c r="U148" i="27"/>
  <c r="AF148" i="27" s="1"/>
  <c r="X148" i="27"/>
  <c r="U152" i="25"/>
  <c r="AF152" i="25" s="1"/>
  <c r="X152" i="25"/>
  <c r="X160" i="25"/>
  <c r="U160" i="25"/>
  <c r="AF160" i="25" s="1"/>
  <c r="U154" i="27"/>
  <c r="X154" i="27"/>
  <c r="R153" i="26"/>
  <c r="U156" i="29"/>
  <c r="X156" i="29"/>
  <c r="R161" i="25"/>
  <c r="R153" i="27"/>
  <c r="U148" i="28"/>
  <c r="X148" i="28"/>
  <c r="U152" i="29"/>
  <c r="X152" i="29"/>
  <c r="R162" i="25"/>
  <c r="R156" i="28"/>
  <c r="R163" i="27"/>
  <c r="R155" i="26"/>
  <c r="R148" i="29"/>
  <c r="U157" i="26"/>
  <c r="X157" i="26"/>
  <c r="R148" i="27"/>
  <c r="R152" i="25"/>
  <c r="R160" i="25"/>
  <c r="R154" i="27"/>
  <c r="U153" i="26"/>
  <c r="X153" i="26"/>
  <c r="V156" i="29"/>
  <c r="R108" i="29"/>
  <c r="V108" i="29" s="1"/>
  <c r="AK95" i="29"/>
  <c r="X109" i="29"/>
  <c r="AA109" i="29" s="1"/>
  <c r="AB109" i="29" s="1"/>
  <c r="AK102" i="29" s="1"/>
  <c r="R71" i="29"/>
  <c r="AA71" i="29" s="1"/>
  <c r="AB71" i="29" s="1"/>
  <c r="AK50" i="29"/>
  <c r="R68" i="29"/>
  <c r="V68" i="29" s="1"/>
  <c r="R17" i="29"/>
  <c r="AA17" i="29" s="1"/>
  <c r="AB17" i="29" s="1"/>
  <c r="AK7" i="29" s="1"/>
  <c r="AK95" i="27"/>
  <c r="AK114" i="27"/>
  <c r="U112" i="27"/>
  <c r="AK50" i="27"/>
  <c r="AK69" i="27"/>
  <c r="R64" i="25"/>
  <c r="R116" i="25"/>
  <c r="V116" i="25" s="1"/>
  <c r="R105" i="25"/>
  <c r="V105" i="25" s="1"/>
  <c r="R109" i="25"/>
  <c r="V109" i="25" s="1"/>
  <c r="AK95" i="25"/>
  <c r="AK114" i="25"/>
  <c r="U118" i="25"/>
  <c r="R67" i="25"/>
  <c r="X25" i="25"/>
  <c r="X19" i="25"/>
  <c r="AA19" i="25" s="1"/>
  <c r="AB19" i="25" s="1"/>
  <c r="R26" i="25"/>
  <c r="V26" i="25" s="1"/>
  <c r="U13" i="25"/>
  <c r="U27" i="29"/>
  <c r="X28" i="28"/>
  <c r="R21" i="28"/>
  <c r="V21" i="28" s="1"/>
  <c r="R21" i="26"/>
  <c r="V21" i="26" s="1"/>
  <c r="X107" i="25"/>
  <c r="AA107" i="25" s="1"/>
  <c r="AB107" i="25" s="1"/>
  <c r="AK97" i="25" s="1"/>
  <c r="R108" i="25"/>
  <c r="V108" i="25" s="1"/>
  <c r="R68" i="25"/>
  <c r="R73" i="25"/>
  <c r="AJ12" i="25"/>
  <c r="AK50" i="25"/>
  <c r="AK69" i="25"/>
  <c r="U72" i="25"/>
  <c r="X62" i="26"/>
  <c r="R21" i="29"/>
  <c r="AA21" i="29" s="1"/>
  <c r="AB21" i="29" s="1"/>
  <c r="AK6" i="29" s="1"/>
  <c r="R113" i="27"/>
  <c r="AA113" i="27" s="1"/>
  <c r="AB113" i="27" s="1"/>
  <c r="X115" i="27"/>
  <c r="AA115" i="27" s="1"/>
  <c r="AB115" i="27" s="1"/>
  <c r="R111" i="29"/>
  <c r="R23" i="26"/>
  <c r="V23" i="26" s="1"/>
  <c r="R111" i="28"/>
  <c r="V111" i="28" s="1"/>
  <c r="X60" i="29"/>
  <c r="AA60" i="29" s="1"/>
  <c r="AB60" i="29" s="1"/>
  <c r="AK54" i="29" s="1"/>
  <c r="X71" i="25"/>
  <c r="AA71" i="25" s="1"/>
  <c r="AB71" i="25" s="1"/>
  <c r="R105" i="26"/>
  <c r="V105" i="26" s="1"/>
  <c r="R15" i="29"/>
  <c r="AA15" i="29" s="1"/>
  <c r="AB15" i="29" s="1"/>
  <c r="AK9" i="29" s="1"/>
  <c r="R17" i="25"/>
  <c r="AA17" i="25" s="1"/>
  <c r="AB17" i="25" s="1"/>
  <c r="AK7" i="25" s="1"/>
  <c r="R112" i="25"/>
  <c r="X109" i="28"/>
  <c r="AA109" i="28" s="1"/>
  <c r="AB109" i="28" s="1"/>
  <c r="AK102" i="28" s="1"/>
  <c r="R26" i="29"/>
  <c r="V26" i="29" s="1"/>
  <c r="U109" i="27"/>
  <c r="R70" i="29"/>
  <c r="AA70" i="29" s="1"/>
  <c r="AB70" i="29" s="1"/>
  <c r="R20" i="27"/>
  <c r="V20" i="27" s="1"/>
  <c r="R65" i="28"/>
  <c r="R116" i="29"/>
  <c r="V116" i="29" s="1"/>
  <c r="R58" i="28"/>
  <c r="V58" i="28" s="1"/>
  <c r="X13" i="27"/>
  <c r="AA13" i="27" s="1"/>
  <c r="AB13" i="27" s="1"/>
  <c r="R27" i="26"/>
  <c r="AA27" i="26" s="1"/>
  <c r="AB27" i="26" s="1"/>
  <c r="R19" i="26"/>
  <c r="AA19" i="26" s="1"/>
  <c r="AB19" i="26" s="1"/>
  <c r="AK12" i="26" s="1"/>
  <c r="R21" i="25"/>
  <c r="AA21" i="25" s="1"/>
  <c r="AB21" i="25" s="1"/>
  <c r="X28" i="25"/>
  <c r="AA28" i="25" s="1"/>
  <c r="AB28" i="25" s="1"/>
  <c r="AK28" i="25" s="1"/>
  <c r="AK24" i="25"/>
  <c r="R20" i="25"/>
  <c r="V20" i="25" s="1"/>
  <c r="X22" i="25"/>
  <c r="U23" i="25"/>
  <c r="X58" i="27"/>
  <c r="AA58" i="27" s="1"/>
  <c r="AB58" i="27" s="1"/>
  <c r="AK61" i="27" s="1"/>
  <c r="X17" i="26"/>
  <c r="R105" i="27"/>
  <c r="AA105" i="27" s="1"/>
  <c r="AB105" i="27" s="1"/>
  <c r="AK99" i="27" s="1"/>
  <c r="U68" i="27"/>
  <c r="U73" i="27"/>
  <c r="V62" i="28"/>
  <c r="R20" i="29"/>
  <c r="AA20" i="29" s="1"/>
  <c r="AB20" i="29" s="1"/>
  <c r="U66" i="27"/>
  <c r="V66" i="27" s="1"/>
  <c r="U103" i="27"/>
  <c r="R18" i="28"/>
  <c r="V18" i="28" s="1"/>
  <c r="U63" i="27"/>
  <c r="R110" i="26"/>
  <c r="V110" i="26" s="1"/>
  <c r="R103" i="26"/>
  <c r="R112" i="26"/>
  <c r="R22" i="27"/>
  <c r="AA22" i="27" s="1"/>
  <c r="AB22" i="27" s="1"/>
  <c r="R15" i="27"/>
  <c r="AA15" i="27" s="1"/>
  <c r="AB15" i="27" s="1"/>
  <c r="AK15" i="27" s="1"/>
  <c r="R103" i="29"/>
  <c r="AA103" i="29" s="1"/>
  <c r="AB103" i="29" s="1"/>
  <c r="AK106" i="29" s="1"/>
  <c r="R26" i="28"/>
  <c r="V26" i="28" s="1"/>
  <c r="R70" i="28"/>
  <c r="V70" i="28" s="1"/>
  <c r="R65" i="25"/>
  <c r="V65" i="25" s="1"/>
  <c r="R107" i="28"/>
  <c r="R66" i="26"/>
  <c r="R60" i="27"/>
  <c r="V60" i="27" s="1"/>
  <c r="V25" i="27"/>
  <c r="X27" i="25"/>
  <c r="X58" i="26"/>
  <c r="R20" i="28"/>
  <c r="X18" i="29"/>
  <c r="AA18" i="29" s="1"/>
  <c r="AB18" i="29" s="1"/>
  <c r="V72" i="27"/>
  <c r="R60" i="25"/>
  <c r="V28" i="27"/>
  <c r="U70" i="25"/>
  <c r="U22" i="26"/>
  <c r="R115" i="29"/>
  <c r="AA115" i="29" s="1"/>
  <c r="AB115" i="29" s="1"/>
  <c r="R26" i="27"/>
  <c r="V26" i="27" s="1"/>
  <c r="X18" i="26"/>
  <c r="X21" i="27"/>
  <c r="R110" i="29"/>
  <c r="V110" i="29" s="1"/>
  <c r="R73" i="28"/>
  <c r="AA73" i="28" s="1"/>
  <c r="AB73" i="28" s="1"/>
  <c r="X113" i="25"/>
  <c r="X62" i="27"/>
  <c r="AA62" i="27" s="1"/>
  <c r="AB62" i="27" s="1"/>
  <c r="AK52" i="27" s="1"/>
  <c r="X13" i="26"/>
  <c r="AA13" i="26" s="1"/>
  <c r="AB13" i="26" s="1"/>
  <c r="R18" i="25"/>
  <c r="X23" i="27"/>
  <c r="R65" i="26"/>
  <c r="V65" i="26" s="1"/>
  <c r="R63" i="28"/>
  <c r="V63" i="28" s="1"/>
  <c r="AA58" i="29"/>
  <c r="AB58" i="29" s="1"/>
  <c r="AK61" i="29" s="1"/>
  <c r="AA71" i="28"/>
  <c r="AB71" i="28" s="1"/>
  <c r="V17" i="28"/>
  <c r="V113" i="25"/>
  <c r="V68" i="28"/>
  <c r="V107" i="27"/>
  <c r="AA115" i="28"/>
  <c r="AB115" i="28" s="1"/>
  <c r="V109" i="26"/>
  <c r="AA114" i="29"/>
  <c r="AB114" i="29" s="1"/>
  <c r="AK114" i="29" s="1"/>
  <c r="AA113" i="26"/>
  <c r="AB113" i="26" s="1"/>
  <c r="V113" i="26"/>
  <c r="V28" i="28"/>
  <c r="AA27" i="27"/>
  <c r="AB27" i="27" s="1"/>
  <c r="V27" i="27"/>
  <c r="V18" i="26"/>
  <c r="V103" i="25"/>
  <c r="V21" i="27"/>
  <c r="AA13" i="28"/>
  <c r="AB13" i="28" s="1"/>
  <c r="V117" i="27"/>
  <c r="AA117" i="27"/>
  <c r="AB117" i="27" s="1"/>
  <c r="V117" i="25"/>
  <c r="AA117" i="25"/>
  <c r="AB117" i="25" s="1"/>
  <c r="V17" i="27"/>
  <c r="V64" i="28"/>
  <c r="AA25" i="27"/>
  <c r="AB25" i="27" s="1"/>
  <c r="AK8" i="27" s="1"/>
  <c r="V71" i="28"/>
  <c r="V60" i="26"/>
  <c r="AA60" i="26"/>
  <c r="AB60" i="26" s="1"/>
  <c r="AK54" i="26" s="1"/>
  <c r="V114" i="29"/>
  <c r="V19" i="28"/>
  <c r="V107" i="29"/>
  <c r="V70" i="26"/>
  <c r="AA70" i="26"/>
  <c r="AB70" i="26" s="1"/>
  <c r="V72" i="28"/>
  <c r="AA72" i="28"/>
  <c r="AB72" i="28" s="1"/>
  <c r="AA19" i="29"/>
  <c r="AB19" i="29" s="1"/>
  <c r="AK12" i="29" s="1"/>
  <c r="V19" i="29"/>
  <c r="V22" i="28"/>
  <c r="AA116" i="26"/>
  <c r="AB116" i="26" s="1"/>
  <c r="V116" i="26"/>
  <c r="V18" i="27"/>
  <c r="AA18" i="27"/>
  <c r="AB18" i="27" s="1"/>
  <c r="AK10" i="27" s="1"/>
  <c r="V13" i="27"/>
  <c r="V72" i="29"/>
  <c r="AA72" i="29"/>
  <c r="AB72" i="29" s="1"/>
  <c r="AA25" i="29"/>
  <c r="AB25" i="29" s="1"/>
  <c r="AK25" i="29" s="1"/>
  <c r="V25" i="29"/>
  <c r="V15" i="28"/>
  <c r="AA15" i="28"/>
  <c r="AB15" i="28" s="1"/>
  <c r="AK15" i="28" s="1"/>
  <c r="V108" i="26"/>
  <c r="Z108" i="26"/>
  <c r="AA108" i="26" s="1"/>
  <c r="AB108" i="26" s="1"/>
  <c r="AK100" i="26" s="1"/>
  <c r="V118" i="27"/>
  <c r="AA107" i="26"/>
  <c r="AB107" i="26" s="1"/>
  <c r="AK97" i="26" s="1"/>
  <c r="V111" i="25"/>
  <c r="AA63" i="29"/>
  <c r="AB63" i="29" s="1"/>
  <c r="AK55" i="29" s="1"/>
  <c r="V63" i="29"/>
  <c r="V62" i="27"/>
  <c r="AA110" i="27"/>
  <c r="AB110" i="27" s="1"/>
  <c r="V110" i="27"/>
  <c r="V111" i="27"/>
  <c r="AA111" i="27"/>
  <c r="AB111" i="27" s="1"/>
  <c r="AK96" i="27" s="1"/>
  <c r="V20" i="26"/>
  <c r="AA116" i="28"/>
  <c r="AB116" i="28" s="1"/>
  <c r="V116" i="28"/>
  <c r="V13" i="29"/>
  <c r="V19" i="27"/>
  <c r="AA19" i="27"/>
  <c r="AB19" i="27" s="1"/>
  <c r="AK12" i="27" s="1"/>
  <c r="V66" i="29"/>
  <c r="AA66" i="29"/>
  <c r="AB66" i="29" s="1"/>
  <c r="AK51" i="29" s="1"/>
  <c r="V19" i="25"/>
  <c r="V108" i="28"/>
  <c r="AA108" i="28"/>
  <c r="AB108" i="28" s="1"/>
  <c r="AK100" i="28" s="1"/>
  <c r="V17" i="25"/>
  <c r="AA107" i="27"/>
  <c r="AB107" i="27" s="1"/>
  <c r="AK97" i="27" s="1"/>
  <c r="V117" i="29"/>
  <c r="AA117" i="29"/>
  <c r="AB117" i="29" s="1"/>
  <c r="V71" i="27"/>
  <c r="V115" i="26"/>
  <c r="V111" i="26"/>
  <c r="AA111" i="26"/>
  <c r="AB111" i="26" s="1"/>
  <c r="AK96" i="26" s="1"/>
  <c r="AA65" i="27"/>
  <c r="AB65" i="27" s="1"/>
  <c r="V65" i="27"/>
  <c r="V66" i="25"/>
  <c r="AA66" i="25"/>
  <c r="AB66" i="25" s="1"/>
  <c r="AK51" i="25" s="1"/>
  <c r="V109" i="29"/>
  <c r="V62" i="26"/>
  <c r="AA66" i="28"/>
  <c r="AB66" i="28" s="1"/>
  <c r="AK51" i="28" s="1"/>
  <c r="V66" i="28"/>
  <c r="V117" i="26"/>
  <c r="V21" i="29"/>
  <c r="AA68" i="28"/>
  <c r="AB68" i="28" s="1"/>
  <c r="V25" i="28"/>
  <c r="V13" i="26"/>
  <c r="V15" i="25"/>
  <c r="V58" i="27"/>
  <c r="V118" i="29"/>
  <c r="V72" i="26"/>
  <c r="AA70" i="27"/>
  <c r="AB70" i="27" s="1"/>
  <c r="AK70" i="27" s="1"/>
  <c r="V70" i="27"/>
  <c r="AA73" i="26"/>
  <c r="AB73" i="26" s="1"/>
  <c r="V64" i="29"/>
  <c r="V67" i="26"/>
  <c r="V27" i="25"/>
  <c r="V23" i="27"/>
  <c r="AA60" i="28"/>
  <c r="AB60" i="28" s="1"/>
  <c r="AK54" i="28" s="1"/>
  <c r="V60" i="28"/>
  <c r="V115" i="28"/>
  <c r="V58" i="26"/>
  <c r="V109" i="28"/>
  <c r="AA62" i="29"/>
  <c r="AB62" i="29" s="1"/>
  <c r="AK52" i="29" s="1"/>
  <c r="V64" i="26"/>
  <c r="V25" i="26"/>
  <c r="V64" i="27"/>
  <c r="V17" i="26"/>
  <c r="AA108" i="27"/>
  <c r="AB108" i="27" s="1"/>
  <c r="AK100" i="27" s="1"/>
  <c r="V108" i="27"/>
  <c r="AA105" i="25"/>
  <c r="AB105" i="25" s="1"/>
  <c r="AK99" i="25" s="1"/>
  <c r="AA69" i="29"/>
  <c r="AB69" i="29" s="1"/>
  <c r="AK69" i="29" s="1"/>
  <c r="V69" i="29"/>
  <c r="V60" i="29"/>
  <c r="AA62" i="28"/>
  <c r="AB62" i="28" s="1"/>
  <c r="AK52" i="28" s="1"/>
  <c r="AA28" i="26"/>
  <c r="AB28" i="26" s="1"/>
  <c r="V58" i="29"/>
  <c r="V107" i="25"/>
  <c r="V112" i="28"/>
  <c r="V113" i="28"/>
  <c r="V116" i="27"/>
  <c r="V25" i="25"/>
  <c r="AA17" i="28"/>
  <c r="AB17" i="28" s="1"/>
  <c r="AK7" i="28" s="1"/>
  <c r="V118" i="26"/>
  <c r="AA73" i="29"/>
  <c r="AB73" i="29" s="1"/>
  <c r="V105" i="28"/>
  <c r="V18" i="29"/>
  <c r="V115" i="27"/>
  <c r="V63" i="25"/>
  <c r="V105" i="29"/>
  <c r="AA105" i="29"/>
  <c r="AB105" i="29" s="1"/>
  <c r="AK99" i="29" s="1"/>
  <c r="AA64" i="29"/>
  <c r="AB64" i="29" s="1"/>
  <c r="AK57" i="29" s="1"/>
  <c r="V71" i="25"/>
  <c r="V28" i="25"/>
  <c r="V113" i="29"/>
  <c r="V22" i="25"/>
  <c r="AA27" i="28"/>
  <c r="AB27" i="28" s="1"/>
  <c r="V27" i="28"/>
  <c r="AK5" i="29"/>
  <c r="AK5" i="25"/>
  <c r="AK4" i="28"/>
  <c r="AK5" i="26"/>
  <c r="G378" i="1"/>
  <c r="G386" i="1"/>
  <c r="G393" i="1"/>
  <c r="G398" i="1" s="1"/>
  <c r="F444" i="1"/>
  <c r="F449" i="1" s="1"/>
  <c r="H379" i="1"/>
  <c r="H395" i="1"/>
  <c r="H400" i="1" s="1"/>
  <c r="F395" i="1"/>
  <c r="F400" i="1" s="1"/>
  <c r="F393" i="1"/>
  <c r="F398" i="1" s="1"/>
  <c r="H172" i="1"/>
  <c r="H181" i="1" s="1"/>
  <c r="F245" i="1"/>
  <c r="F250" i="1" s="1"/>
  <c r="G189" i="1"/>
  <c r="G197" i="1" s="1"/>
  <c r="G202" i="1" s="1"/>
  <c r="G198" i="1"/>
  <c r="G203" i="1" s="1"/>
  <c r="F247" i="1"/>
  <c r="F252" i="1" s="1"/>
  <c r="F246" i="1"/>
  <c r="F251" i="1" s="1"/>
  <c r="G246" i="1"/>
  <c r="G251" i="1" s="1"/>
  <c r="G394" i="1"/>
  <c r="G399" i="1" s="1"/>
  <c r="H393" i="1"/>
  <c r="H398" i="1" s="1"/>
  <c r="F442" i="1"/>
  <c r="F447" i="1" s="1"/>
  <c r="H419" i="1"/>
  <c r="G428" i="1"/>
  <c r="G436" i="1"/>
  <c r="G426" i="1"/>
  <c r="G434" i="1"/>
  <c r="H417" i="1"/>
  <c r="H386" i="1"/>
  <c r="H378" i="1"/>
  <c r="G443" i="1"/>
  <c r="G448" i="1" s="1"/>
  <c r="H435" i="1"/>
  <c r="H427" i="1"/>
  <c r="H246" i="1"/>
  <c r="H182" i="1"/>
  <c r="H190" i="1"/>
  <c r="G229" i="1"/>
  <c r="H220" i="1"/>
  <c r="G237" i="1"/>
  <c r="G231" i="1"/>
  <c r="G239" i="1"/>
  <c r="H222" i="1"/>
  <c r="F196" i="1"/>
  <c r="F201" i="1" s="1"/>
  <c r="H171" i="1"/>
  <c r="G180" i="1"/>
  <c r="G188" i="1"/>
  <c r="AA22" i="29" l="1"/>
  <c r="AB22" i="29" s="1"/>
  <c r="AK22" i="29" s="1"/>
  <c r="AA23" i="29"/>
  <c r="AB23" i="29" s="1"/>
  <c r="AA112" i="28"/>
  <c r="AB112" i="28" s="1"/>
  <c r="AA67" i="28"/>
  <c r="AB67" i="28" s="1"/>
  <c r="AA19" i="28"/>
  <c r="AB19" i="28" s="1"/>
  <c r="AK12" i="28" s="1"/>
  <c r="AA23" i="27"/>
  <c r="AB23" i="27" s="1"/>
  <c r="AA112" i="26"/>
  <c r="AB112" i="26" s="1"/>
  <c r="AK112" i="26" s="1"/>
  <c r="AA103" i="26"/>
  <c r="AB103" i="26" s="1"/>
  <c r="AK106" i="26" s="1"/>
  <c r="AA63" i="26"/>
  <c r="AB63" i="26" s="1"/>
  <c r="AK55" i="26" s="1"/>
  <c r="AA21" i="26"/>
  <c r="AB21" i="26" s="1"/>
  <c r="AK21" i="26" s="1"/>
  <c r="AA26" i="26"/>
  <c r="AB26" i="26" s="1"/>
  <c r="AA115" i="25"/>
  <c r="AB115" i="25" s="1"/>
  <c r="AK115" i="25" s="1"/>
  <c r="AA103" i="25"/>
  <c r="AB103" i="25" s="1"/>
  <c r="AK106" i="25" s="1"/>
  <c r="AA67" i="25"/>
  <c r="AB67" i="25" s="1"/>
  <c r="AA63" i="25"/>
  <c r="AB63" i="25" s="1"/>
  <c r="AK55" i="25" s="1"/>
  <c r="AA22" i="25"/>
  <c r="AB22" i="25" s="1"/>
  <c r="AA108" i="29"/>
  <c r="AB108" i="29" s="1"/>
  <c r="AK100" i="29" s="1"/>
  <c r="V23" i="29"/>
  <c r="AA28" i="29"/>
  <c r="AB28" i="29" s="1"/>
  <c r="V22" i="29"/>
  <c r="AA110" i="28"/>
  <c r="AB110" i="28" s="1"/>
  <c r="AK110" i="28" s="1"/>
  <c r="AA117" i="28"/>
  <c r="AB117" i="28" s="1"/>
  <c r="AK117" i="28" s="1"/>
  <c r="AA118" i="28"/>
  <c r="AB118" i="28" s="1"/>
  <c r="AA71" i="26"/>
  <c r="AB71" i="26" s="1"/>
  <c r="AK71" i="26" s="1"/>
  <c r="AA26" i="25"/>
  <c r="AB26" i="25" s="1"/>
  <c r="AK11" i="25" s="1"/>
  <c r="AA20" i="25"/>
  <c r="AB20" i="25" s="1"/>
  <c r="AA58" i="25"/>
  <c r="AB58" i="25" s="1"/>
  <c r="AK61" i="25" s="1"/>
  <c r="AA62" i="25"/>
  <c r="AB62" i="25" s="1"/>
  <c r="AK52" i="25" s="1"/>
  <c r="Z152" i="29"/>
  <c r="AD152" i="29"/>
  <c r="AE152" i="29"/>
  <c r="Z153" i="29"/>
  <c r="AE153" i="29"/>
  <c r="AD153" i="29"/>
  <c r="Z163" i="29"/>
  <c r="AE163" i="29"/>
  <c r="AD163" i="29"/>
  <c r="Z160" i="29"/>
  <c r="AA160" i="29" s="1"/>
  <c r="AB160" i="29" s="1"/>
  <c r="AE160" i="29"/>
  <c r="AD160" i="29"/>
  <c r="Z158" i="29"/>
  <c r="AE158" i="29"/>
  <c r="AD158" i="29"/>
  <c r="AF158" i="29"/>
  <c r="AF152" i="29"/>
  <c r="Z159" i="29"/>
  <c r="AD159" i="29"/>
  <c r="AE159" i="29"/>
  <c r="Z162" i="29"/>
  <c r="AD162" i="29"/>
  <c r="AE162" i="29"/>
  <c r="AF163" i="29"/>
  <c r="Z148" i="29"/>
  <c r="AA148" i="29" s="1"/>
  <c r="AB148" i="29" s="1"/>
  <c r="AE148" i="29"/>
  <c r="AD148" i="29"/>
  <c r="AF153" i="29"/>
  <c r="AF162" i="29"/>
  <c r="Z150" i="29"/>
  <c r="AD150" i="29"/>
  <c r="AE150" i="29"/>
  <c r="Z155" i="29"/>
  <c r="AE155" i="29"/>
  <c r="AD155" i="29"/>
  <c r="AF159" i="29"/>
  <c r="AF160" i="29"/>
  <c r="Z156" i="29"/>
  <c r="AA156" i="29" s="1"/>
  <c r="AB156" i="29" s="1"/>
  <c r="AD156" i="29"/>
  <c r="AE156" i="29"/>
  <c r="Z161" i="29"/>
  <c r="AD161" i="29"/>
  <c r="AE161" i="29"/>
  <c r="AF155" i="29"/>
  <c r="Z154" i="29"/>
  <c r="AA154" i="29" s="1"/>
  <c r="AB154" i="29" s="1"/>
  <c r="AD154" i="29"/>
  <c r="AE154" i="29"/>
  <c r="AF156" i="29"/>
  <c r="AF148" i="29"/>
  <c r="AA118" i="29"/>
  <c r="AB118" i="29" s="1"/>
  <c r="AK118" i="29" s="1"/>
  <c r="AA107" i="28"/>
  <c r="AB107" i="28" s="1"/>
  <c r="AK97" i="28" s="1"/>
  <c r="AA111" i="28"/>
  <c r="AB111" i="28" s="1"/>
  <c r="AK96" i="28" s="1"/>
  <c r="AA113" i="28"/>
  <c r="AB113" i="28" s="1"/>
  <c r="AK111" i="28" s="1"/>
  <c r="AA64" i="28"/>
  <c r="AB64" i="28" s="1"/>
  <c r="AK57" i="28" s="1"/>
  <c r="AA65" i="28"/>
  <c r="AB65" i="28" s="1"/>
  <c r="AA20" i="28"/>
  <c r="AB20" i="28" s="1"/>
  <c r="AA21" i="27"/>
  <c r="AB21" i="27" s="1"/>
  <c r="AK6" i="27" s="1"/>
  <c r="AA109" i="26"/>
  <c r="AB109" i="26" s="1"/>
  <c r="AK102" i="26" s="1"/>
  <c r="V63" i="26"/>
  <c r="AA58" i="26"/>
  <c r="AB58" i="26" s="1"/>
  <c r="AK61" i="26" s="1"/>
  <c r="AA15" i="26"/>
  <c r="AB15" i="26" s="1"/>
  <c r="AK15" i="26" s="1"/>
  <c r="AA17" i="26"/>
  <c r="AB17" i="26" s="1"/>
  <c r="AK17" i="26" s="1"/>
  <c r="AA110" i="25"/>
  <c r="AB110" i="25" s="1"/>
  <c r="AA64" i="25"/>
  <c r="AB64" i="25" s="1"/>
  <c r="AK57" i="25" s="1"/>
  <c r="AA25" i="25"/>
  <c r="AB25" i="25" s="1"/>
  <c r="AK8" i="25" s="1"/>
  <c r="AA18" i="25"/>
  <c r="AB18" i="25" s="1"/>
  <c r="AA111" i="29"/>
  <c r="AB111" i="29" s="1"/>
  <c r="AK96" i="29" s="1"/>
  <c r="AA116" i="29"/>
  <c r="AB116" i="29" s="1"/>
  <c r="AK116" i="29" s="1"/>
  <c r="Z65" i="29"/>
  <c r="AA65" i="29" s="1"/>
  <c r="AB65" i="29" s="1"/>
  <c r="AE65" i="29"/>
  <c r="AD65" i="29"/>
  <c r="AF65" i="29"/>
  <c r="V70" i="29"/>
  <c r="Z27" i="29"/>
  <c r="AA27" i="29" s="1"/>
  <c r="AB27" i="29" s="1"/>
  <c r="AK13" i="29" s="1"/>
  <c r="AE27" i="29"/>
  <c r="AD27" i="29"/>
  <c r="AF27" i="29"/>
  <c r="Z152" i="28"/>
  <c r="AA152" i="28" s="1"/>
  <c r="AB152" i="28" s="1"/>
  <c r="AK142" i="28" s="1"/>
  <c r="AD152" i="28"/>
  <c r="AE152" i="28"/>
  <c r="Z161" i="28"/>
  <c r="AA161" i="28" s="1"/>
  <c r="AB161" i="28" s="1"/>
  <c r="AD161" i="28"/>
  <c r="AE161" i="28"/>
  <c r="Z160" i="28"/>
  <c r="AA160" i="28" s="1"/>
  <c r="AB160" i="28" s="1"/>
  <c r="AD160" i="28"/>
  <c r="AE160" i="28"/>
  <c r="Z155" i="28"/>
  <c r="AE155" i="28"/>
  <c r="AD155" i="28"/>
  <c r="Z153" i="28"/>
  <c r="AE153" i="28"/>
  <c r="AD153" i="28"/>
  <c r="Z154" i="28"/>
  <c r="AA154" i="28" s="1"/>
  <c r="AB154" i="28" s="1"/>
  <c r="AD154" i="28"/>
  <c r="AE154" i="28"/>
  <c r="AF155" i="28"/>
  <c r="AF161" i="28"/>
  <c r="Z148" i="28"/>
  <c r="AE148" i="28"/>
  <c r="AD148" i="28"/>
  <c r="Z157" i="28"/>
  <c r="AA157" i="28" s="1"/>
  <c r="AB157" i="28" s="1"/>
  <c r="AE157" i="28"/>
  <c r="AD157" i="28"/>
  <c r="Z158" i="28"/>
  <c r="AD158" i="28"/>
  <c r="AE158" i="28"/>
  <c r="Z163" i="28"/>
  <c r="AE163" i="28"/>
  <c r="AD163" i="28"/>
  <c r="Z150" i="28"/>
  <c r="AA150" i="28" s="1"/>
  <c r="AB150" i="28" s="1"/>
  <c r="AD150" i="28"/>
  <c r="AE150" i="28"/>
  <c r="AF160" i="28"/>
  <c r="AF157" i="28"/>
  <c r="Z156" i="28"/>
  <c r="AA156" i="28" s="1"/>
  <c r="AB156" i="28" s="1"/>
  <c r="AK141" i="28" s="1"/>
  <c r="AD156" i="28"/>
  <c r="AE156" i="28"/>
  <c r="AF158" i="28"/>
  <c r="AF148" i="28"/>
  <c r="Z162" i="28"/>
  <c r="AA162" i="28" s="1"/>
  <c r="AB162" i="28" s="1"/>
  <c r="AD162" i="28"/>
  <c r="AE162" i="28"/>
  <c r="AF154" i="28"/>
  <c r="AF156" i="28"/>
  <c r="AA103" i="28"/>
  <c r="AB103" i="28" s="1"/>
  <c r="AK106" i="28" s="1"/>
  <c r="AA21" i="28"/>
  <c r="AB21" i="28" s="1"/>
  <c r="AA28" i="28"/>
  <c r="AB28" i="28" s="1"/>
  <c r="AK28" i="28" s="1"/>
  <c r="AA23" i="28"/>
  <c r="AB23" i="28" s="1"/>
  <c r="Z160" i="27"/>
  <c r="AD160" i="27"/>
  <c r="AE160" i="27"/>
  <c r="Z152" i="27"/>
  <c r="AD152" i="27"/>
  <c r="AE152" i="27"/>
  <c r="Z156" i="27"/>
  <c r="AA156" i="27" s="1"/>
  <c r="AB156" i="27" s="1"/>
  <c r="AE156" i="27"/>
  <c r="AD156" i="27"/>
  <c r="Z148" i="27"/>
  <c r="AD148" i="27"/>
  <c r="AE148" i="27"/>
  <c r="Z150" i="27"/>
  <c r="AA150" i="27" s="1"/>
  <c r="AB150" i="27" s="1"/>
  <c r="AD150" i="27"/>
  <c r="AE150" i="27"/>
  <c r="AF156" i="27"/>
  <c r="Z157" i="27"/>
  <c r="AA157" i="27" s="1"/>
  <c r="AB157" i="27" s="1"/>
  <c r="AE157" i="27"/>
  <c r="AD157" i="27"/>
  <c r="Z154" i="27"/>
  <c r="AE154" i="27"/>
  <c r="AD154" i="27"/>
  <c r="AF150" i="27"/>
  <c r="Z161" i="27"/>
  <c r="AA161" i="27" s="1"/>
  <c r="AB161" i="27" s="1"/>
  <c r="AD161" i="27"/>
  <c r="AE161" i="27"/>
  <c r="Z155" i="27"/>
  <c r="AD155" i="27"/>
  <c r="AE155" i="27"/>
  <c r="AF152" i="27"/>
  <c r="Z162" i="27"/>
  <c r="AA162" i="27" s="1"/>
  <c r="AB162" i="27" s="1"/>
  <c r="AK162" i="27" s="1"/>
  <c r="AE162" i="27"/>
  <c r="AD162" i="27"/>
  <c r="Z153" i="27"/>
  <c r="AD153" i="27"/>
  <c r="AE153" i="27"/>
  <c r="Z158" i="27"/>
  <c r="AD158" i="27"/>
  <c r="AE158" i="27"/>
  <c r="AF160" i="27"/>
  <c r="AF155" i="27"/>
  <c r="Z163" i="27"/>
  <c r="AE163" i="27"/>
  <c r="AD163" i="27"/>
  <c r="AF154" i="27"/>
  <c r="AF162" i="27"/>
  <c r="Z103" i="27"/>
  <c r="AA103" i="27" s="1"/>
  <c r="AB103" i="27" s="1"/>
  <c r="AK106" i="27" s="1"/>
  <c r="AD103" i="27"/>
  <c r="AE103" i="27"/>
  <c r="AF103" i="27"/>
  <c r="Z112" i="27"/>
  <c r="AA112" i="27" s="1"/>
  <c r="AB112" i="27" s="1"/>
  <c r="AK110" i="27" s="1"/>
  <c r="AE112" i="27"/>
  <c r="AD112" i="27"/>
  <c r="AF112" i="27"/>
  <c r="Z118" i="27"/>
  <c r="AA118" i="27" s="1"/>
  <c r="AB118" i="27" s="1"/>
  <c r="AE118" i="27"/>
  <c r="AD118" i="27"/>
  <c r="AF118" i="27"/>
  <c r="Z116" i="27"/>
  <c r="AA116" i="27" s="1"/>
  <c r="AB116" i="27" s="1"/>
  <c r="AK101" i="27" s="1"/>
  <c r="AE116" i="27"/>
  <c r="AD116" i="27"/>
  <c r="AF116" i="27"/>
  <c r="V112" i="27"/>
  <c r="Z109" i="27"/>
  <c r="AA109" i="27" s="1"/>
  <c r="AB109" i="27" s="1"/>
  <c r="AK102" i="27" s="1"/>
  <c r="AD109" i="27"/>
  <c r="AE109" i="27"/>
  <c r="AF109" i="27"/>
  <c r="Z73" i="27"/>
  <c r="AA73" i="27" s="1"/>
  <c r="AB73" i="27" s="1"/>
  <c r="AK62" i="27" s="1"/>
  <c r="AD73" i="27"/>
  <c r="AE73" i="27"/>
  <c r="AF73" i="27"/>
  <c r="Z66" i="27"/>
  <c r="AA66" i="27" s="1"/>
  <c r="AB66" i="27" s="1"/>
  <c r="AK51" i="27" s="1"/>
  <c r="AD66" i="27"/>
  <c r="AE66" i="27"/>
  <c r="AF66" i="27"/>
  <c r="Z68" i="27"/>
  <c r="AA68" i="27" s="1"/>
  <c r="AB68" i="27" s="1"/>
  <c r="AD68" i="27"/>
  <c r="AE68" i="27"/>
  <c r="AF68" i="27"/>
  <c r="Z63" i="27"/>
  <c r="AA63" i="27" s="1"/>
  <c r="AB63" i="27" s="1"/>
  <c r="AK55" i="27" s="1"/>
  <c r="AE63" i="27"/>
  <c r="AD63" i="27"/>
  <c r="AF63" i="27"/>
  <c r="Z17" i="27"/>
  <c r="AA17" i="27" s="1"/>
  <c r="AB17" i="27" s="1"/>
  <c r="AD17" i="27"/>
  <c r="AE17" i="27"/>
  <c r="AF17" i="27"/>
  <c r="Z154" i="26"/>
  <c r="AA154" i="26" s="1"/>
  <c r="AB154" i="26" s="1"/>
  <c r="AD154" i="26"/>
  <c r="AE154" i="26"/>
  <c r="Z162" i="26"/>
  <c r="AD162" i="26"/>
  <c r="AE162" i="26"/>
  <c r="AF162" i="26"/>
  <c r="Z156" i="26"/>
  <c r="AA156" i="26" s="1"/>
  <c r="AB156" i="26" s="1"/>
  <c r="AK141" i="26" s="1"/>
  <c r="AD156" i="26"/>
  <c r="AE156" i="26"/>
  <c r="Z161" i="26"/>
  <c r="AE161" i="26"/>
  <c r="AD161" i="26"/>
  <c r="Z160" i="26"/>
  <c r="AA160" i="26" s="1"/>
  <c r="AB160" i="26" s="1"/>
  <c r="AD160" i="26"/>
  <c r="AE160" i="26"/>
  <c r="AF161" i="26"/>
  <c r="Z157" i="26"/>
  <c r="AA157" i="26" s="1"/>
  <c r="AB157" i="26" s="1"/>
  <c r="AE157" i="26"/>
  <c r="AD157" i="26"/>
  <c r="Z150" i="26"/>
  <c r="AD150" i="26"/>
  <c r="AE150" i="26"/>
  <c r="AF154" i="26"/>
  <c r="AF150" i="26"/>
  <c r="Z153" i="26"/>
  <c r="AA153" i="26" s="1"/>
  <c r="AB153" i="26" s="1"/>
  <c r="AK145" i="26" s="1"/>
  <c r="AD153" i="26"/>
  <c r="AE153" i="26"/>
  <c r="Z163" i="26"/>
  <c r="AE163" i="26"/>
  <c r="AD163" i="26"/>
  <c r="AF160" i="26"/>
  <c r="AF157" i="26"/>
  <c r="Z148" i="26"/>
  <c r="AA148" i="26" s="1"/>
  <c r="AB148" i="26" s="1"/>
  <c r="AK151" i="26" s="1"/>
  <c r="AD148" i="26"/>
  <c r="AE148" i="26"/>
  <c r="Z158" i="26"/>
  <c r="AE158" i="26"/>
  <c r="AD158" i="26"/>
  <c r="AF156" i="26"/>
  <c r="AF158" i="26"/>
  <c r="Z155" i="26"/>
  <c r="AA155" i="26" s="1"/>
  <c r="AB155" i="26" s="1"/>
  <c r="AK153" i="26" s="1"/>
  <c r="AD155" i="26"/>
  <c r="AE155" i="26"/>
  <c r="Z152" i="26"/>
  <c r="AE152" i="26"/>
  <c r="AD152" i="26"/>
  <c r="AF153" i="26"/>
  <c r="AF163" i="26"/>
  <c r="Z115" i="26"/>
  <c r="AA115" i="26" s="1"/>
  <c r="AB115" i="26" s="1"/>
  <c r="AK98" i="26" s="1"/>
  <c r="AE115" i="26"/>
  <c r="AD115" i="26"/>
  <c r="AF115" i="26"/>
  <c r="Z67" i="26"/>
  <c r="AA67" i="26" s="1"/>
  <c r="AB67" i="26" s="1"/>
  <c r="AD67" i="26"/>
  <c r="AE67" i="26"/>
  <c r="AF67" i="26"/>
  <c r="AA66" i="26"/>
  <c r="AB66" i="26" s="1"/>
  <c r="AK51" i="26" s="1"/>
  <c r="AA62" i="26"/>
  <c r="AB62" i="26" s="1"/>
  <c r="AK52" i="26" s="1"/>
  <c r="Z22" i="26"/>
  <c r="AA22" i="26" s="1"/>
  <c r="AB22" i="26" s="1"/>
  <c r="AK20" i="26" s="1"/>
  <c r="AD22" i="26"/>
  <c r="AE22" i="26"/>
  <c r="AF22" i="26"/>
  <c r="AA23" i="26"/>
  <c r="AB23" i="26" s="1"/>
  <c r="AK23" i="26" s="1"/>
  <c r="AA18" i="26"/>
  <c r="AB18" i="26" s="1"/>
  <c r="AK10" i="26" s="1"/>
  <c r="Z160" i="25"/>
  <c r="AE160" i="25"/>
  <c r="AD160" i="25"/>
  <c r="Z153" i="25"/>
  <c r="AA153" i="25" s="1"/>
  <c r="AB153" i="25" s="1"/>
  <c r="AK145" i="25" s="1"/>
  <c r="AE153" i="25"/>
  <c r="AD153" i="25"/>
  <c r="Z157" i="25"/>
  <c r="AA157" i="25" s="1"/>
  <c r="AB157" i="25" s="1"/>
  <c r="AE157" i="25"/>
  <c r="AD157" i="25"/>
  <c r="Z163" i="25"/>
  <c r="AD163" i="25"/>
  <c r="AE163" i="25"/>
  <c r="Z158" i="25"/>
  <c r="AA158" i="25" s="1"/>
  <c r="AB158" i="25" s="1"/>
  <c r="AD158" i="25"/>
  <c r="AE158" i="25"/>
  <c r="Z156" i="25"/>
  <c r="AA156" i="25" s="1"/>
  <c r="AB156" i="25" s="1"/>
  <c r="AK141" i="25" s="1"/>
  <c r="AE156" i="25"/>
  <c r="AD156" i="25"/>
  <c r="Z154" i="25"/>
  <c r="AA154" i="25" s="1"/>
  <c r="AB154" i="25" s="1"/>
  <c r="AE154" i="25"/>
  <c r="AD154" i="25"/>
  <c r="Z155" i="25"/>
  <c r="AA155" i="25" s="1"/>
  <c r="AB155" i="25" s="1"/>
  <c r="AD155" i="25"/>
  <c r="AE155" i="25"/>
  <c r="Z150" i="25"/>
  <c r="AD150" i="25"/>
  <c r="AE150" i="25"/>
  <c r="AF155" i="25"/>
  <c r="AF157" i="25"/>
  <c r="V160" i="25"/>
  <c r="Z152" i="25"/>
  <c r="AA152" i="25" s="1"/>
  <c r="AB152" i="25" s="1"/>
  <c r="AK142" i="25" s="1"/>
  <c r="AE152" i="25"/>
  <c r="AD152" i="25"/>
  <c r="Z161" i="25"/>
  <c r="AD161" i="25"/>
  <c r="AE161" i="25"/>
  <c r="Z148" i="25"/>
  <c r="AA148" i="25" s="1"/>
  <c r="AB148" i="25" s="1"/>
  <c r="AK151" i="25" s="1"/>
  <c r="AE148" i="25"/>
  <c r="AD148" i="25"/>
  <c r="AF150" i="25"/>
  <c r="AF158" i="25"/>
  <c r="Z162" i="25"/>
  <c r="AD162" i="25"/>
  <c r="AE162" i="25"/>
  <c r="AF163" i="25"/>
  <c r="AF153" i="25"/>
  <c r="AF156" i="25"/>
  <c r="AF148" i="25"/>
  <c r="Z118" i="25"/>
  <c r="AA118" i="25" s="1"/>
  <c r="AB118" i="25" s="1"/>
  <c r="AK107" i="25" s="1"/>
  <c r="AD118" i="25"/>
  <c r="AE118" i="25"/>
  <c r="AF118" i="25"/>
  <c r="AA113" i="25"/>
  <c r="AB113" i="25" s="1"/>
  <c r="AK113" i="25" s="1"/>
  <c r="AA112" i="25"/>
  <c r="AB112" i="25" s="1"/>
  <c r="Z72" i="25"/>
  <c r="AA72" i="25" s="1"/>
  <c r="AB72" i="25" s="1"/>
  <c r="AD72" i="25"/>
  <c r="AE72" i="25"/>
  <c r="AF72" i="25"/>
  <c r="Z70" i="25"/>
  <c r="AA70" i="25" s="1"/>
  <c r="AB70" i="25" s="1"/>
  <c r="AE70" i="25"/>
  <c r="AD70" i="25"/>
  <c r="AF70" i="25"/>
  <c r="V64" i="25"/>
  <c r="AA60" i="25"/>
  <c r="AB60" i="25" s="1"/>
  <c r="AK54" i="25" s="1"/>
  <c r="AA73" i="25"/>
  <c r="AB73" i="25" s="1"/>
  <c r="V72" i="25"/>
  <c r="AA68" i="25"/>
  <c r="AB68" i="25" s="1"/>
  <c r="AK66" i="25" s="1"/>
  <c r="AA27" i="25"/>
  <c r="AB27" i="25" s="1"/>
  <c r="Z23" i="25"/>
  <c r="AA23" i="25" s="1"/>
  <c r="AB23" i="25" s="1"/>
  <c r="AK21" i="25" s="1"/>
  <c r="AE23" i="25"/>
  <c r="AD23" i="25"/>
  <c r="AF23" i="25"/>
  <c r="Z13" i="25"/>
  <c r="AA13" i="25" s="1"/>
  <c r="AB13" i="25" s="1"/>
  <c r="AD13" i="25"/>
  <c r="AE13" i="25"/>
  <c r="AF13" i="25"/>
  <c r="AA108" i="25"/>
  <c r="AB108" i="25" s="1"/>
  <c r="AK100" i="25" s="1"/>
  <c r="V109" i="27"/>
  <c r="AK63" i="29"/>
  <c r="V71" i="29"/>
  <c r="AK113" i="28"/>
  <c r="AK101" i="28"/>
  <c r="AK116" i="28"/>
  <c r="AK108" i="28"/>
  <c r="AK103" i="28"/>
  <c r="AK118" i="28"/>
  <c r="AK98" i="28"/>
  <c r="AK115" i="28"/>
  <c r="AK112" i="28"/>
  <c r="AK109" i="28"/>
  <c r="AK105" i="28"/>
  <c r="AK72" i="28"/>
  <c r="AK56" i="28"/>
  <c r="AK71" i="28"/>
  <c r="AK66" i="28"/>
  <c r="AK68" i="28"/>
  <c r="AK62" i="28"/>
  <c r="AK73" i="28"/>
  <c r="AK65" i="28"/>
  <c r="AK67" i="28"/>
  <c r="AK60" i="28"/>
  <c r="AK103" i="26"/>
  <c r="AK117" i="26"/>
  <c r="AK107" i="26"/>
  <c r="AK118" i="26"/>
  <c r="AK109" i="26"/>
  <c r="AK101" i="26"/>
  <c r="AK116" i="26"/>
  <c r="AK111" i="26"/>
  <c r="AK113" i="26"/>
  <c r="AK53" i="26"/>
  <c r="AK70" i="26"/>
  <c r="AK73" i="26"/>
  <c r="AK56" i="26"/>
  <c r="AK72" i="26"/>
  <c r="AK60" i="26"/>
  <c r="AK67" i="26"/>
  <c r="AK68" i="26"/>
  <c r="AK64" i="26"/>
  <c r="AK13" i="26"/>
  <c r="V68" i="25"/>
  <c r="V13" i="25"/>
  <c r="V67" i="25"/>
  <c r="AK12" i="25"/>
  <c r="V161" i="27"/>
  <c r="V17" i="29"/>
  <c r="V152" i="29"/>
  <c r="AA152" i="29"/>
  <c r="AB152" i="29" s="1"/>
  <c r="V158" i="28"/>
  <c r="AA158" i="28"/>
  <c r="AB158" i="28" s="1"/>
  <c r="AA163" i="29"/>
  <c r="AB163" i="29" s="1"/>
  <c r="AK163" i="29" s="1"/>
  <c r="V163" i="29"/>
  <c r="V154" i="29"/>
  <c r="V163" i="25"/>
  <c r="AA163" i="25"/>
  <c r="AB163" i="25" s="1"/>
  <c r="V155" i="28"/>
  <c r="AA155" i="28"/>
  <c r="AB155" i="28" s="1"/>
  <c r="AA150" i="25"/>
  <c r="AB150" i="25" s="1"/>
  <c r="V150" i="25"/>
  <c r="V73" i="25"/>
  <c r="AA154" i="27"/>
  <c r="AB154" i="27" s="1"/>
  <c r="V154" i="27"/>
  <c r="V156" i="28"/>
  <c r="V153" i="27"/>
  <c r="AA153" i="27"/>
  <c r="AB153" i="27" s="1"/>
  <c r="V160" i="27"/>
  <c r="AA160" i="27"/>
  <c r="AB160" i="27" s="1"/>
  <c r="V152" i="27"/>
  <c r="AA152" i="27"/>
  <c r="AB152" i="27" s="1"/>
  <c r="V160" i="28"/>
  <c r="V153" i="29"/>
  <c r="AA153" i="29"/>
  <c r="AB153" i="29" s="1"/>
  <c r="AK145" i="29" s="1"/>
  <c r="AA163" i="26"/>
  <c r="AB163" i="26" s="1"/>
  <c r="V163" i="26"/>
  <c r="V153" i="28"/>
  <c r="AA153" i="28"/>
  <c r="AB153" i="28" s="1"/>
  <c r="AK145" i="28" s="1"/>
  <c r="V148" i="26"/>
  <c r="V103" i="29"/>
  <c r="AA110" i="26"/>
  <c r="AB110" i="26" s="1"/>
  <c r="AK108" i="26" s="1"/>
  <c r="V67" i="28"/>
  <c r="V161" i="25"/>
  <c r="AA161" i="25"/>
  <c r="AB161" i="25" s="1"/>
  <c r="AA160" i="25"/>
  <c r="AB160" i="25" s="1"/>
  <c r="V157" i="26"/>
  <c r="V157" i="27"/>
  <c r="AA158" i="26"/>
  <c r="AB158" i="26" s="1"/>
  <c r="V158" i="26"/>
  <c r="V150" i="28"/>
  <c r="AA162" i="29"/>
  <c r="AB162" i="29" s="1"/>
  <c r="AK162" i="29" s="1"/>
  <c r="V162" i="27"/>
  <c r="V159" i="29"/>
  <c r="AA159" i="29"/>
  <c r="AB159" i="29" s="1"/>
  <c r="AA67" i="27"/>
  <c r="AB67" i="27" s="1"/>
  <c r="AK67" i="27" s="1"/>
  <c r="V148" i="29"/>
  <c r="AA162" i="25"/>
  <c r="AB162" i="25" s="1"/>
  <c r="V162" i="25"/>
  <c r="V154" i="26"/>
  <c r="AA161" i="26"/>
  <c r="AB161" i="26" s="1"/>
  <c r="V161" i="26"/>
  <c r="AA162" i="26"/>
  <c r="AB162" i="26" s="1"/>
  <c r="V162" i="26"/>
  <c r="V156" i="26"/>
  <c r="V152" i="28"/>
  <c r="AA155" i="29"/>
  <c r="AB155" i="29" s="1"/>
  <c r="V155" i="29"/>
  <c r="V163" i="28"/>
  <c r="AA163" i="28"/>
  <c r="AB163" i="28" s="1"/>
  <c r="V160" i="29"/>
  <c r="AA158" i="29"/>
  <c r="AB158" i="29" s="1"/>
  <c r="V158" i="29"/>
  <c r="V155" i="26"/>
  <c r="AA150" i="26"/>
  <c r="AB150" i="26" s="1"/>
  <c r="V150" i="26"/>
  <c r="AA155" i="27"/>
  <c r="AB155" i="27" s="1"/>
  <c r="V155" i="27"/>
  <c r="V153" i="25"/>
  <c r="V161" i="29"/>
  <c r="AA161" i="29"/>
  <c r="AB161" i="29" s="1"/>
  <c r="V162" i="28"/>
  <c r="V154" i="28"/>
  <c r="V154" i="25"/>
  <c r="AA150" i="29"/>
  <c r="AB150" i="29" s="1"/>
  <c r="V150" i="29"/>
  <c r="V152" i="25"/>
  <c r="V157" i="25"/>
  <c r="V148" i="25"/>
  <c r="V156" i="25"/>
  <c r="V157" i="28"/>
  <c r="V156" i="27"/>
  <c r="V148" i="27"/>
  <c r="AA148" i="27"/>
  <c r="AB148" i="27" s="1"/>
  <c r="V163" i="27"/>
  <c r="AA163" i="27"/>
  <c r="AB163" i="27" s="1"/>
  <c r="AK163" i="27" s="1"/>
  <c r="V153" i="26"/>
  <c r="V158" i="27"/>
  <c r="AA158" i="27"/>
  <c r="AB158" i="27" s="1"/>
  <c r="AK158" i="27" s="1"/>
  <c r="V158" i="25"/>
  <c r="V150" i="27"/>
  <c r="V160" i="26"/>
  <c r="V161" i="28"/>
  <c r="AA152" i="26"/>
  <c r="AB152" i="26" s="1"/>
  <c r="AK142" i="26" s="1"/>
  <c r="V152" i="26"/>
  <c r="V148" i="28"/>
  <c r="AA148" i="28"/>
  <c r="AB148" i="28" s="1"/>
  <c r="AK151" i="28" s="1"/>
  <c r="V155" i="25"/>
  <c r="AK101" i="29"/>
  <c r="AK109" i="29"/>
  <c r="AK107" i="29"/>
  <c r="AK103" i="29"/>
  <c r="AK117" i="29"/>
  <c r="AK112" i="29"/>
  <c r="AK111" i="29"/>
  <c r="AK113" i="29"/>
  <c r="AK98" i="29"/>
  <c r="AK115" i="29"/>
  <c r="AK105" i="29"/>
  <c r="AA68" i="29"/>
  <c r="AB68" i="29" s="1"/>
  <c r="AK65" i="29" s="1"/>
  <c r="AK58" i="29"/>
  <c r="AK72" i="29"/>
  <c r="AK56" i="29"/>
  <c r="AK71" i="29"/>
  <c r="AK67" i="29"/>
  <c r="AK60" i="29"/>
  <c r="AK66" i="29"/>
  <c r="AK53" i="29"/>
  <c r="AK70" i="29"/>
  <c r="AK62" i="29"/>
  <c r="AK73" i="29"/>
  <c r="AK64" i="29"/>
  <c r="AA26" i="29"/>
  <c r="AB26" i="29" s="1"/>
  <c r="AK24" i="29" s="1"/>
  <c r="AK27" i="29"/>
  <c r="V27" i="29"/>
  <c r="AK109" i="27"/>
  <c r="AK116" i="27"/>
  <c r="AK112" i="27"/>
  <c r="AK108" i="27"/>
  <c r="AK107" i="27"/>
  <c r="AK118" i="27"/>
  <c r="AK98" i="27"/>
  <c r="AK115" i="27"/>
  <c r="AK111" i="27"/>
  <c r="AK113" i="27"/>
  <c r="AK117" i="27"/>
  <c r="AK105" i="27"/>
  <c r="AK73" i="27"/>
  <c r="AK56" i="27"/>
  <c r="AK71" i="27"/>
  <c r="AK58" i="27"/>
  <c r="AK72" i="27"/>
  <c r="AK68" i="27"/>
  <c r="AA58" i="28"/>
  <c r="AB58" i="28" s="1"/>
  <c r="AK61" i="28" s="1"/>
  <c r="V113" i="27"/>
  <c r="AK64" i="27"/>
  <c r="V111" i="29"/>
  <c r="AA105" i="26"/>
  <c r="AB105" i="26" s="1"/>
  <c r="AA109" i="25"/>
  <c r="AB109" i="25" s="1"/>
  <c r="AK102" i="25" s="1"/>
  <c r="AA116" i="25"/>
  <c r="AB116" i="25" s="1"/>
  <c r="AK101" i="25" s="1"/>
  <c r="AK110" i="25"/>
  <c r="AK112" i="25"/>
  <c r="V118" i="25"/>
  <c r="AK105" i="25"/>
  <c r="AK98" i="25"/>
  <c r="AK111" i="25"/>
  <c r="AK103" i="25"/>
  <c r="AK117" i="25"/>
  <c r="AK25" i="28"/>
  <c r="AK8" i="28"/>
  <c r="AK13" i="28"/>
  <c r="V19" i="26"/>
  <c r="AK16" i="26"/>
  <c r="AK7" i="26"/>
  <c r="V112" i="25"/>
  <c r="V60" i="25"/>
  <c r="AJ13" i="25"/>
  <c r="AK58" i="25"/>
  <c r="AK72" i="25"/>
  <c r="AK67" i="25"/>
  <c r="AK53" i="25"/>
  <c r="AK70" i="25"/>
  <c r="AK56" i="25"/>
  <c r="AK71" i="25"/>
  <c r="AK68" i="25"/>
  <c r="AK62" i="25"/>
  <c r="AK73" i="25"/>
  <c r="AK64" i="25"/>
  <c r="AA20" i="27"/>
  <c r="AB20" i="27" s="1"/>
  <c r="AK19" i="27" s="1"/>
  <c r="V107" i="28"/>
  <c r="AK18" i="29"/>
  <c r="V15" i="29"/>
  <c r="V27" i="26"/>
  <c r="AK27" i="26"/>
  <c r="AK18" i="26"/>
  <c r="AK22" i="26"/>
  <c r="V65" i="28"/>
  <c r="V73" i="27"/>
  <c r="AK23" i="27"/>
  <c r="AK19" i="29"/>
  <c r="V21" i="25"/>
  <c r="AK19" i="26"/>
  <c r="AK20" i="25"/>
  <c r="AK23" i="25"/>
  <c r="AK23" i="28"/>
  <c r="AK27" i="28"/>
  <c r="AK25" i="27"/>
  <c r="AK17" i="27"/>
  <c r="AK27" i="27"/>
  <c r="AK13" i="27"/>
  <c r="AK28" i="27"/>
  <c r="AK26" i="26"/>
  <c r="AK25" i="26"/>
  <c r="AK28" i="26"/>
  <c r="AK18" i="25"/>
  <c r="AK15" i="25"/>
  <c r="V23" i="25"/>
  <c r="AK25" i="25"/>
  <c r="AK27" i="25"/>
  <c r="AK22" i="25"/>
  <c r="V20" i="29"/>
  <c r="AK15" i="29"/>
  <c r="AK28" i="29"/>
  <c r="V103" i="26"/>
  <c r="AA70" i="28"/>
  <c r="AB70" i="28" s="1"/>
  <c r="AA18" i="28"/>
  <c r="AB18" i="28" s="1"/>
  <c r="V112" i="26"/>
  <c r="V105" i="27"/>
  <c r="AA65" i="25"/>
  <c r="AB65" i="25" s="1"/>
  <c r="AK63" i="25" s="1"/>
  <c r="V68" i="27"/>
  <c r="V18" i="25"/>
  <c r="V103" i="27"/>
  <c r="V20" i="28"/>
  <c r="V63" i="27"/>
  <c r="V66" i="26"/>
  <c r="V15" i="27"/>
  <c r="AA60" i="27"/>
  <c r="AB60" i="27" s="1"/>
  <c r="AA65" i="26"/>
  <c r="AB65" i="26" s="1"/>
  <c r="AK63" i="26" s="1"/>
  <c r="V22" i="27"/>
  <c r="V70" i="25"/>
  <c r="AA26" i="28"/>
  <c r="AB26" i="28" s="1"/>
  <c r="AK24" i="28" s="1"/>
  <c r="V73" i="28"/>
  <c r="AA26" i="27"/>
  <c r="AB26" i="27" s="1"/>
  <c r="AK24" i="27" s="1"/>
  <c r="V115" i="29"/>
  <c r="AA63" i="28"/>
  <c r="AB63" i="28" s="1"/>
  <c r="AK55" i="28" s="1"/>
  <c r="V22" i="26"/>
  <c r="AA110" i="29"/>
  <c r="AB110" i="29" s="1"/>
  <c r="AK108" i="29" s="1"/>
  <c r="AK14" i="29"/>
  <c r="AK6" i="26"/>
  <c r="AK11" i="26"/>
  <c r="AK24" i="26"/>
  <c r="AK9" i="25"/>
  <c r="AK20" i="29"/>
  <c r="AK21" i="29"/>
  <c r="AK22" i="27"/>
  <c r="AK22" i="28"/>
  <c r="AK19" i="28"/>
  <c r="AK17" i="25"/>
  <c r="AK26" i="25"/>
  <c r="AK9" i="26"/>
  <c r="AK14" i="26"/>
  <c r="AK8" i="29"/>
  <c r="AK23" i="29"/>
  <c r="AK6" i="25"/>
  <c r="AK19" i="25"/>
  <c r="AK16" i="28"/>
  <c r="AK6" i="28"/>
  <c r="AK20" i="28"/>
  <c r="AK16" i="25"/>
  <c r="AK10" i="25"/>
  <c r="AK10" i="29"/>
  <c r="AK17" i="29"/>
  <c r="AK16" i="29"/>
  <c r="AK9" i="28"/>
  <c r="AK14" i="28"/>
  <c r="AK7" i="27"/>
  <c r="AK16" i="27"/>
  <c r="AK9" i="27"/>
  <c r="AK14" i="27"/>
  <c r="H251" i="1"/>
  <c r="M246" i="1"/>
  <c r="H189" i="1"/>
  <c r="H443" i="1"/>
  <c r="H448" i="1" s="1"/>
  <c r="H434" i="1"/>
  <c r="H426" i="1"/>
  <c r="G442" i="1"/>
  <c r="G447" i="1" s="1"/>
  <c r="G444" i="1"/>
  <c r="G449" i="1" s="1"/>
  <c r="H428" i="1"/>
  <c r="H436" i="1"/>
  <c r="H394" i="1"/>
  <c r="H399" i="1" s="1"/>
  <c r="I401" i="1" s="1"/>
  <c r="G245" i="1"/>
  <c r="G250" i="1" s="1"/>
  <c r="G196" i="1"/>
  <c r="G201" i="1" s="1"/>
  <c r="H197" i="1"/>
  <c r="H231" i="1"/>
  <c r="H239" i="1"/>
  <c r="H198" i="1"/>
  <c r="H203" i="1" s="1"/>
  <c r="G247" i="1"/>
  <c r="G252" i="1" s="1"/>
  <c r="H180" i="1"/>
  <c r="H188" i="1"/>
  <c r="H237" i="1"/>
  <c r="H229" i="1"/>
  <c r="AK158" i="29" l="1"/>
  <c r="AK159" i="29"/>
  <c r="AK68" i="29"/>
  <c r="AK107" i="28"/>
  <c r="AK64" i="28"/>
  <c r="AK21" i="28"/>
  <c r="AK103" i="27"/>
  <c r="AK66" i="27"/>
  <c r="AK63" i="27"/>
  <c r="AK21" i="27"/>
  <c r="AK115" i="26"/>
  <c r="AK62" i="26"/>
  <c r="AK66" i="26"/>
  <c r="AK58" i="26"/>
  <c r="AK108" i="25"/>
  <c r="AK118" i="25"/>
  <c r="AK60" i="25"/>
  <c r="AK13" i="25"/>
  <c r="AK154" i="29"/>
  <c r="AK147" i="29"/>
  <c r="AK150" i="29"/>
  <c r="AK144" i="29"/>
  <c r="AK160" i="29"/>
  <c r="AK143" i="29"/>
  <c r="AK148" i="29"/>
  <c r="AK151" i="29"/>
  <c r="AK11" i="29"/>
  <c r="AK17" i="28"/>
  <c r="AK161" i="27"/>
  <c r="AK146" i="27"/>
  <c r="AK156" i="27"/>
  <c r="AK141" i="27"/>
  <c r="AK154" i="27"/>
  <c r="AK147" i="27"/>
  <c r="AK160" i="27"/>
  <c r="AK143" i="27"/>
  <c r="AK150" i="27"/>
  <c r="AK144" i="27"/>
  <c r="AK65" i="27"/>
  <c r="AK110" i="29"/>
  <c r="AK26" i="29"/>
  <c r="AK152" i="28"/>
  <c r="AK163" i="28"/>
  <c r="AK144" i="28"/>
  <c r="AK150" i="28"/>
  <c r="AK143" i="28"/>
  <c r="AK160" i="28"/>
  <c r="AK148" i="28"/>
  <c r="AK162" i="28"/>
  <c r="AK146" i="28"/>
  <c r="AK161" i="28"/>
  <c r="AK147" i="28"/>
  <c r="AK154" i="28"/>
  <c r="AK153" i="28"/>
  <c r="AK156" i="28"/>
  <c r="AK158" i="28"/>
  <c r="AK155" i="28"/>
  <c r="AK157" i="28"/>
  <c r="AK53" i="28"/>
  <c r="AK70" i="28"/>
  <c r="AK63" i="28"/>
  <c r="AK58" i="28"/>
  <c r="AK20" i="27"/>
  <c r="AK147" i="26"/>
  <c r="AK154" i="26"/>
  <c r="AK156" i="26"/>
  <c r="AK158" i="26"/>
  <c r="AK155" i="26"/>
  <c r="AK157" i="26"/>
  <c r="AK146" i="26"/>
  <c r="AK161" i="26"/>
  <c r="AK144" i="26"/>
  <c r="AK150" i="26"/>
  <c r="AK148" i="26"/>
  <c r="AK162" i="26"/>
  <c r="AK152" i="26"/>
  <c r="AK163" i="26"/>
  <c r="AK143" i="26"/>
  <c r="AK160" i="26"/>
  <c r="AK99" i="26"/>
  <c r="AK105" i="26"/>
  <c r="AK110" i="26"/>
  <c r="AK65" i="26"/>
  <c r="AK153" i="25"/>
  <c r="AK148" i="25"/>
  <c r="AK162" i="25"/>
  <c r="AK152" i="25"/>
  <c r="AK163" i="25"/>
  <c r="AK143" i="25"/>
  <c r="AK160" i="25"/>
  <c r="AK146" i="25"/>
  <c r="AK161" i="25"/>
  <c r="AK147" i="25"/>
  <c r="AK154" i="25"/>
  <c r="AK144" i="25"/>
  <c r="AK150" i="25"/>
  <c r="AK156" i="25"/>
  <c r="AK158" i="25"/>
  <c r="AK155" i="25"/>
  <c r="AK157" i="25"/>
  <c r="AK109" i="25"/>
  <c r="AK116" i="25"/>
  <c r="AK65" i="25"/>
  <c r="AK155" i="29"/>
  <c r="AK157" i="29"/>
  <c r="AK155" i="27"/>
  <c r="AK157" i="27"/>
  <c r="AK151" i="27"/>
  <c r="AK148" i="27"/>
  <c r="AK145" i="27"/>
  <c r="AK153" i="27"/>
  <c r="AK142" i="29"/>
  <c r="AK152" i="29"/>
  <c r="AK142" i="27"/>
  <c r="AK152" i="27"/>
  <c r="AK146" i="29"/>
  <c r="AK161" i="29"/>
  <c r="AK141" i="29"/>
  <c r="AK156" i="29"/>
  <c r="AK153" i="29"/>
  <c r="AK54" i="27"/>
  <c r="AK60" i="27"/>
  <c r="AK53" i="27"/>
  <c r="AK10" i="28"/>
  <c r="AK11" i="28"/>
  <c r="AJ14" i="25"/>
  <c r="AK18" i="27"/>
  <c r="AK11" i="27"/>
  <c r="AK26" i="27"/>
  <c r="AK18" i="28"/>
  <c r="AK26" i="28"/>
  <c r="H202" i="1"/>
  <c r="M197" i="1"/>
  <c r="H196" i="1"/>
  <c r="H201" i="1" s="1"/>
  <c r="I204" i="1" s="1"/>
  <c r="H444" i="1"/>
  <c r="H449" i="1" s="1"/>
  <c r="H442" i="1"/>
  <c r="H447" i="1" s="1"/>
  <c r="H245" i="1"/>
  <c r="H250" i="1" s="1"/>
  <c r="H247" i="1"/>
  <c r="H252" i="1" s="1"/>
  <c r="D338" i="1"/>
  <c r="D337" i="1"/>
  <c r="D336" i="1"/>
  <c r="D330" i="1"/>
  <c r="D329" i="1"/>
  <c r="D328" i="1"/>
  <c r="E321" i="1"/>
  <c r="E330" i="1" s="1"/>
  <c r="E320" i="1"/>
  <c r="F320" i="1" s="1"/>
  <c r="E319" i="1"/>
  <c r="E328" i="1" s="1"/>
  <c r="D289" i="1"/>
  <c r="D288" i="1"/>
  <c r="D287" i="1"/>
  <c r="D281" i="1"/>
  <c r="D280" i="1"/>
  <c r="D279" i="1"/>
  <c r="E272" i="1"/>
  <c r="F272" i="1" s="1"/>
  <c r="E271" i="1"/>
  <c r="F271" i="1" s="1"/>
  <c r="E270" i="1"/>
  <c r="F270" i="1" s="1"/>
  <c r="D141" i="1"/>
  <c r="D140" i="1"/>
  <c r="D139" i="1"/>
  <c r="D133" i="1"/>
  <c r="D132" i="1"/>
  <c r="D131" i="1"/>
  <c r="E124" i="1"/>
  <c r="E133" i="1" s="1"/>
  <c r="E123" i="1"/>
  <c r="F123" i="1" s="1"/>
  <c r="E122" i="1"/>
  <c r="E131" i="1" s="1"/>
  <c r="B620" i="1"/>
  <c r="B619" i="1"/>
  <c r="B618" i="1"/>
  <c r="H610" i="1"/>
  <c r="G610" i="1"/>
  <c r="F610" i="1"/>
  <c r="E610" i="1"/>
  <c r="B610" i="1"/>
  <c r="H609" i="1"/>
  <c r="G609" i="1"/>
  <c r="F609" i="1"/>
  <c r="E609" i="1"/>
  <c r="B609" i="1"/>
  <c r="H608" i="1"/>
  <c r="G608" i="1"/>
  <c r="F608" i="1"/>
  <c r="E608" i="1"/>
  <c r="B608" i="1"/>
  <c r="H600" i="1"/>
  <c r="G600" i="1"/>
  <c r="F600" i="1"/>
  <c r="E600" i="1"/>
  <c r="H599" i="1"/>
  <c r="G599" i="1"/>
  <c r="F599" i="1"/>
  <c r="E599" i="1"/>
  <c r="H598" i="1"/>
  <c r="G598" i="1"/>
  <c r="F598" i="1"/>
  <c r="E598" i="1"/>
  <c r="H573" i="1"/>
  <c r="G573" i="1"/>
  <c r="F573" i="1"/>
  <c r="E573" i="1"/>
  <c r="D573" i="1"/>
  <c r="D522" i="1"/>
  <c r="F522" i="1"/>
  <c r="G522" i="1"/>
  <c r="H522" i="1"/>
  <c r="E522" i="1"/>
  <c r="F547" i="1"/>
  <c r="G547" i="1"/>
  <c r="H547" i="1"/>
  <c r="F548" i="1"/>
  <c r="G548" i="1"/>
  <c r="H548" i="1"/>
  <c r="F549" i="1"/>
  <c r="G549" i="1"/>
  <c r="H549" i="1"/>
  <c r="E548" i="1"/>
  <c r="E549" i="1"/>
  <c r="E547" i="1"/>
  <c r="E558" i="1"/>
  <c r="F558" i="1"/>
  <c r="G558" i="1"/>
  <c r="H558" i="1"/>
  <c r="E559" i="1"/>
  <c r="F559" i="1"/>
  <c r="G559" i="1"/>
  <c r="H559" i="1"/>
  <c r="F557" i="1"/>
  <c r="G557" i="1"/>
  <c r="H557" i="1"/>
  <c r="E557" i="1"/>
  <c r="B569" i="1"/>
  <c r="B568" i="1"/>
  <c r="B567" i="1"/>
  <c r="E30" i="1"/>
  <c r="F30" i="1"/>
  <c r="G30" i="1"/>
  <c r="H30" i="1"/>
  <c r="D30" i="1"/>
  <c r="B477" i="1"/>
  <c r="B481" i="1" s="1"/>
  <c r="B486" i="1" s="1"/>
  <c r="B490" i="1" s="1"/>
  <c r="B495" i="1" s="1"/>
  <c r="B499" i="1" s="1"/>
  <c r="B503" i="1" s="1"/>
  <c r="B507" i="1" s="1"/>
  <c r="B511" i="1" s="1"/>
  <c r="B478" i="1"/>
  <c r="B482" i="1" s="1"/>
  <c r="B487" i="1" s="1"/>
  <c r="B491" i="1" s="1"/>
  <c r="B496" i="1" s="1"/>
  <c r="B500" i="1" s="1"/>
  <c r="B504" i="1" s="1"/>
  <c r="B508" i="1" s="1"/>
  <c r="B512" i="1" s="1"/>
  <c r="B476" i="1"/>
  <c r="B480" i="1" s="1"/>
  <c r="B485" i="1" s="1"/>
  <c r="B489" i="1" s="1"/>
  <c r="B494" i="1" s="1"/>
  <c r="B498" i="1" s="1"/>
  <c r="B502" i="1" s="1"/>
  <c r="B506" i="1" s="1"/>
  <c r="B510" i="1" s="1"/>
  <c r="D504" i="1"/>
  <c r="D503" i="1"/>
  <c r="D502" i="1"/>
  <c r="D496" i="1"/>
  <c r="D495" i="1"/>
  <c r="D494" i="1"/>
  <c r="E487" i="1"/>
  <c r="E504" i="1" s="1"/>
  <c r="E486" i="1"/>
  <c r="F486" i="1" s="1"/>
  <c r="E485" i="1"/>
  <c r="E494" i="1" s="1"/>
  <c r="E532" i="1" a="1"/>
  <c r="H265" i="1" a="1"/>
  <c r="F585" i="1" a="1"/>
  <c r="G267" i="1" a="1"/>
  <c r="E533" i="1" a="1"/>
  <c r="G314" i="1" a="1"/>
  <c r="G481" i="1" a="1"/>
  <c r="H119" i="1" a="1"/>
  <c r="H583" i="1" a="1"/>
  <c r="G316" i="1" a="1"/>
  <c r="G532" i="1" a="1"/>
  <c r="F316" i="1" a="1"/>
  <c r="F482" i="1" a="1"/>
  <c r="H534" i="1" a="1"/>
  <c r="F267" i="1" a="1"/>
  <c r="F481" i="1" a="1"/>
  <c r="E118" i="1" a="1"/>
  <c r="H316" i="1" a="1"/>
  <c r="H315" i="1" a="1"/>
  <c r="G533" i="1" a="1"/>
  <c r="F584" i="1" a="1"/>
  <c r="H532" i="1" a="1"/>
  <c r="F480" i="1" a="1"/>
  <c r="H118" i="1" a="1"/>
  <c r="E316" i="1" a="1"/>
  <c r="F583" i="1" a="1"/>
  <c r="E534" i="1" a="1"/>
  <c r="E482" i="1" a="1"/>
  <c r="H267" i="1" a="1"/>
  <c r="G534" i="1" a="1"/>
  <c r="E314" i="1" a="1"/>
  <c r="F117" i="1" a="1"/>
  <c r="H585" i="1" a="1"/>
  <c r="G585" i="1" a="1"/>
  <c r="H481" i="1" a="1"/>
  <c r="E266" i="1" a="1"/>
  <c r="F314" i="1" a="1"/>
  <c r="G584" i="1" a="1"/>
  <c r="H480" i="1" a="1"/>
  <c r="G583" i="1" a="1"/>
  <c r="E315" i="1" a="1"/>
  <c r="G119" i="1" a="1"/>
  <c r="H533" i="1" a="1"/>
  <c r="E267" i="1" a="1"/>
  <c r="H584" i="1" a="1"/>
  <c r="G265" i="1" a="1"/>
  <c r="F119" i="1" a="1"/>
  <c r="E119" i="1" a="1"/>
  <c r="E585" i="1" a="1"/>
  <c r="F315" i="1" a="1"/>
  <c r="E480" i="1" a="1"/>
  <c r="E265" i="1" a="1"/>
  <c r="E117" i="1" a="1"/>
  <c r="H482" i="1" a="1"/>
  <c r="F266" i="1" a="1"/>
  <c r="G266" i="1" a="1"/>
  <c r="E583" i="1" a="1"/>
  <c r="G480" i="1" a="1"/>
  <c r="H314" i="1" a="1"/>
  <c r="F118" i="1" a="1"/>
  <c r="H117" i="1" a="1"/>
  <c r="F265" i="1" a="1"/>
  <c r="G315" i="1" a="1"/>
  <c r="G482" i="1" a="1"/>
  <c r="F534" i="1" a="1"/>
  <c r="E584" i="1" a="1"/>
  <c r="F532" i="1" a="1"/>
  <c r="G118" i="1" a="1"/>
  <c r="F533" i="1" a="1"/>
  <c r="G117" i="1" a="1"/>
  <c r="H266" i="1" a="1"/>
  <c r="E481" i="1" a="1"/>
  <c r="AJ15" i="25" l="1"/>
  <c r="I253" i="1"/>
  <c r="I450" i="1"/>
  <c r="D346" i="1"/>
  <c r="D351" i="1" s="1"/>
  <c r="E618" i="1"/>
  <c r="J618" i="1" s="1"/>
  <c r="G620" i="1"/>
  <c r="L620" i="1" s="1"/>
  <c r="D295" i="1"/>
  <c r="D300" i="1" s="1"/>
  <c r="D344" i="1"/>
  <c r="D349" i="1" s="1"/>
  <c r="D297" i="1"/>
  <c r="D302" i="1" s="1"/>
  <c r="G619" i="1"/>
  <c r="L619" i="1" s="1"/>
  <c r="E288" i="1"/>
  <c r="G567" i="1"/>
  <c r="L567" i="1" s="1"/>
  <c r="D147" i="1"/>
  <c r="D152" i="1" s="1"/>
  <c r="D296" i="1"/>
  <c r="D301" i="1" s="1"/>
  <c r="D148" i="1"/>
  <c r="D153" i="1" s="1"/>
  <c r="E280" i="1"/>
  <c r="D345" i="1"/>
  <c r="D350" i="1" s="1"/>
  <c r="D149" i="1"/>
  <c r="D154" i="1" s="1"/>
  <c r="H265" i="1"/>
  <c r="E265" i="1"/>
  <c r="G266" i="1"/>
  <c r="G314" i="1"/>
  <c r="G316" i="1"/>
  <c r="E267" i="1"/>
  <c r="E315" i="1"/>
  <c r="F265" i="1"/>
  <c r="H266" i="1"/>
  <c r="F267" i="1"/>
  <c r="H314" i="1"/>
  <c r="F315" i="1"/>
  <c r="H316" i="1"/>
  <c r="E266" i="1"/>
  <c r="G267" i="1"/>
  <c r="E314" i="1"/>
  <c r="G315" i="1"/>
  <c r="E316" i="1"/>
  <c r="F266" i="1"/>
  <c r="H267" i="1"/>
  <c r="F314" i="1"/>
  <c r="H315" i="1"/>
  <c r="F316" i="1"/>
  <c r="G265" i="1"/>
  <c r="G271" i="1"/>
  <c r="F280" i="1"/>
  <c r="F288" i="1"/>
  <c r="G272" i="1"/>
  <c r="F281" i="1"/>
  <c r="F289" i="1"/>
  <c r="F279" i="1"/>
  <c r="G270" i="1"/>
  <c r="F287" i="1"/>
  <c r="G320" i="1"/>
  <c r="F329" i="1"/>
  <c r="F337" i="1"/>
  <c r="E287" i="1"/>
  <c r="E279" i="1"/>
  <c r="F319" i="1"/>
  <c r="F321" i="1"/>
  <c r="E337" i="1"/>
  <c r="E289" i="1"/>
  <c r="E329" i="1"/>
  <c r="E281" i="1"/>
  <c r="E336" i="1"/>
  <c r="E344" i="1" s="1"/>
  <c r="E349" i="1" s="1"/>
  <c r="E338" i="1"/>
  <c r="E346" i="1" s="1"/>
  <c r="E351" i="1" s="1"/>
  <c r="F619" i="1"/>
  <c r="K619" i="1" s="1"/>
  <c r="D31" i="1"/>
  <c r="H620" i="1"/>
  <c r="M620" i="1" s="1"/>
  <c r="H619" i="1"/>
  <c r="M619" i="1" s="1"/>
  <c r="G119" i="1"/>
  <c r="H117" i="1"/>
  <c r="F118" i="1"/>
  <c r="H119" i="1"/>
  <c r="G118" i="1"/>
  <c r="G117" i="1"/>
  <c r="E117" i="1"/>
  <c r="E119" i="1"/>
  <c r="H118" i="1"/>
  <c r="E118" i="1"/>
  <c r="F117" i="1"/>
  <c r="F119" i="1"/>
  <c r="G123" i="1"/>
  <c r="F132" i="1"/>
  <c r="F140" i="1"/>
  <c r="F122" i="1"/>
  <c r="F124" i="1"/>
  <c r="E140" i="1"/>
  <c r="E132" i="1"/>
  <c r="E139" i="1"/>
  <c r="E147" i="1" s="1"/>
  <c r="E152" i="1" s="1"/>
  <c r="E141" i="1"/>
  <c r="E149" i="1" s="1"/>
  <c r="E154" i="1" s="1"/>
  <c r="E620" i="1"/>
  <c r="J620" i="1" s="1"/>
  <c r="G618" i="1"/>
  <c r="L618" i="1" s="1"/>
  <c r="E619" i="1"/>
  <c r="J619" i="1" s="1"/>
  <c r="E568" i="1"/>
  <c r="J568" i="1" s="1"/>
  <c r="F620" i="1"/>
  <c r="K620" i="1" s="1"/>
  <c r="H618" i="1"/>
  <c r="M618" i="1" s="1"/>
  <c r="H568" i="1"/>
  <c r="M568" i="1" s="1"/>
  <c r="F618" i="1"/>
  <c r="K618" i="1" s="1"/>
  <c r="H567" i="1"/>
  <c r="M567" i="1" s="1"/>
  <c r="G568" i="1"/>
  <c r="L568" i="1" s="1"/>
  <c r="G585" i="1"/>
  <c r="F583" i="1"/>
  <c r="G583" i="1"/>
  <c r="G584" i="1"/>
  <c r="F585" i="1"/>
  <c r="H583" i="1"/>
  <c r="H584" i="1"/>
  <c r="H585" i="1"/>
  <c r="E583" i="1"/>
  <c r="E584" i="1"/>
  <c r="E585" i="1"/>
  <c r="F584" i="1"/>
  <c r="E567" i="1"/>
  <c r="J567" i="1" s="1"/>
  <c r="F568" i="1"/>
  <c r="K568" i="1" s="1"/>
  <c r="H569" i="1"/>
  <c r="G569" i="1"/>
  <c r="L569" i="1" s="1"/>
  <c r="F569" i="1"/>
  <c r="K569" i="1" s="1"/>
  <c r="E569" i="1"/>
  <c r="J569" i="1" s="1"/>
  <c r="F567" i="1"/>
  <c r="K567" i="1" s="1"/>
  <c r="H533" i="1"/>
  <c r="G534" i="1"/>
  <c r="G533" i="1"/>
  <c r="F534" i="1"/>
  <c r="F533" i="1"/>
  <c r="H534" i="1"/>
  <c r="E534" i="1"/>
  <c r="E533" i="1"/>
  <c r="F532" i="1"/>
  <c r="H532" i="1"/>
  <c r="G532" i="1"/>
  <c r="E532" i="1"/>
  <c r="B557" i="1"/>
  <c r="B558" i="1"/>
  <c r="B559" i="1"/>
  <c r="D511" i="1"/>
  <c r="D516" i="1" s="1"/>
  <c r="D510" i="1"/>
  <c r="D515" i="1" s="1"/>
  <c r="D512" i="1"/>
  <c r="D517" i="1" s="1"/>
  <c r="E496" i="1"/>
  <c r="E512" i="1" s="1"/>
  <c r="G480" i="1"/>
  <c r="E481" i="1"/>
  <c r="G482" i="1"/>
  <c r="H480" i="1"/>
  <c r="F481" i="1"/>
  <c r="H482" i="1"/>
  <c r="E480" i="1"/>
  <c r="G481" i="1"/>
  <c r="E482" i="1"/>
  <c r="F480" i="1"/>
  <c r="H481" i="1"/>
  <c r="F482" i="1"/>
  <c r="G486" i="1"/>
  <c r="F495" i="1"/>
  <c r="F503" i="1"/>
  <c r="F485" i="1"/>
  <c r="F487" i="1"/>
  <c r="E503" i="1"/>
  <c r="E495" i="1"/>
  <c r="E502" i="1"/>
  <c r="E510" i="1" s="1"/>
  <c r="E515" i="1" s="1"/>
  <c r="D83" i="1"/>
  <c r="D84" i="1"/>
  <c r="D82" i="1"/>
  <c r="G70" i="1" a="1"/>
  <c r="G68" i="1" a="1"/>
  <c r="E69" i="1" a="1"/>
  <c r="E70" i="1" a="1"/>
  <c r="G69" i="1" a="1"/>
  <c r="H69" i="1" a="1"/>
  <c r="F69" i="1" a="1"/>
  <c r="H68" i="1" a="1"/>
  <c r="F68" i="1" a="1"/>
  <c r="F70" i="1" a="1"/>
  <c r="H70" i="1" a="1"/>
  <c r="E68" i="1" a="1"/>
  <c r="AJ16" i="25" l="1"/>
  <c r="E517" i="1"/>
  <c r="J512" i="1"/>
  <c r="D19" i="1"/>
  <c r="D5" i="1" s="1"/>
  <c r="D12" i="1"/>
  <c r="D21" i="1"/>
  <c r="D15" i="1" s="1"/>
  <c r="E345" i="1"/>
  <c r="E350" i="1" s="1"/>
  <c r="E295" i="1"/>
  <c r="E300" i="1" s="1"/>
  <c r="E296" i="1"/>
  <c r="E301" i="1" s="1"/>
  <c r="E297" i="1"/>
  <c r="E302" i="1" s="1"/>
  <c r="F296" i="1"/>
  <c r="F301" i="1" s="1"/>
  <c r="F328" i="1"/>
  <c r="F336" i="1"/>
  <c r="G319" i="1"/>
  <c r="H270" i="1"/>
  <c r="G279" i="1"/>
  <c r="G287" i="1"/>
  <c r="H271" i="1"/>
  <c r="G288" i="1"/>
  <c r="G280" i="1"/>
  <c r="F295" i="1"/>
  <c r="F300" i="1" s="1"/>
  <c r="F297" i="1"/>
  <c r="F302" i="1" s="1"/>
  <c r="F338" i="1"/>
  <c r="G321" i="1"/>
  <c r="F330" i="1"/>
  <c r="F345" i="1"/>
  <c r="F350" i="1" s="1"/>
  <c r="G281" i="1"/>
  <c r="G289" i="1"/>
  <c r="H272" i="1"/>
  <c r="H320" i="1"/>
  <c r="G329" i="1"/>
  <c r="G337" i="1"/>
  <c r="E148" i="1"/>
  <c r="F148" i="1"/>
  <c r="I621" i="1"/>
  <c r="H123" i="1"/>
  <c r="G132" i="1"/>
  <c r="G140" i="1"/>
  <c r="F141" i="1"/>
  <c r="F133" i="1"/>
  <c r="G124" i="1"/>
  <c r="F131" i="1"/>
  <c r="F139" i="1"/>
  <c r="G122" i="1"/>
  <c r="I570" i="1"/>
  <c r="E511" i="1"/>
  <c r="E516" i="1" s="1"/>
  <c r="F511" i="1"/>
  <c r="F516" i="1" s="1"/>
  <c r="G495" i="1"/>
  <c r="G503" i="1"/>
  <c r="H486" i="1"/>
  <c r="F494" i="1"/>
  <c r="F502" i="1"/>
  <c r="G485" i="1"/>
  <c r="G487" i="1"/>
  <c r="F496" i="1"/>
  <c r="F504" i="1"/>
  <c r="F69" i="1"/>
  <c r="H68" i="1"/>
  <c r="F70" i="1"/>
  <c r="G70" i="1"/>
  <c r="G68" i="1"/>
  <c r="H69" i="1"/>
  <c r="H70" i="1"/>
  <c r="G69" i="1"/>
  <c r="F68" i="1"/>
  <c r="E69" i="1"/>
  <c r="E70" i="1"/>
  <c r="E68" i="1"/>
  <c r="E73" i="1"/>
  <c r="E75" i="1"/>
  <c r="E92" i="1" s="1"/>
  <c r="E74" i="1"/>
  <c r="E91" i="1" s="1"/>
  <c r="D91" i="1"/>
  <c r="D99" i="1" s="1"/>
  <c r="D104" i="1" s="1"/>
  <c r="D92" i="1"/>
  <c r="D100" i="1" s="1"/>
  <c r="D105" i="1" s="1"/>
  <c r="D90" i="1"/>
  <c r="D98" i="1" s="1"/>
  <c r="D103" i="1" s="1"/>
  <c r="D13" i="1"/>
  <c r="E6" i="1"/>
  <c r="E13" i="1" s="1"/>
  <c r="E5" i="1"/>
  <c r="F5" i="1" s="1"/>
  <c r="G5" i="1" s="1"/>
  <c r="H5" i="1" s="1"/>
  <c r="H12" i="1" s="1"/>
  <c r="D4" i="1"/>
  <c r="AJ17" i="25" l="1"/>
  <c r="E153" i="1"/>
  <c r="J148" i="1"/>
  <c r="F153" i="1"/>
  <c r="K148" i="1"/>
  <c r="E460" i="1"/>
  <c r="E458" i="1"/>
  <c r="E456" i="1"/>
  <c r="E459" i="1"/>
  <c r="E457" i="1"/>
  <c r="E455" i="1"/>
  <c r="H44" i="1"/>
  <c r="H45" i="1"/>
  <c r="H38" i="1"/>
  <c r="H39" i="1"/>
  <c r="H37" i="1"/>
  <c r="H36" i="1"/>
  <c r="G297" i="1"/>
  <c r="G302" i="1" s="1"/>
  <c r="G148" i="1"/>
  <c r="H43" i="1"/>
  <c r="H42" i="1"/>
  <c r="F346" i="1"/>
  <c r="F351" i="1" s="1"/>
  <c r="F149" i="1"/>
  <c r="F154" i="1" s="1"/>
  <c r="H321" i="1"/>
  <c r="G338" i="1"/>
  <c r="G330" i="1"/>
  <c r="G345" i="1"/>
  <c r="G350" i="1" s="1"/>
  <c r="H279" i="1"/>
  <c r="H287" i="1"/>
  <c r="H329" i="1"/>
  <c r="H337" i="1"/>
  <c r="G328" i="1"/>
  <c r="G336" i="1"/>
  <c r="H319" i="1"/>
  <c r="H280" i="1"/>
  <c r="H288" i="1"/>
  <c r="G295" i="1"/>
  <c r="G300" i="1" s="1"/>
  <c r="H281" i="1"/>
  <c r="H289" i="1"/>
  <c r="G296" i="1"/>
  <c r="F344" i="1"/>
  <c r="F349" i="1" s="1"/>
  <c r="F147" i="1"/>
  <c r="F152" i="1" s="1"/>
  <c r="H124" i="1"/>
  <c r="G133" i="1"/>
  <c r="G141" i="1"/>
  <c r="G131" i="1"/>
  <c r="G139" i="1"/>
  <c r="H122" i="1"/>
  <c r="H132" i="1"/>
  <c r="H140" i="1"/>
  <c r="G511" i="1"/>
  <c r="G516" i="1" s="1"/>
  <c r="F510" i="1"/>
  <c r="F515" i="1" s="1"/>
  <c r="F512" i="1"/>
  <c r="F517" i="1" s="1"/>
  <c r="H487" i="1"/>
  <c r="G496" i="1"/>
  <c r="G504" i="1"/>
  <c r="G502" i="1"/>
  <c r="H485" i="1"/>
  <c r="G494" i="1"/>
  <c r="H495" i="1"/>
  <c r="H503" i="1"/>
  <c r="F73" i="1"/>
  <c r="F90" i="1" s="1"/>
  <c r="E82" i="1"/>
  <c r="F74" i="1"/>
  <c r="E83" i="1"/>
  <c r="E99" i="1" s="1"/>
  <c r="E104" i="1" s="1"/>
  <c r="F75" i="1"/>
  <c r="E84" i="1"/>
  <c r="E100" i="1" s="1"/>
  <c r="E105" i="1" s="1"/>
  <c r="E90" i="1"/>
  <c r="D11" i="1"/>
  <c r="F6" i="1"/>
  <c r="E12" i="1"/>
  <c r="G12" i="1"/>
  <c r="F12" i="1"/>
  <c r="E4" i="1"/>
  <c r="E464" i="1" a="1"/>
  <c r="E466" i="1" a="1"/>
  <c r="H49" i="1" a="1"/>
  <c r="H51" i="1" a="1"/>
  <c r="H53" i="1" a="1"/>
  <c r="E465" i="1" a="1"/>
  <c r="H56" i="1" a="1"/>
  <c r="H54" i="1" a="1"/>
  <c r="H50" i="1" a="1"/>
  <c r="E467" i="1" a="1"/>
  <c r="H55" i="1" a="1"/>
  <c r="H52" i="1" a="1"/>
  <c r="E463" i="1" a="1"/>
  <c r="E468" i="1" a="1"/>
  <c r="AJ18" i="25" l="1"/>
  <c r="G301" i="1"/>
  <c r="L296" i="1"/>
  <c r="G153" i="1"/>
  <c r="L148" i="1"/>
  <c r="E467" i="1"/>
  <c r="E463" i="1"/>
  <c r="E465" i="1"/>
  <c r="E468" i="1"/>
  <c r="E466" i="1"/>
  <c r="E464" i="1"/>
  <c r="E454" i="1"/>
  <c r="E20" i="1" s="1"/>
  <c r="F45" i="1"/>
  <c r="F44" i="1"/>
  <c r="G45" i="1"/>
  <c r="G44" i="1"/>
  <c r="E45" i="1"/>
  <c r="E44" i="1"/>
  <c r="H55" i="1"/>
  <c r="H52" i="1"/>
  <c r="H51" i="1"/>
  <c r="H56" i="1"/>
  <c r="H32" i="1"/>
  <c r="E37" i="1"/>
  <c r="E38" i="1"/>
  <c r="E39" i="1"/>
  <c r="F39" i="1"/>
  <c r="F37" i="1"/>
  <c r="F38" i="1"/>
  <c r="F36" i="1"/>
  <c r="G39" i="1"/>
  <c r="G37" i="1"/>
  <c r="G36" i="1"/>
  <c r="G38" i="1"/>
  <c r="H33" i="1"/>
  <c r="H54" i="1"/>
  <c r="H49" i="1"/>
  <c r="H53" i="1"/>
  <c r="H50" i="1"/>
  <c r="G346" i="1"/>
  <c r="G351" i="1" s="1"/>
  <c r="G43" i="1"/>
  <c r="G42" i="1"/>
  <c r="F43" i="1"/>
  <c r="F42" i="1"/>
  <c r="E36" i="1"/>
  <c r="E43" i="1"/>
  <c r="E42" i="1"/>
  <c r="G344" i="1"/>
  <c r="G349" i="1" s="1"/>
  <c r="H330" i="1"/>
  <c r="H338" i="1"/>
  <c r="H297" i="1"/>
  <c r="H302" i="1" s="1"/>
  <c r="H345" i="1"/>
  <c r="H295" i="1"/>
  <c r="H300" i="1" s="1"/>
  <c r="H296" i="1"/>
  <c r="H336" i="1"/>
  <c r="H328" i="1"/>
  <c r="G147" i="1"/>
  <c r="G152" i="1" s="1"/>
  <c r="H148" i="1"/>
  <c r="H139" i="1"/>
  <c r="H131" i="1"/>
  <c r="G149" i="1"/>
  <c r="G154" i="1" s="1"/>
  <c r="H133" i="1"/>
  <c r="H141" i="1"/>
  <c r="G510" i="1"/>
  <c r="G515" i="1" s="1"/>
  <c r="H511" i="1"/>
  <c r="G512" i="1"/>
  <c r="G517" i="1" s="1"/>
  <c r="H496" i="1"/>
  <c r="H504" i="1"/>
  <c r="H494" i="1"/>
  <c r="H502" i="1"/>
  <c r="E98" i="1"/>
  <c r="E103" i="1" s="1"/>
  <c r="G75" i="1"/>
  <c r="F84" i="1"/>
  <c r="F92" i="1"/>
  <c r="G74" i="1"/>
  <c r="F83" i="1"/>
  <c r="F91" i="1"/>
  <c r="E11" i="1"/>
  <c r="G73" i="1"/>
  <c r="F82" i="1"/>
  <c r="F98" i="1" s="1"/>
  <c r="F103" i="1" s="1"/>
  <c r="F4" i="1"/>
  <c r="G6" i="1"/>
  <c r="F13" i="1"/>
  <c r="E53" i="1" a="1"/>
  <c r="F50" i="1" a="1"/>
  <c r="E56" i="1" a="1"/>
  <c r="F52" i="1" a="1"/>
  <c r="E55" i="1" a="1"/>
  <c r="G51" i="1" a="1"/>
  <c r="G55" i="1" a="1"/>
  <c r="E54" i="1" a="1"/>
  <c r="G50" i="1" a="1"/>
  <c r="F49" i="1" a="1"/>
  <c r="F51" i="1" a="1"/>
  <c r="E49" i="1" a="1"/>
  <c r="G49" i="1" a="1"/>
  <c r="E52" i="1" a="1"/>
  <c r="G53" i="1" a="1"/>
  <c r="F53" i="1" a="1"/>
  <c r="F55" i="1" a="1"/>
  <c r="E51" i="1" a="1"/>
  <c r="G52" i="1" a="1"/>
  <c r="G54" i="1" a="1"/>
  <c r="G56" i="1" a="1"/>
  <c r="E50" i="1" a="1"/>
  <c r="F54" i="1" a="1"/>
  <c r="F56" i="1" a="1"/>
  <c r="AJ19" i="25" l="1"/>
  <c r="H301" i="1"/>
  <c r="I303" i="1" s="1"/>
  <c r="M296" i="1"/>
  <c r="H516" i="1"/>
  <c r="M511" i="1"/>
  <c r="H350" i="1"/>
  <c r="M345" i="1"/>
  <c r="H153" i="1"/>
  <c r="M148" i="1"/>
  <c r="F460" i="1"/>
  <c r="F458" i="1"/>
  <c r="F456" i="1"/>
  <c r="F459" i="1"/>
  <c r="F457" i="1"/>
  <c r="F455" i="1"/>
  <c r="G32" i="1"/>
  <c r="G33" i="1"/>
  <c r="F55" i="1"/>
  <c r="G51" i="1"/>
  <c r="F51" i="1"/>
  <c r="E56" i="1"/>
  <c r="E51" i="1"/>
  <c r="G55" i="1"/>
  <c r="F52" i="1"/>
  <c r="F56" i="1"/>
  <c r="E55" i="1"/>
  <c r="G52" i="1"/>
  <c r="G56" i="1"/>
  <c r="E52" i="1"/>
  <c r="E32" i="1"/>
  <c r="F33" i="1"/>
  <c r="F32" i="1"/>
  <c r="E33" i="1"/>
  <c r="H31" i="1"/>
  <c r="H19" i="1" s="1"/>
  <c r="F50" i="1"/>
  <c r="F53" i="1"/>
  <c r="G49" i="1"/>
  <c r="G50" i="1"/>
  <c r="E49" i="1"/>
  <c r="E50" i="1"/>
  <c r="F49" i="1"/>
  <c r="G53" i="1"/>
  <c r="G54" i="1"/>
  <c r="F54" i="1"/>
  <c r="E53" i="1"/>
  <c r="E54" i="1"/>
  <c r="H346" i="1"/>
  <c r="H351" i="1" s="1"/>
  <c r="H344" i="1"/>
  <c r="H349" i="1" s="1"/>
  <c r="H147" i="1"/>
  <c r="H152" i="1" s="1"/>
  <c r="H149" i="1"/>
  <c r="H154" i="1" s="1"/>
  <c r="H510" i="1"/>
  <c r="H515" i="1" s="1"/>
  <c r="H512" i="1"/>
  <c r="F11" i="1"/>
  <c r="F100" i="1"/>
  <c r="F105" i="1" s="1"/>
  <c r="F99" i="1"/>
  <c r="F104" i="1" s="1"/>
  <c r="H74" i="1"/>
  <c r="G83" i="1"/>
  <c r="G91" i="1"/>
  <c r="H73" i="1"/>
  <c r="G82" i="1"/>
  <c r="G90" i="1"/>
  <c r="H75" i="1"/>
  <c r="G84" i="1"/>
  <c r="G92" i="1"/>
  <c r="H6" i="1"/>
  <c r="G13" i="1"/>
  <c r="G4" i="1"/>
  <c r="F463" i="1" a="1"/>
  <c r="F466" i="1" a="1"/>
  <c r="F465" i="1" a="1"/>
  <c r="F468" i="1" a="1"/>
  <c r="F467" i="1" a="1"/>
  <c r="F464" i="1" a="1"/>
  <c r="AJ20" i="25" l="1"/>
  <c r="H517" i="1"/>
  <c r="M512" i="1"/>
  <c r="I518" i="1"/>
  <c r="G460" i="1"/>
  <c r="G458" i="1"/>
  <c r="G456" i="1"/>
  <c r="G459" i="1"/>
  <c r="G457" i="1"/>
  <c r="F465" i="1"/>
  <c r="F466" i="1"/>
  <c r="F467" i="1"/>
  <c r="F463" i="1"/>
  <c r="F468" i="1"/>
  <c r="F464" i="1"/>
  <c r="F454" i="1"/>
  <c r="F20" i="1" s="1"/>
  <c r="G11" i="1"/>
  <c r="G455" i="1"/>
  <c r="E31" i="1"/>
  <c r="E19" i="1" s="1"/>
  <c r="E21" i="1" s="1"/>
  <c r="G31" i="1"/>
  <c r="G19" i="1" s="1"/>
  <c r="I352" i="1"/>
  <c r="F31" i="1"/>
  <c r="F19" i="1" s="1"/>
  <c r="I155" i="1"/>
  <c r="G98" i="1"/>
  <c r="G103" i="1" s="1"/>
  <c r="G100" i="1"/>
  <c r="G105" i="1" s="1"/>
  <c r="H90" i="1"/>
  <c r="H82" i="1"/>
  <c r="H84" i="1"/>
  <c r="H92" i="1"/>
  <c r="G99" i="1"/>
  <c r="H83" i="1"/>
  <c r="H91" i="1"/>
  <c r="H13" i="1"/>
  <c r="H4" i="1"/>
  <c r="E16" i="1" a="1"/>
  <c r="G464" i="1" a="1"/>
  <c r="G467" i="1" a="1"/>
  <c r="G463" i="1" a="1"/>
  <c r="G466" i="1" a="1"/>
  <c r="G465" i="1" a="1"/>
  <c r="G468" i="1" a="1"/>
  <c r="AJ21" i="25" l="1"/>
  <c r="G104" i="1"/>
  <c r="L99" i="1"/>
  <c r="F21" i="1"/>
  <c r="H460" i="1"/>
  <c r="H458" i="1"/>
  <c r="H456" i="1"/>
  <c r="H459" i="1"/>
  <c r="H457" i="1"/>
  <c r="G466" i="1"/>
  <c r="G467" i="1"/>
  <c r="G465" i="1"/>
  <c r="G463" i="1"/>
  <c r="G468" i="1"/>
  <c r="G464" i="1"/>
  <c r="H11" i="1"/>
  <c r="H455" i="1"/>
  <c r="G454" i="1"/>
  <c r="G20" i="1" s="1"/>
  <c r="G21" i="1" s="1"/>
  <c r="E16" i="1"/>
  <c r="H98" i="1"/>
  <c r="H103" i="1" s="1"/>
  <c r="H99" i="1"/>
  <c r="H100" i="1"/>
  <c r="H105" i="1" s="1"/>
  <c r="H466" i="1" a="1"/>
  <c r="H465" i="1" a="1"/>
  <c r="H464" i="1" a="1"/>
  <c r="G16" i="1" a="1"/>
  <c r="F16" i="1" a="1"/>
  <c r="H468" i="1" a="1"/>
  <c r="H467" i="1" a="1"/>
  <c r="H463" i="1" a="1"/>
  <c r="AJ22" i="25" l="1"/>
  <c r="H104" i="1"/>
  <c r="M99" i="1"/>
  <c r="G16" i="1"/>
  <c r="F16" i="1"/>
  <c r="H465" i="1"/>
  <c r="H463" i="1"/>
  <c r="H467" i="1"/>
  <c r="H468" i="1"/>
  <c r="H466" i="1"/>
  <c r="H464" i="1"/>
  <c r="H454" i="1"/>
  <c r="H20" i="1" s="1"/>
  <c r="H21" i="1" s="1"/>
  <c r="I106" i="1"/>
  <c r="J7" i="1" s="1"/>
  <c r="H16" i="1" a="1"/>
  <c r="AJ23" i="25" l="1"/>
  <c r="H16" i="1"/>
  <c r="AJ24" i="25" l="1"/>
  <c r="AJ25" i="25" l="1"/>
  <c r="AJ26" i="25" l="1"/>
  <c r="AJ27" i="25" l="1"/>
  <c r="AJ28" i="2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<sst xmlns="http://schemas.openxmlformats.org/spreadsheetml/2006/main" count="5227" uniqueCount="292">
  <si>
    <t>Units</t>
  </si>
  <si>
    <t>Activity index</t>
  </si>
  <si>
    <t>Total GHG Emissions</t>
  </si>
  <si>
    <t>kt</t>
  </si>
  <si>
    <t>Vehicles</t>
  </si>
  <si>
    <t>Assumes baseline emissions are proportional to activity index</t>
  </si>
  <si>
    <t>%</t>
  </si>
  <si>
    <t>Emissions baseline net of EE</t>
  </si>
  <si>
    <t>Emissions option by activity</t>
  </si>
  <si>
    <t>Total emissions</t>
  </si>
  <si>
    <t>Savings</t>
  </si>
  <si>
    <t>EV</t>
  </si>
  <si>
    <t>HFEV</t>
  </si>
  <si>
    <t>Biofuel</t>
  </si>
  <si>
    <t>Capex per tCO2 saved</t>
  </si>
  <si>
    <t>£/tCO2e</t>
  </si>
  <si>
    <t>Annuity</t>
  </si>
  <si>
    <t>Fixed operations and maintenance</t>
  </si>
  <si>
    <t>Years</t>
  </si>
  <si>
    <t>Life of assets</t>
  </si>
  <si>
    <t>Fixed ORM % of initial capex</t>
  </si>
  <si>
    <t>Real discount rate</t>
  </si>
  <si>
    <t>Unit energy cost</t>
  </si>
  <si>
    <t>Cost of emission abatement</t>
  </si>
  <si>
    <t>£k</t>
  </si>
  <si>
    <t>Total unit cost of saving</t>
  </si>
  <si>
    <t>Max limit on deployment</t>
  </si>
  <si>
    <t>Slacks on max deployment caps</t>
  </si>
  <si>
    <t>Emissions target</t>
  </si>
  <si>
    <t>Overshoot on target</t>
  </si>
  <si>
    <t>shadow prices</t>
  </si>
  <si>
    <t>Others</t>
  </si>
  <si>
    <t>Building and equipment mods</t>
  </si>
  <si>
    <t>Heat pumps DH</t>
  </si>
  <si>
    <t>HGV</t>
  </si>
  <si>
    <t>Airport operated</t>
  </si>
  <si>
    <t>HVAC</t>
  </si>
  <si>
    <t>Lighting</t>
  </si>
  <si>
    <t>Comms + plug power</t>
  </si>
  <si>
    <t>De-icing</t>
  </si>
  <si>
    <t>Refrigerants</t>
  </si>
  <si>
    <t>PCA</t>
  </si>
  <si>
    <t>Savings in HVAC</t>
  </si>
  <si>
    <t>Heat pumps - distributed</t>
  </si>
  <si>
    <t>OLEDs</t>
  </si>
  <si>
    <t>Smart controls</t>
  </si>
  <si>
    <t>Life of asset</t>
  </si>
  <si>
    <t>Third party operators</t>
  </si>
  <si>
    <t>Airport operated vehicles</t>
  </si>
  <si>
    <t>HGV diesels</t>
  </si>
  <si>
    <t>Total</t>
  </si>
  <si>
    <t>Check on emissions</t>
  </si>
  <si>
    <t>Car</t>
  </si>
  <si>
    <t>Airport operated buses</t>
  </si>
  <si>
    <t>Airport operated HGVs</t>
  </si>
  <si>
    <t>Airport operated SUVs</t>
  </si>
  <si>
    <t>Airport operated cars</t>
  </si>
  <si>
    <t>SUVs</t>
  </si>
  <si>
    <t>Buses</t>
  </si>
  <si>
    <t>Cars</t>
  </si>
  <si>
    <t>Third Party operated HGVs</t>
  </si>
  <si>
    <t>Third Party operated Buses</t>
  </si>
  <si>
    <t>Third Party operated SUVs</t>
  </si>
  <si>
    <t>Total B&amp;I emissions</t>
  </si>
  <si>
    <t>Third Party operated cars</t>
  </si>
  <si>
    <t>Buildings and Infrastructure (airport operated)</t>
  </si>
  <si>
    <t>Buildings &amp; Infrastructure</t>
  </si>
  <si>
    <t>Non-negative check on emissions</t>
  </si>
  <si>
    <t>Low energy comms</t>
  </si>
  <si>
    <t>Airport ops - HGV diesels</t>
  </si>
  <si>
    <t>Airport ops - SUVs</t>
  </si>
  <si>
    <t>Airport ops - Buses</t>
  </si>
  <si>
    <t>Airport ops - Cars</t>
  </si>
  <si>
    <t>Third party ops - HGV diesels</t>
  </si>
  <si>
    <t>Third party ops - Buses</t>
  </si>
  <si>
    <t>Third party ops - SUVs</t>
  </si>
  <si>
    <t>Third party ops - Cars</t>
  </si>
  <si>
    <t>legacy fuel costs</t>
  </si>
  <si>
    <t>carbon</t>
  </si>
  <si>
    <t>then applies differentiated energy efficiency factors</t>
  </si>
  <si>
    <r>
      <t xml:space="preserve">Efficieny saving </t>
    </r>
    <r>
      <rPr>
        <sz val="11"/>
        <color rgb="FFFF0000"/>
        <rFont val="Calibri"/>
        <family val="2"/>
        <scheme val="minor"/>
      </rPr>
      <t>cumulative</t>
    </r>
  </si>
  <si>
    <t>2020=100</t>
  </si>
  <si>
    <t>marginal prices</t>
  </si>
  <si>
    <t>diesel</t>
  </si>
  <si>
    <t>kt fuel per kt CO2e</t>
  </si>
  <si>
    <t>Fuel cost saving</t>
  </si>
  <si>
    <t>kt fuel displaced</t>
  </si>
  <si>
    <t>Unit cost of fuel</t>
  </si>
  <si>
    <t>£/t</t>
  </si>
  <si>
    <t>£m</t>
  </si>
  <si>
    <t>Carbon cost</t>
  </si>
  <si>
    <t>£/tCOe</t>
  </si>
  <si>
    <t>Carbon cost saving</t>
  </si>
  <si>
    <t>ATM</t>
  </si>
  <si>
    <t>express as %</t>
  </si>
  <si>
    <t>Intervention</t>
  </si>
  <si>
    <t>Displaced emission source</t>
  </si>
  <si>
    <t>Unit for capex</t>
  </si>
  <si>
    <t>vehicle</t>
  </si>
  <si>
    <t>Specific Capex: £k</t>
  </si>
  <si>
    <t>Life of assets (years)</t>
  </si>
  <si>
    <t>Real discount rate: %</t>
  </si>
  <si>
    <t>Annuity: £k/unit</t>
  </si>
  <si>
    <t>Emissions acoided a year: t</t>
  </si>
  <si>
    <t>Fuel cost avoided: £k/yr</t>
  </si>
  <si>
    <t>Carbon cost avoided: £/tCO2e</t>
  </si>
  <si>
    <t>Carbon cost avoided: £k/yr</t>
  </si>
  <si>
    <t>Net all-in cost of carbon: £/tCO2e</t>
  </si>
  <si>
    <t>All-in cost of carbon saved: £/tCO2e</t>
  </si>
  <si>
    <t>Light Goods Vehicle (LGV)</t>
  </si>
  <si>
    <t>Car/Small Van</t>
  </si>
  <si>
    <t>Loading Elevator</t>
  </si>
  <si>
    <t>Large Van</t>
  </si>
  <si>
    <t>Large Bus/Coach</t>
  </si>
  <si>
    <t>Baggage Tug</t>
  </si>
  <si>
    <t>Ground Support Equipment (GSE) (Refuelling etc etc)</t>
  </si>
  <si>
    <t>Police, Fire or Ambulance Vehicles</t>
  </si>
  <si>
    <t>Aircraft Tug</t>
  </si>
  <si>
    <t>Conveyor Belt</t>
  </si>
  <si>
    <t>A small multi seat vehicle that carries approximately 10 or less people</t>
  </si>
  <si>
    <t>Construction plant / Equipment</t>
  </si>
  <si>
    <t>Deicing Rig</t>
  </si>
  <si>
    <t>Airstart Vehicles</t>
  </si>
  <si>
    <t>Crane/lifting equipment</t>
  </si>
  <si>
    <t>Catering Vehicles</t>
  </si>
  <si>
    <t>Security Trucks/Armoured Trucks</t>
  </si>
  <si>
    <t>Large support</t>
  </si>
  <si>
    <t>Small support</t>
  </si>
  <si>
    <t>Cars/vans</t>
  </si>
  <si>
    <t>Non-energy opex: % of capex</t>
  </si>
  <si>
    <t>Non-energy opex: £k/yr</t>
  </si>
  <si>
    <t>Energy bill £k/yr</t>
  </si>
  <si>
    <t>Energy use MWh/yr</t>
  </si>
  <si>
    <t>Energy cost: £/MWh</t>
  </si>
  <si>
    <t>Fuel emission factor</t>
  </si>
  <si>
    <t>Fuel use avoided: MWh</t>
  </si>
  <si>
    <t>All-in cost: £k/ unit/yr</t>
  </si>
  <si>
    <t>Net all-in cost £k/ unit/ yr</t>
  </si>
  <si>
    <t>BEIS</t>
  </si>
  <si>
    <t>Electric vehicle</t>
  </si>
  <si>
    <t>Heating</t>
  </si>
  <si>
    <t>Baggage tugs</t>
  </si>
  <si>
    <t>Baggage loaders</t>
  </si>
  <si>
    <t>Cargo handling</t>
  </si>
  <si>
    <t>Catering trucks</t>
  </si>
  <si>
    <t>Re-fuelling trucks</t>
  </si>
  <si>
    <t>Aircraft tugs</t>
  </si>
  <si>
    <t>Aircraft service (bowser, water, cleaning staff, materials/waste)</t>
  </si>
  <si>
    <t>Aircraft De-icing</t>
  </si>
  <si>
    <t>Mobile stairs</t>
  </si>
  <si>
    <t>Crew transport</t>
  </si>
  <si>
    <t>Ops cars</t>
  </si>
  <si>
    <t>Fire tenders</t>
  </si>
  <si>
    <t>Airport de-icing/snow</t>
  </si>
  <si>
    <t>Cars (Ops/Company)</t>
  </si>
  <si>
    <t>old list</t>
  </si>
  <si>
    <t>FCEV</t>
  </si>
  <si>
    <t>Elec heat pump</t>
  </si>
  <si>
    <t>Electricity</t>
  </si>
  <si>
    <t>Natural gas</t>
  </si>
  <si>
    <t>Baggage/people movement</t>
  </si>
  <si>
    <t>Lighting, comms, electronics and security</t>
  </si>
  <si>
    <t>Cooling and ventilation</t>
  </si>
  <si>
    <t>Equipment upgrade/ controls</t>
  </si>
  <si>
    <t>Retail, hotels and catering</t>
  </si>
  <si>
    <t xml:space="preserve">Miscelaneous </t>
  </si>
  <si>
    <t>kW input</t>
  </si>
  <si>
    <t>cap</t>
  </si>
  <si>
    <t>opex</t>
  </si>
  <si>
    <t>energy</t>
  </si>
  <si>
    <t>BNI</t>
  </si>
  <si>
    <t>Vehicle</t>
  </si>
  <si>
    <t>Use</t>
  </si>
  <si>
    <t>Activity</t>
  </si>
  <si>
    <t>transport carbon price</t>
  </si>
  <si>
    <t>Other carbon price</t>
  </si>
  <si>
    <t>Price</t>
  </si>
  <si>
    <t>Mt/yr</t>
  </si>
  <si>
    <t>Infrastructure</t>
  </si>
  <si>
    <t xml:space="preserve"> - Electricity</t>
  </si>
  <si>
    <t xml:space="preserve"> - Heating fuels (98% gas)</t>
  </si>
  <si>
    <t xml:space="preserve"> - Others (f gases etc)</t>
  </si>
  <si>
    <t>Car/LGV</t>
  </si>
  <si>
    <t>Specialist</t>
  </si>
  <si>
    <t xml:space="preserve"> - Lite</t>
  </si>
  <si>
    <t xml:space="preserve"> - Heavy</t>
  </si>
  <si>
    <t xml:space="preserve"> - Construction</t>
  </si>
  <si>
    <t>Emergency</t>
  </si>
  <si>
    <t>Heavy</t>
  </si>
  <si>
    <t>ktCO2e/yr</t>
  </si>
  <si>
    <t>% breakdown vehicles</t>
  </si>
  <si>
    <t>kilolitres/ vehicle/yr</t>
  </si>
  <si>
    <t>km/litre</t>
  </si>
  <si>
    <t>km/ vehicle/yr</t>
  </si>
  <si>
    <t>mpg</t>
  </si>
  <si>
    <t>MWh /vehicle/yr</t>
  </si>
  <si>
    <t>GJ</t>
  </si>
  <si>
    <t>.85 is kg/l</t>
  </si>
  <si>
    <t>Aircraft</t>
  </si>
  <si>
    <t>Fuel cost avoided: £/MWh</t>
  </si>
  <si>
    <t>2.82 is conversion from mpg to kmpl</t>
  </si>
  <si>
    <t>38 GJ in a litre diesel</t>
  </si>
  <si>
    <t>£/litre</t>
  </si>
  <si>
    <t>Diesel</t>
  </si>
  <si>
    <t>Aircraft auxillary power (when on ground)</t>
  </si>
  <si>
    <t>Emissions saved: kt/yr</t>
  </si>
  <si>
    <t>% lite</t>
  </si>
  <si>
    <t>ICE</t>
  </si>
  <si>
    <t>Source</t>
  </si>
  <si>
    <t>FHEV</t>
  </si>
  <si>
    <t>Electric Cars vs Petrol, Diesel &amp; Hybrid - How To Make The Right Engine Choice | Vanarama</t>
  </si>
  <si>
    <t>Diesel Engine vs. EV: Which is better? (interestingengineering.com)</t>
  </si>
  <si>
    <t>55627041.pdf (core.ac.uk)</t>
  </si>
  <si>
    <t>Our guide to electric car efficiency | Octopus EV</t>
  </si>
  <si>
    <t>How efficient are electric cars? | Autocar</t>
  </si>
  <si>
    <t>EVs: Are they really more efficient? (energycouncil.com.au)</t>
  </si>
  <si>
    <t>What’s the efficiency of an electric motor? Let’s take a look - Renault Group</t>
  </si>
  <si>
    <t>Difference factor</t>
  </si>
  <si>
    <t>Relative Energy Efficiency</t>
  </si>
  <si>
    <t>Truck/bus</t>
  </si>
  <si>
    <t>Electric bus range, focus on electricity consumption. A sum-up - (sustainable-bus.com)</t>
  </si>
  <si>
    <t>Battery capacity</t>
  </si>
  <si>
    <t>A Case Study: How to Charge 100 Electric Buses | Ampcontrol</t>
  </si>
  <si>
    <t>School Bus Electrification: Charging Q&amp;A - CleanTechnica</t>
  </si>
  <si>
    <t>Cost of Charging an Electric Car | Pod Point (pod-point.com)</t>
  </si>
  <si>
    <t>Alternative Fuels Data Center: Charging Electric Vehicles at Home (energy.gov)</t>
  </si>
  <si>
    <t>Charging time summary | Knowledge center (mobilityhouse.com)</t>
  </si>
  <si>
    <t>km/vehicle/yr</t>
  </si>
  <si>
    <t>Energy used (KWh) per 100km</t>
  </si>
  <si>
    <t>Comprehensive energy assessment of battery electric buses and diesel buses (core.ac.uk)</t>
  </si>
  <si>
    <t>pdf (iop.org)</t>
  </si>
  <si>
    <t>Class</t>
  </si>
  <si>
    <r>
      <t>Other 3</t>
    </r>
    <r>
      <rPr>
        <vertAlign val="superscript"/>
        <sz val="11"/>
        <color rgb="FF000000"/>
        <rFont val="Calibri"/>
        <family val="2"/>
        <scheme val="minor"/>
      </rPr>
      <t>rd</t>
    </r>
    <r>
      <rPr>
        <sz val="11"/>
        <color rgb="FF000000"/>
        <rFont val="Calibri"/>
        <family val="2"/>
        <scheme val="minor"/>
      </rPr>
      <t xml:space="preserve"> party vehicles (Logistics, maintenance, construction)</t>
    </r>
  </si>
  <si>
    <t>The basics of truck charging - Milence</t>
  </si>
  <si>
    <t>km range</t>
  </si>
  <si>
    <t>MWh/yr</t>
  </si>
  <si>
    <t>What Fleets Need to Know About Electric-Truck Batteries - Equipment - Trucking Info</t>
  </si>
  <si>
    <t>This electric truck needs a 420kWh battery to do 250 miles | Top Gear</t>
  </si>
  <si>
    <t>Why EVs are more efficient than any fuel-burning car | EDF (edfenergy.com)</t>
  </si>
  <si>
    <t>How efficient are electric cars?  | Move Electric</t>
  </si>
  <si>
    <t>Electric Car Myth Buster — Efficiency - CleanTechnica</t>
  </si>
  <si>
    <t>Electric Vehicles Are Way, Way More Energy-Efficient Than Internal Combustion Vehicles (motortrend.com)</t>
  </si>
  <si>
    <t>Efficiency: How EVs Use Fuel Better | Clean Charge Network</t>
  </si>
  <si>
    <t>Pros and Cons of Electric Cars | EnergySage</t>
  </si>
  <si>
    <t>No.</t>
  </si>
  <si>
    <t>Large</t>
  </si>
  <si>
    <t>Medium</t>
  </si>
  <si>
    <t>Small</t>
  </si>
  <si>
    <t>Base (2019)</t>
  </si>
  <si>
    <t>Cost reduction in Capex</t>
  </si>
  <si>
    <t>E HPs</t>
  </si>
  <si>
    <t>Other BNI</t>
  </si>
  <si>
    <t>EVs</t>
  </si>
  <si>
    <t>Large Airport</t>
  </si>
  <si>
    <t>Medium Airport -</t>
  </si>
  <si>
    <t>Small Airport -</t>
  </si>
  <si>
    <t>Very Large</t>
  </si>
  <si>
    <t>Growth in ATM</t>
  </si>
  <si>
    <t>Growth in CO2 emissions: ktCO2e</t>
  </si>
  <si>
    <t>Growth in ATMs (index)</t>
  </si>
  <si>
    <t>Emission scalar</t>
  </si>
  <si>
    <t>Selected</t>
  </si>
  <si>
    <t>Kt emissions</t>
  </si>
  <si>
    <t>Capex</t>
  </si>
  <si>
    <t>Heathrow (cars)</t>
  </si>
  <si>
    <t>Other buildings/ infrastructure</t>
  </si>
  <si>
    <t>Auxiliary diesel generation</t>
  </si>
  <si>
    <t>GA*</t>
  </si>
  <si>
    <t>Aux gen</t>
  </si>
  <si>
    <t>Electricity specific uses</t>
  </si>
  <si>
    <t>Vehicles no.</t>
  </si>
  <si>
    <t>t CO2e/ vehicle/yr</t>
  </si>
  <si>
    <t>Emission factor: kgCO2/litre diesel</t>
  </si>
  <si>
    <t>Charges/yr</t>
  </si>
  <si>
    <t>kWh/charge</t>
  </si>
  <si>
    <t>kWh/yr</t>
  </si>
  <si>
    <t>EV energy consumption</t>
  </si>
  <si>
    <t>Diesel vehicle energy consumption</t>
  </si>
  <si>
    <t>GA</t>
  </si>
  <si>
    <t>General aviation</t>
  </si>
  <si>
    <t>General Aviation</t>
  </si>
  <si>
    <t>large</t>
  </si>
  <si>
    <t>medium</t>
  </si>
  <si>
    <t>small</t>
  </si>
  <si>
    <t>Emissions in 2019 by category</t>
  </si>
  <si>
    <t>Totals</t>
  </si>
  <si>
    <t>Discount rate</t>
  </si>
  <si>
    <t>Amortisation period (years)</t>
  </si>
  <si>
    <t>Technology Option</t>
  </si>
  <si>
    <t>Category</t>
  </si>
  <si>
    <t>ktCO2e</t>
  </si>
  <si>
    <t>total costs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</si>
</sst>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0.0%"/>
    <numFmt numFmtId="165" formatCode="#,##0.0_ ;[Red]\-#,##0.0\ "/>
    <numFmt numFmtId="166" formatCode="0.0"/>
    <numFmt numFmtId="167" formatCode="_-* #,##0_-;\-* #,##0_-;_-* &quot;-&quot;??_-;_-@_-"/>
    <numFmt numFmtId="168" formatCode="0.00_ ;[Red]\-0.00\ "/>
    <numFmt numFmtId="169" formatCode="#,##0.00_ ;[Red]\-#,##0.00\ "/>
    <numFmt numFmtId="170" formatCode="0.000"/>
    <numFmt numFmtId="171" formatCode="_-* #,##0.0_-;\-* #,##0.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vertAlign val="superscript"/>
      <sz val="11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theme="7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5" borderId="0" applyNumberFormat="0" applyBorder="0" applyAlignment="0">
      <protection locked="0"/>
    </xf>
    <xf numFmtId="0" fontId="1" fillId="0" borderId="0" applyNumberFormat="0" applyFont="0" applyFill="0" applyBorder="0" applyAlignment="0">
      <protection locked="0"/>
    </xf>
    <xf numFmtId="0" fontId="12" fillId="18" borderId="9" applyNumberFormat="0" applyAlignment="0" applyProtection="0"/>
    <xf numFmtId="0" fontId="13" fillId="0" borderId="0" applyNumberFormat="0" applyFill="0" applyBorder="0" applyAlignment="0" applyProtection="0"/>
  </cellStyleXfs>
  <cellXfs count="187">
    <xf numFmtId="0" fontId="0" fillId="0" borderId="0" xfId="0"/>
    <xf numFmtId="0" fontId="0" fillId="2" borderId="0" xfId="0" applyFill="1"/>
    <xf numFmtId="0" fontId="0" fillId="3" borderId="0" xfId="0" applyFill="1"/>
    <xf numFmtId="164" fontId="0" fillId="2" borderId="0" xfId="2" applyNumberFormat="1" applyFont="1" applyFill="1"/>
    <xf numFmtId="0" fontId="2" fillId="0" borderId="0" xfId="0" applyFont="1"/>
    <xf numFmtId="165" fontId="0" fillId="0" borderId="0" xfId="0" applyNumberFormat="1"/>
    <xf numFmtId="166" fontId="0" fillId="0" borderId="0" xfId="0" applyNumberFormat="1"/>
    <xf numFmtId="167" fontId="0" fillId="0" borderId="0" xfId="1" applyNumberFormat="1" applyFont="1"/>
    <xf numFmtId="0" fontId="0" fillId="0" borderId="0" xfId="0" applyBorder="1"/>
    <xf numFmtId="0" fontId="3" fillId="0" borderId="0" xfId="0" applyFont="1"/>
    <xf numFmtId="0" fontId="0" fillId="2" borderId="0" xfId="0" applyFill="1" applyBorder="1"/>
    <xf numFmtId="0" fontId="0" fillId="4" borderId="0" xfId="0" applyFill="1" applyBorder="1"/>
    <xf numFmtId="167" fontId="1" fillId="5" borderId="0" xfId="3" applyNumberFormat="1">
      <protection locked="0"/>
    </xf>
    <xf numFmtId="0" fontId="4" fillId="0" borderId="1" xfId="4" applyFont="1" applyBorder="1" applyProtection="1">
      <protection locked="0"/>
    </xf>
    <xf numFmtId="0" fontId="4" fillId="0" borderId="2" xfId="4" applyFont="1" applyBorder="1" applyProtection="1">
      <protection locked="0"/>
    </xf>
    <xf numFmtId="0" fontId="4" fillId="0" borderId="3" xfId="4" applyFont="1" applyBorder="1" applyProtection="1">
      <protection locked="0"/>
    </xf>
    <xf numFmtId="0" fontId="4" fillId="0" borderId="4" xfId="4" applyFont="1" applyBorder="1" applyProtection="1">
      <protection locked="0"/>
    </xf>
    <xf numFmtId="0" fontId="4" fillId="0" borderId="0" xfId="4" applyFont="1" applyBorder="1" applyProtection="1">
      <protection locked="0"/>
    </xf>
    <xf numFmtId="0" fontId="4" fillId="0" borderId="5" xfId="4" applyFont="1" applyBorder="1" applyProtection="1">
      <protection locked="0"/>
    </xf>
    <xf numFmtId="0" fontId="4" fillId="0" borderId="6" xfId="4" applyFont="1" applyBorder="1" applyProtection="1">
      <protection locked="0"/>
    </xf>
    <xf numFmtId="0" fontId="4" fillId="0" borderId="7" xfId="4" applyFont="1" applyBorder="1" applyProtection="1">
      <protection locked="0"/>
    </xf>
    <xf numFmtId="0" fontId="4" fillId="0" borderId="8" xfId="4" applyFont="1" applyBorder="1" applyProtection="1">
      <protection locked="0"/>
    </xf>
    <xf numFmtId="168" fontId="0" fillId="0" borderId="0" xfId="0" applyNumberFormat="1"/>
    <xf numFmtId="0" fontId="0" fillId="0" borderId="0" xfId="0" applyFont="1"/>
    <xf numFmtId="0" fontId="5" fillId="0" borderId="0" xfId="0" applyFont="1"/>
    <xf numFmtId="0" fontId="6" fillId="6" borderId="0" xfId="0" applyFont="1" applyFill="1"/>
    <xf numFmtId="0" fontId="7" fillId="6" borderId="0" xfId="0" applyFont="1" applyFill="1"/>
    <xf numFmtId="166" fontId="0" fillId="2" borderId="0" xfId="0" applyNumberFormat="1" applyFill="1"/>
    <xf numFmtId="169" fontId="0" fillId="0" borderId="0" xfId="0" applyNumberFormat="1"/>
    <xf numFmtId="168" fontId="0" fillId="7" borderId="0" xfId="0" applyNumberFormat="1" applyFill="1"/>
    <xf numFmtId="0" fontId="6" fillId="9" borderId="0" xfId="0" applyFont="1" applyFill="1"/>
    <xf numFmtId="167" fontId="0" fillId="0" borderId="0" xfId="0" applyNumberFormat="1"/>
    <xf numFmtId="0" fontId="0" fillId="7" borderId="0" xfId="0" applyFill="1"/>
    <xf numFmtId="0" fontId="0" fillId="0" borderId="0" xfId="0" applyFill="1"/>
    <xf numFmtId="168" fontId="0" fillId="4" borderId="0" xfId="0" applyNumberFormat="1" applyFill="1"/>
    <xf numFmtId="0" fontId="8" fillId="0" borderId="0" xfId="0" applyFont="1" applyFill="1"/>
    <xf numFmtId="0" fontId="2" fillId="0" borderId="0" xfId="0" applyFont="1" applyFill="1"/>
    <xf numFmtId="0" fontId="7" fillId="9" borderId="0" xfId="0" applyFont="1" applyFill="1"/>
    <xf numFmtId="0" fontId="0" fillId="8" borderId="0" xfId="0" applyFill="1"/>
    <xf numFmtId="0" fontId="0" fillId="8" borderId="0" xfId="0" applyFont="1" applyFill="1"/>
    <xf numFmtId="165" fontId="0" fillId="10" borderId="0" xfId="0" applyNumberFormat="1" applyFill="1"/>
    <xf numFmtId="169" fontId="0" fillId="10" borderId="0" xfId="0" applyNumberFormat="1" applyFill="1"/>
    <xf numFmtId="165" fontId="0" fillId="10" borderId="0" xfId="0" applyNumberFormat="1" applyFill="1" applyAlignment="1">
      <alignment horizontal="center"/>
    </xf>
    <xf numFmtId="0" fontId="5" fillId="0" borderId="0" xfId="0" applyFont="1" applyAlignment="1">
      <alignment horizontal="left" vertical="top" wrapText="1"/>
    </xf>
    <xf numFmtId="0" fontId="5" fillId="0" borderId="0" xfId="0" applyFont="1" applyFill="1" applyAlignment="1">
      <alignment horizontal="left" vertical="top" wrapText="1"/>
    </xf>
    <xf numFmtId="1" fontId="0" fillId="0" borderId="0" xfId="0" applyNumberFormat="1"/>
    <xf numFmtId="0" fontId="5" fillId="7" borderId="0" xfId="0" applyFont="1" applyFill="1" applyAlignment="1">
      <alignment horizontal="left" vertical="top" wrapText="1"/>
    </xf>
    <xf numFmtId="164" fontId="0" fillId="7" borderId="0" xfId="2" applyNumberFormat="1" applyFont="1" applyFill="1" applyAlignment="1">
      <alignment vertical="top"/>
    </xf>
    <xf numFmtId="0" fontId="8" fillId="7" borderId="0" xfId="0" applyFont="1" applyFill="1" applyAlignment="1">
      <alignment vertical="top"/>
    </xf>
    <xf numFmtId="0" fontId="0" fillId="15" borderId="0" xfId="0" applyFill="1"/>
    <xf numFmtId="0" fontId="9" fillId="0" borderId="0" xfId="0" applyFont="1" applyAlignment="1">
      <alignment vertical="top" wrapText="1"/>
    </xf>
    <xf numFmtId="0" fontId="10" fillId="0" borderId="0" xfId="0" applyFont="1" applyAlignment="1">
      <alignment vertical="top" wrapText="1"/>
    </xf>
    <xf numFmtId="9" fontId="0" fillId="2" borderId="0" xfId="2" applyFont="1" applyFill="1"/>
    <xf numFmtId="0" fontId="5" fillId="0" borderId="0" xfId="0" applyFont="1" applyFill="1" applyAlignment="1">
      <alignment vertical="top"/>
    </xf>
    <xf numFmtId="164" fontId="5" fillId="0" borderId="0" xfId="2" applyNumberFormat="1" applyFont="1" applyFill="1" applyAlignment="1">
      <alignment vertical="top"/>
    </xf>
    <xf numFmtId="169" fontId="5" fillId="0" borderId="0" xfId="0" applyNumberFormat="1" applyFont="1" applyFill="1" applyAlignment="1">
      <alignment vertical="top"/>
    </xf>
    <xf numFmtId="2" fontId="5" fillId="0" borderId="0" xfId="0" applyNumberFormat="1" applyFont="1" applyFill="1" applyAlignment="1">
      <alignment vertical="top"/>
    </xf>
    <xf numFmtId="170" fontId="5" fillId="0" borderId="0" xfId="0" applyNumberFormat="1" applyFont="1" applyFill="1" applyAlignment="1">
      <alignment vertical="top"/>
    </xf>
    <xf numFmtId="0" fontId="5" fillId="15" borderId="0" xfId="0" applyFont="1" applyFill="1" applyAlignment="1">
      <alignment vertical="top"/>
    </xf>
    <xf numFmtId="169" fontId="5" fillId="15" borderId="0" xfId="0" applyNumberFormat="1" applyFont="1" applyFill="1" applyAlignment="1">
      <alignment vertical="top"/>
    </xf>
    <xf numFmtId="166" fontId="5" fillId="15" borderId="0" xfId="0" applyNumberFormat="1" applyFont="1" applyFill="1" applyAlignment="1">
      <alignment vertical="top"/>
    </xf>
    <xf numFmtId="1" fontId="5" fillId="15" borderId="0" xfId="0" applyNumberFormat="1" applyFont="1" applyFill="1" applyAlignment="1">
      <alignment vertical="top"/>
    </xf>
    <xf numFmtId="0" fontId="11" fillId="0" borderId="0" xfId="0" applyFont="1" applyAlignment="1">
      <alignment wrapText="1"/>
    </xf>
    <xf numFmtId="0" fontId="10" fillId="0" borderId="0" xfId="0" applyFont="1" applyAlignment="1">
      <alignment wrapText="1"/>
    </xf>
    <xf numFmtId="9" fontId="0" fillId="0" borderId="0" xfId="2" applyFont="1"/>
    <xf numFmtId="0" fontId="13" fillId="0" borderId="0" xfId="6"/>
    <xf numFmtId="0" fontId="0" fillId="0" borderId="0" xfId="2" applyNumberFormat="1" applyFont="1"/>
    <xf numFmtId="0" fontId="0" fillId="0" borderId="0" xfId="2" applyNumberFormat="1" applyFont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9" fontId="0" fillId="3" borderId="16" xfId="2" applyFont="1" applyFill="1" applyBorder="1" applyAlignment="1">
      <alignment horizontal="center"/>
    </xf>
    <xf numFmtId="9" fontId="0" fillId="3" borderId="17" xfId="2" applyFont="1" applyFill="1" applyBorder="1" applyAlignment="1">
      <alignment horizontal="center"/>
    </xf>
    <xf numFmtId="9" fontId="0" fillId="3" borderId="14" xfId="2" applyFont="1" applyFill="1" applyBorder="1" applyAlignment="1">
      <alignment horizontal="center"/>
    </xf>
    <xf numFmtId="9" fontId="0" fillId="3" borderId="15" xfId="2" applyFont="1" applyFill="1" applyBorder="1" applyAlignment="1">
      <alignment horizontal="center"/>
    </xf>
    <xf numFmtId="0" fontId="0" fillId="3" borderId="14" xfId="2" applyNumberFormat="1" applyFont="1" applyFill="1" applyBorder="1" applyAlignment="1">
      <alignment horizontal="center"/>
    </xf>
    <xf numFmtId="166" fontId="2" fillId="3" borderId="10" xfId="2" applyNumberFormat="1" applyFont="1" applyFill="1" applyBorder="1" applyAlignment="1">
      <alignment horizontal="center"/>
    </xf>
    <xf numFmtId="0" fontId="13" fillId="3" borderId="16" xfId="6" applyFill="1" applyBorder="1" applyAlignment="1">
      <alignment horizontal="left"/>
    </xf>
    <xf numFmtId="0" fontId="13" fillId="0" borderId="16" xfId="6" applyBorder="1"/>
    <xf numFmtId="0" fontId="0" fillId="3" borderId="16" xfId="0" applyFill="1" applyBorder="1" applyAlignment="1">
      <alignment horizontal="left"/>
    </xf>
    <xf numFmtId="9" fontId="2" fillId="0" borderId="17" xfId="2" applyFont="1" applyBorder="1" applyAlignment="1">
      <alignment horizontal="center"/>
    </xf>
    <xf numFmtId="9" fontId="2" fillId="3" borderId="10" xfId="2" applyFont="1" applyFill="1" applyBorder="1"/>
    <xf numFmtId="9" fontId="2" fillId="3" borderId="10" xfId="2" applyFont="1" applyFill="1" applyBorder="1" applyAlignment="1">
      <alignment horizontal="center"/>
    </xf>
    <xf numFmtId="9" fontId="2" fillId="3" borderId="13" xfId="2" applyFont="1" applyFill="1" applyBorder="1" applyAlignment="1">
      <alignment horizontal="center"/>
    </xf>
    <xf numFmtId="0" fontId="0" fillId="3" borderId="16" xfId="2" applyNumberFormat="1" applyFont="1" applyFill="1" applyBorder="1" applyAlignment="1">
      <alignment horizontal="center"/>
    </xf>
    <xf numFmtId="0" fontId="0" fillId="3" borderId="16" xfId="0" applyNumberFormat="1" applyFill="1" applyBorder="1" applyAlignment="1">
      <alignment horizontal="center"/>
    </xf>
    <xf numFmtId="0" fontId="0" fillId="3" borderId="14" xfId="0" applyNumberFormat="1" applyFill="1" applyBorder="1" applyAlignment="1">
      <alignment horizontal="center"/>
    </xf>
    <xf numFmtId="0" fontId="0" fillId="3" borderId="15" xfId="0" applyNumberFormat="1" applyFill="1" applyBorder="1" applyAlignment="1">
      <alignment horizontal="center"/>
    </xf>
    <xf numFmtId="0" fontId="13" fillId="0" borderId="14" xfId="6" applyBorder="1"/>
    <xf numFmtId="1" fontId="0" fillId="3" borderId="10" xfId="0" applyNumberFormat="1" applyFill="1" applyBorder="1" applyAlignment="1">
      <alignment horizontal="center"/>
    </xf>
    <xf numFmtId="1" fontId="0" fillId="3" borderId="16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0" fontId="13" fillId="0" borderId="17" xfId="6" applyBorder="1"/>
    <xf numFmtId="0" fontId="13" fillId="3" borderId="16" xfId="6" applyFill="1" applyBorder="1"/>
    <xf numFmtId="43" fontId="0" fillId="0" borderId="0" xfId="0" applyNumberFormat="1"/>
    <xf numFmtId="171" fontId="0" fillId="0" borderId="0" xfId="0" applyNumberFormat="1"/>
    <xf numFmtId="0" fontId="0" fillId="9" borderId="0" xfId="0" applyFont="1" applyFill="1"/>
    <xf numFmtId="0" fontId="0" fillId="0" borderId="0" xfId="0" applyFont="1" applyFill="1"/>
    <xf numFmtId="0" fontId="0" fillId="14" borderId="0" xfId="0" applyFont="1" applyFill="1"/>
    <xf numFmtId="0" fontId="0" fillId="15" borderId="0" xfId="0" applyFont="1" applyFill="1"/>
    <xf numFmtId="0" fontId="0" fillId="11" borderId="0" xfId="0" applyFont="1" applyFill="1"/>
    <xf numFmtId="0" fontId="0" fillId="12" borderId="0" xfId="0" applyFont="1" applyFill="1"/>
    <xf numFmtId="0" fontId="0" fillId="13" borderId="0" xfId="0" applyFont="1" applyFill="1"/>
    <xf numFmtId="0" fontId="0" fillId="0" borderId="0" xfId="0" applyFont="1" applyAlignment="1">
      <alignment vertical="top"/>
    </xf>
    <xf numFmtId="0" fontId="0" fillId="0" borderId="0" xfId="0" applyFont="1" applyAlignment="1">
      <alignment horizontal="left" vertical="top" wrapText="1"/>
    </xf>
    <xf numFmtId="1" fontId="0" fillId="0" borderId="0" xfId="0" applyNumberFormat="1" applyFont="1"/>
    <xf numFmtId="166" fontId="0" fillId="2" borderId="0" xfId="0" applyNumberFormat="1" applyFont="1" applyFill="1"/>
    <xf numFmtId="0" fontId="0" fillId="2" borderId="0" xfId="0" applyFont="1" applyFill="1"/>
    <xf numFmtId="169" fontId="0" fillId="0" borderId="0" xfId="0" applyNumberFormat="1" applyFont="1"/>
    <xf numFmtId="2" fontId="0" fillId="0" borderId="0" xfId="0" applyNumberFormat="1" applyFont="1"/>
    <xf numFmtId="169" fontId="0" fillId="2" borderId="0" xfId="0" applyNumberFormat="1" applyFont="1" applyFill="1"/>
    <xf numFmtId="0" fontId="0" fillId="7" borderId="0" xfId="0" applyFont="1" applyFill="1" applyAlignment="1">
      <alignment horizontal="left" vertical="top" wrapText="1"/>
    </xf>
    <xf numFmtId="0" fontId="0" fillId="7" borderId="0" xfId="0" applyFont="1" applyFill="1" applyAlignment="1">
      <alignment vertical="top"/>
    </xf>
    <xf numFmtId="1" fontId="0" fillId="7" borderId="0" xfId="0" applyNumberFormat="1" applyFont="1" applyFill="1" applyAlignment="1">
      <alignment vertical="top"/>
    </xf>
    <xf numFmtId="166" fontId="0" fillId="7" borderId="0" xfId="0" applyNumberFormat="1" applyFont="1" applyFill="1" applyAlignment="1">
      <alignment vertical="top"/>
    </xf>
    <xf numFmtId="169" fontId="0" fillId="7" borderId="0" xfId="0" applyNumberFormat="1" applyFont="1" applyFill="1" applyAlignment="1">
      <alignment vertical="top"/>
    </xf>
    <xf numFmtId="2" fontId="0" fillId="7" borderId="0" xfId="0" applyNumberFormat="1" applyFont="1" applyFill="1" applyAlignment="1">
      <alignment vertical="top"/>
    </xf>
    <xf numFmtId="0" fontId="0" fillId="17" borderId="0" xfId="0" applyFont="1" applyFill="1" applyAlignment="1">
      <alignment vertical="top"/>
    </xf>
    <xf numFmtId="0" fontId="2" fillId="0" borderId="0" xfId="0" applyFont="1" applyAlignment="1">
      <alignment horizontal="left" vertical="top" wrapText="1"/>
    </xf>
    <xf numFmtId="0" fontId="14" fillId="0" borderId="0" xfId="0" applyFont="1" applyBorder="1" applyAlignment="1">
      <alignment vertical="top" wrapText="1"/>
    </xf>
    <xf numFmtId="0" fontId="14" fillId="3" borderId="0" xfId="0" applyFont="1" applyFill="1" applyBorder="1" applyAlignment="1">
      <alignment vertical="top" wrapText="1"/>
    </xf>
    <xf numFmtId="0" fontId="14" fillId="7" borderId="0" xfId="0" applyFont="1" applyFill="1" applyBorder="1" applyAlignment="1">
      <alignment vertical="top" wrapText="1"/>
    </xf>
    <xf numFmtId="0" fontId="5" fillId="0" borderId="0" xfId="0" applyFont="1" applyFill="1" applyBorder="1" applyAlignment="1">
      <alignment vertical="top" wrapText="1"/>
    </xf>
    <xf numFmtId="0" fontId="14" fillId="0" borderId="0" xfId="0" applyFont="1" applyFill="1" applyBorder="1" applyAlignment="1">
      <alignment vertical="top" wrapText="1"/>
    </xf>
    <xf numFmtId="0" fontId="14" fillId="0" borderId="0" xfId="0" applyFont="1" applyFill="1" applyBorder="1" applyAlignment="1">
      <alignment horizontal="right" vertical="top" wrapText="1"/>
    </xf>
    <xf numFmtId="0" fontId="5" fillId="0" borderId="0" xfId="0" applyFont="1" applyFill="1" applyBorder="1" applyAlignment="1">
      <alignment horizontal="left" vertical="top" wrapText="1"/>
    </xf>
    <xf numFmtId="166" fontId="12" fillId="0" borderId="0" xfId="5" applyNumberFormat="1" applyFill="1" applyBorder="1"/>
    <xf numFmtId="0" fontId="0" fillId="0" borderId="0" xfId="0" applyFont="1" applyFill="1" applyBorder="1"/>
    <xf numFmtId="1" fontId="0" fillId="3" borderId="17" xfId="0" applyNumberForma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2" fontId="0" fillId="2" borderId="0" xfId="0" applyNumberFormat="1" applyFont="1" applyFill="1"/>
    <xf numFmtId="43" fontId="0" fillId="16" borderId="0" xfId="0" applyNumberFormat="1" applyFill="1"/>
    <xf numFmtId="0" fontId="8" fillId="0" borderId="0" xfId="0" applyFont="1"/>
    <xf numFmtId="0" fontId="0" fillId="4" borderId="0" xfId="0" applyFont="1" applyFill="1"/>
    <xf numFmtId="0" fontId="16" fillId="9" borderId="0" xfId="0" applyFont="1" applyFill="1"/>
    <xf numFmtId="0" fontId="16" fillId="9" borderId="0" xfId="0" applyFont="1" applyFill="1" applyAlignment="1"/>
    <xf numFmtId="0" fontId="0" fillId="7" borderId="0" xfId="0" applyFont="1" applyFill="1"/>
    <xf numFmtId="0" fontId="17" fillId="7" borderId="0" xfId="0" applyFont="1" applyFill="1"/>
    <xf numFmtId="2" fontId="0" fillId="2" borderId="0" xfId="0" applyNumberFormat="1" applyFill="1"/>
    <xf numFmtId="2" fontId="0" fillId="0" borderId="0" xfId="0" applyNumberFormat="1"/>
    <xf numFmtId="1" fontId="0" fillId="2" borderId="0" xfId="0" applyNumberFormat="1" applyFill="1"/>
    <xf numFmtId="170" fontId="0" fillId="0" borderId="0" xfId="0" applyNumberFormat="1" applyFill="1"/>
    <xf numFmtId="166" fontId="0" fillId="0" borderId="0" xfId="0" applyNumberFormat="1" applyFont="1"/>
    <xf numFmtId="0" fontId="18" fillId="0" borderId="0" xfId="0" applyFont="1"/>
    <xf numFmtId="166" fontId="0" fillId="16" borderId="0" xfId="0" applyNumberFormat="1" applyFill="1"/>
    <xf numFmtId="164" fontId="0" fillId="0" borderId="0" xfId="2" applyNumberFormat="1" applyFont="1"/>
    <xf numFmtId="170" fontId="0" fillId="0" borderId="0" xfId="0" applyNumberFormat="1" applyFont="1"/>
    <xf numFmtId="2" fontId="0" fillId="7" borderId="0" xfId="0" applyNumberFormat="1" applyFont="1" applyFill="1"/>
    <xf numFmtId="2" fontId="0" fillId="19" borderId="0" xfId="0" applyNumberFormat="1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166" fontId="0" fillId="0" borderId="4" xfId="0" applyNumberFormat="1" applyFont="1" applyBorder="1"/>
    <xf numFmtId="166" fontId="0" fillId="0" borderId="0" xfId="0" applyNumberFormat="1" applyFont="1" applyBorder="1"/>
    <xf numFmtId="166" fontId="0" fillId="0" borderId="6" xfId="0" applyNumberFormat="1" applyFont="1" applyBorder="1"/>
    <xf numFmtId="166" fontId="0" fillId="0" borderId="7" xfId="0" applyNumberFormat="1" applyFont="1" applyBorder="1"/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0" fillId="0" borderId="4" xfId="0" applyFont="1" applyBorder="1"/>
    <xf numFmtId="0" fontId="0" fillId="0" borderId="0" xfId="0" applyFont="1" applyBorder="1"/>
    <xf numFmtId="0" fontId="0" fillId="0" borderId="6" xfId="0" applyFont="1" applyBorder="1"/>
    <xf numFmtId="0" fontId="0" fillId="0" borderId="7" xfId="0" applyFont="1" applyBorder="1"/>
    <xf numFmtId="9" fontId="2" fillId="3" borderId="0" xfId="2" applyFont="1" applyFill="1" applyBorder="1"/>
    <xf numFmtId="166" fontId="2" fillId="3" borderId="0" xfId="2" applyNumberFormat="1" applyFont="1" applyFill="1" applyBorder="1" applyAlignment="1">
      <alignment horizontal="center"/>
    </xf>
    <xf numFmtId="166" fontId="0" fillId="0" borderId="0" xfId="0" applyNumberFormat="1" applyFont="1" applyFill="1"/>
    <xf numFmtId="2" fontId="0" fillId="0" borderId="0" xfId="0" applyNumberFormat="1" applyFont="1" applyFill="1"/>
    <xf numFmtId="0" fontId="0" fillId="0" borderId="0" xfId="0" applyFont="1" applyFill="1" applyAlignment="1">
      <alignment vertical="top"/>
    </xf>
    <xf numFmtId="166" fontId="0" fillId="2" borderId="0" xfId="2" applyNumberFormat="1" applyFont="1" applyFill="1"/>
    <xf numFmtId="164" fontId="0" fillId="0" borderId="0" xfId="2" applyNumberFormat="1" applyFont="1" applyFill="1"/>
    <xf numFmtId="164" fontId="0" fillId="0" borderId="0" xfId="2" applyNumberFormat="1" applyFont="1" applyFill="1" applyAlignment="1">
      <alignment vertical="top"/>
    </xf>
    <xf numFmtId="169" fontId="0" fillId="0" borderId="0" xfId="0" applyNumberFormat="1" applyFont="1" applyFill="1" applyAlignment="1">
      <alignment vertical="top"/>
    </xf>
    <xf numFmtId="169" fontId="0" fillId="0" borderId="0" xfId="0" applyNumberFormat="1" applyFont="1" applyFill="1"/>
    <xf numFmtId="166" fontId="0" fillId="0" borderId="0" xfId="0" applyNumberFormat="1" applyFont="1" applyFill="1" applyAlignment="1">
      <alignment vertical="top"/>
    </xf>
    <xf numFmtId="166" fontId="5" fillId="0" borderId="0" xfId="0" applyNumberFormat="1" applyFont="1" applyFill="1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2" borderId="0" xfId="0" applyFont="1" applyFill="1" applyAlignment="1">
      <alignment vertical="top"/>
    </xf>
    <xf numFmtId="0" fontId="5" fillId="2" borderId="0" xfId="0" applyFont="1" applyFill="1" applyAlignment="1">
      <alignment vertical="top"/>
    </xf>
    <xf numFmtId="1" fontId="0" fillId="0" borderId="0" xfId="0" applyNumberFormat="1" applyFont="1" applyFill="1"/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9" fontId="2" fillId="3" borderId="11" xfId="2" applyFont="1" applyFill="1" applyBorder="1" applyAlignment="1">
      <alignment horizontal="center"/>
    </xf>
    <xf numFmtId="9" fontId="2" fillId="3" borderId="12" xfId="2" applyFont="1" applyFill="1" applyBorder="1" applyAlignment="1">
      <alignment horizontal="center"/>
    </xf>
    <xf numFmtId="9" fontId="2" fillId="3" borderId="13" xfId="2" applyFont="1" applyFill="1" applyBorder="1" applyAlignment="1">
      <alignment horizontal="center"/>
    </xf>
    <xf numFmtId="2" fontId="5" fillId="0" borderId="0" xfId="0" applyNumberFormat="1" applyFont="1"/>
  </cellXfs>
  <cellStyles count="7">
    <cellStyle name="Adjustable" xfId="4" xr:uid="{836AE222-DF7D-4E67-8D9B-A9F61BD9B9E5}"/>
    <cellStyle name="Best" xfId="3" xr:uid="{53525772-1BDE-417A-B0DD-ABACF1BF72C8}"/>
    <cellStyle name="Comma" xfId="1" builtinId="3"/>
    <cellStyle name="Hyperlink" xfId="6" builtinId="8"/>
    <cellStyle name="Input" xfId="5" builtinId="20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CCCC00"/>
      <color rgb="FF339966"/>
      <color rgb="FF006699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Indicative split of Airport CO2 emissions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3-44EB-839C-6AA315DE87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3-44EB-839C-6AA315DE87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3-44EB-839C-6AA315DE87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3-44EB-839C-6AA315DE87D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3-44EB-839C-6AA315DE87DD}"/>
              </c:ext>
            </c:extLst>
          </c:dPt>
          <c:cat>
            <c:strRef>
              <c:f>'vehicle E calcs'!$F$7:$F$11</c:f>
              <c:strCache>
                <c:ptCount val="5"/>
                <c:pt idx="0">
                  <c:v>Electricity specific uses</c:v>
                </c:pt>
                <c:pt idx="1">
                  <c:v>Heating</c:v>
                </c:pt>
                <c:pt idx="2">
                  <c:v>Other buildings/ infrastructure</c:v>
                </c:pt>
                <c:pt idx="3">
                  <c:v>Vehicles</c:v>
                </c:pt>
                <c:pt idx="4">
                  <c:v>Auxiliary diesel generation</c:v>
                </c:pt>
              </c:strCache>
            </c:strRef>
          </c:cat>
          <c:val>
            <c:numRef>
              <c:f>'vehicle E calcs'!$G$7:$G$11</c:f>
              <c:numCache>
                <c:formatCode>General</c:formatCode>
                <c:ptCount val="5"/>
                <c:pt idx="0">
                  <c:v>71</c:v>
                </c:pt>
                <c:pt idx="1">
                  <c:v>25</c:v>
                </c:pt>
                <c:pt idx="2">
                  <c:v>3</c:v>
                </c:pt>
                <c:pt idx="3">
                  <c:v>36.299999999999997</c:v>
                </c:pt>
                <c:pt idx="4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D5-4DE7-A94E-97436415F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Vehicle emissions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'optimisation model'!$D$36:$H$36</c:f>
              <c:numCache>
                <c:formatCode>General</c:formatCode>
                <c:ptCount val="5"/>
                <c:pt idx="0">
                  <c:v>80</c:v>
                </c:pt>
                <c:pt idx="1">
                  <c:v>83.16</c:v>
                </c:pt>
                <c:pt idx="2">
                  <c:v>86.239999999999981</c:v>
                </c:pt>
                <c:pt idx="3">
                  <c:v>58.12750000000014</c:v>
                </c:pt>
                <c:pt idx="4">
                  <c:v>12.159999999999997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D6-4EA9-9730-736856C1C76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'optimisation model'!$D$37:$H$37</c:f>
              <c:numCache>
                <c:formatCode>General</c:formatCode>
                <c:ptCount val="5"/>
                <c:pt idx="0">
                  <c:v>75</c:v>
                </c:pt>
                <c:pt idx="1">
                  <c:v>65.722500000000252</c:v>
                </c:pt>
                <c:pt idx="2">
                  <c:v>47.390000000000093</c:v>
                </c:pt>
                <c:pt idx="3">
                  <c:v>23.662499999999994</c:v>
                </c:pt>
                <c:pt idx="4">
                  <c:v>6.3999999999999915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D6-4EA9-9730-736856C1C768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'optimisation model'!$D$38:$H$38</c:f>
              <c:numCache>
                <c:formatCode>General</c:formatCode>
                <c:ptCount val="5"/>
                <c:pt idx="0">
                  <c:v>40</c:v>
                </c:pt>
                <c:pt idx="1">
                  <c:v>41.58</c:v>
                </c:pt>
                <c:pt idx="2">
                  <c:v>43.11999999999999</c:v>
                </c:pt>
                <c:pt idx="3">
                  <c:v>44.62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D6-4EA9-9730-736856C1C768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'optimisation model'!$D$39:$H$39</c:f>
              <c:numCache>
                <c:formatCode>General</c:formatCode>
                <c:ptCount val="5"/>
                <c:pt idx="0">
                  <c:v>30</c:v>
                </c:pt>
                <c:pt idx="1">
                  <c:v>31.184999999999995</c:v>
                </c:pt>
                <c:pt idx="2">
                  <c:v>32.339999999999996</c:v>
                </c:pt>
                <c:pt idx="3">
                  <c:v>33.464999999999996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D6-4EA9-9730-736856C1C768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'optimisation model'!$D$40:$H$40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4-30D6-4EA9-9730-736856C1C768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'optimisation model'!$D$41:$H$41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30D6-4EA9-9730-736856C1C768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'optimisation model'!$D$42:$H$42</c:f>
              <c:numCache>
                <c:formatCode>General</c:formatCode>
                <c:ptCount val="5"/>
                <c:pt idx="0">
                  <c:v>150</c:v>
                </c:pt>
                <c:pt idx="1">
                  <c:v>155.92499999999998</c:v>
                </c:pt>
                <c:pt idx="2">
                  <c:v>161.69999999999999</c:v>
                </c:pt>
                <c:pt idx="3">
                  <c:v>142.32499999999999</c:v>
                </c:pt>
                <c:pt idx="4">
                  <c:v>132.79999999999998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D6-4EA9-9730-736856C1C768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'optimisation model'!$D$43:$H$43</c:f>
              <c:numCache>
                <c:formatCode>General</c:formatCode>
                <c:ptCount val="5"/>
                <c:pt idx="0">
                  <c:v>125</c:v>
                </c:pt>
                <c:pt idx="1">
                  <c:v>129.93749999999997</c:v>
                </c:pt>
                <c:pt idx="2">
                  <c:v>134.74999999999997</c:v>
                </c:pt>
                <c:pt idx="3">
                  <c:v>139.4375</c:v>
                </c:pt>
                <c:pt idx="4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D6-4EA9-9730-736856C1C768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'optimisation model'!$D$44:$H$44</c:f>
              <c:numCache>
                <c:formatCode>General</c:formatCode>
                <c:ptCount val="5"/>
                <c:pt idx="0">
                  <c:v>75</c:v>
                </c:pt>
                <c:pt idx="1">
                  <c:v>77.962499999999991</c:v>
                </c:pt>
                <c:pt idx="2">
                  <c:v>80.849999999999994</c:v>
                </c:pt>
                <c:pt idx="3">
                  <c:v>83.662499999999994</c:v>
                </c:pt>
                <c:pt idx="4">
                  <c:v>86.399999999999991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D6-4EA9-9730-736856C1C768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'optimisation model'!$D$45:$H$45</c:f>
              <c:numCache>
                <c:formatCode>General</c:formatCode>
                <c:ptCount val="5"/>
                <c:pt idx="0">
                  <c:v>65</c:v>
                </c:pt>
                <c:pt idx="1">
                  <c:v>37.567499999999995</c:v>
                </c:pt>
                <c:pt idx="2">
                  <c:v>40.069999999999993</c:v>
                </c:pt>
                <c:pt idx="3">
                  <c:v>42.507499999999993</c:v>
                </c:pt>
                <c:pt idx="4">
                  <c:v>44.879999999999995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D6-4EA9-9730-736856C1C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20963144"/>
        <c:axId val="920963472"/>
      </c:barChart>
      <c:catAx>
        <c:axId val="9209631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963472"/>
        <c:crosses val="autoZero"/>
        <c:auto val="1"/>
        <c:lblAlgn val="ctr"/>
        <c:lblOffset val="100"/>
        <c:noMultiLvlLbl val="0"/>
      </c:catAx>
      <c:valAx>
        <c:axId val="92096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963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'optimisation model'!$D$452:$H$452</c:f>
              <c:numCache>
                <c:formatCode>General</c:formatCode>
                <c:ptCount val="5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</c:numCache>
            </c:numRef>
          </c:cat>
          <c:val>
            <c:numRef>
              <c:f>'optimisation model'!$D$455:$H$455</c:f>
              <c:numCache>
                <c:formatCode>General</c:formatCode>
                <c:ptCount val="5"/>
                <c:pt idx="0">
                  <c:v>180</c:v>
                </c:pt>
                <c:pt idx="1">
                  <c:v>182.10999999999999</c:v>
                </c:pt>
                <c:pt idx="2">
                  <c:v>194.03999999999996</c:v>
                </c:pt>
                <c:pt idx="3">
                  <c:v>199.75499999999997</c:v>
                </c:pt>
                <c:pt idx="4">
                  <c:v>141.42089547856796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AD-45C9-84C4-6DFCC0C500B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'optimisation model'!$D$452:$H$452</c:f>
              <c:numCache>
                <c:formatCode>General</c:formatCode>
                <c:ptCount val="5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</c:numCache>
            </c:numRef>
          </c:cat>
          <c:val>
            <c:numRef>
              <c:f>'optimisation model'!$D$456:$H$456</c:f>
              <c:numCache>
                <c:formatCode>General</c:formatCode>
                <c:ptCount val="5"/>
                <c:pt idx="0">
                  <c:v>30</c:v>
                </c:pt>
                <c:pt idx="1">
                  <c:v>22.184999999999995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AD-45C9-84C4-6DFCC0C500BD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'optimisation model'!$D$452:$H$452</c:f>
              <c:numCache>
                <c:formatCode>General</c:formatCode>
                <c:ptCount val="5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</c:numCache>
            </c:numRef>
          </c:cat>
          <c:val>
            <c:numRef>
              <c:f>'optimisation model'!$D$457:$H$457</c:f>
              <c:numCache>
                <c:formatCode>General</c:formatCode>
                <c:ptCount val="5"/>
                <c:pt idx="0">
                  <c:v>75</c:v>
                </c:pt>
                <c:pt idx="1">
                  <c:v>65.962499999999991</c:v>
                </c:pt>
                <c:pt idx="2">
                  <c:v>40.849999999999994</c:v>
                </c:pt>
                <c:pt idx="3">
                  <c:v>18.231249999999989</c:v>
                </c:pt>
                <c:pt idx="4">
                  <c:v>1.1463681762387665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AD-45C9-84C4-6DFCC0C500BD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'optimisation model'!$D$452:$H$452</c:f>
              <c:numCache>
                <c:formatCode>General</c:formatCode>
                <c:ptCount val="5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</c:numCache>
            </c:numRef>
          </c:cat>
          <c:val>
            <c:numRef>
              <c:f>'optimisation model'!$D$458:$H$458</c:f>
              <c:numCache>
                <c:formatCode>General</c:formatCode>
                <c:ptCount val="5"/>
                <c:pt idx="0">
                  <c:v>75</c:v>
                </c:pt>
                <c:pt idx="1">
                  <c:v>65.962499999999991</c:v>
                </c:pt>
                <c:pt idx="2">
                  <c:v>40.849999999999994</c:v>
                </c:pt>
                <c:pt idx="3">
                  <c:v>18.231249999999989</c:v>
                </c:pt>
                <c:pt idx="4">
                  <c:v>1.1463681678620929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AD-45C9-84C4-6DFCC0C500BD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'optimisation model'!$D$452:$H$452</c:f>
              <c:numCache>
                <c:formatCode>General</c:formatCode>
                <c:ptCount val="5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</c:numCache>
            </c:numRef>
          </c:cat>
          <c:val>
            <c:numRef>
              <c:f>'optimisation model'!$D$459:$H$459</c:f>
              <c:numCache>
                <c:formatCode>General</c:formatCode>
                <c:ptCount val="5"/>
                <c:pt idx="0">
                  <c:v>20</c:v>
                </c:pt>
                <c:pt idx="1">
                  <c:v>8.7899999999999991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AD-45C9-84C4-6DFCC0C500BD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'optimisation model'!$D$452:$H$452</c:f>
              <c:numCache>
                <c:formatCode>General</c:formatCode>
                <c:ptCount val="5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</c:numCache>
            </c:numRef>
          </c:cat>
          <c:val>
            <c:numRef>
              <c:f>'optimisation model'!$D$460:$H$460</c:f>
              <c:numCache>
                <c:formatCode>General</c:formatCode>
                <c:ptCount val="5"/>
                <c:pt idx="0">
                  <c:v>100</c:v>
                </c:pt>
                <c:pt idx="1">
                  <c:v>91.949999999999989</c:v>
                </c:pt>
                <c:pt idx="2">
                  <c:v>67.799999999999983</c:v>
                </c:pt>
                <c:pt idx="3">
                  <c:v>45.97499999999998</c:v>
                </c:pt>
                <c:pt idx="4">
                  <c:v>29.646368177331183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AD-45C9-84C4-6DFCC0C50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29841760"/>
        <c:axId val="929842088"/>
      </c:barChart>
      <c:catAx>
        <c:axId val="92984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842088"/>
        <c:crosses val="autoZero"/>
        <c:auto val="1"/>
        <c:lblAlgn val="ctr"/>
        <c:lblOffset val="100"/>
        <c:noMultiLvlLbl val="0"/>
      </c:catAx>
      <c:valAx>
        <c:axId val="92984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84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Build up of abatement cost per tonne avoided: £/tCO2e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3937007874016"/>
          <c:y val="0.17935185185185187"/>
          <c:w val="0.72227559055118107"/>
          <c:h val="0.713248760571595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'simple cost calcs old'!$AD$3</c:f>
              <c:strCache>
                <c:ptCount val="1"/>
                <c:pt idx="0">
                  <c:v>cap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'simple cost calcs old'!$AD$4:$AD$27</c:f>
              <c:numCache>
                <c:formatCode>#,##0.00_ ;[Red]\-#,##0.00\ </c:formatCode>
                <c:ptCount val="24"/>
                <c:pt idx="0">
                  <c:v>25.781576527260661</c:v>
                </c:pt>
                <c:pt idx="1">
                  <c:v>39.444503442978792</c:v>
                </c:pt>
                <c:pt idx="2">
                  <c:v>39.444503442978792</c:v>
                </c:pt>
                <c:pt idx="3">
                  <c:v>37.29731759005152</c:v>
                </c:pt>
                <c:pt idx="4">
                  <c:v>63.716250883004676</c:v>
                </c:pt>
                <c:pt idx="5">
                  <c:v>19.250243807021299</c:v>
                </c:pt>
                <c:pt idx="6">
                  <c:v>37.29731759005152</c:v>
                </c:pt>
                <c:pt idx="7">
                  <c:v>63.716250883004676</c:v>
                </c:pt>
                <c:pt idx="8">
                  <c:v>37.29731759005152</c:v>
                </c:pt>
                <c:pt idx="9">
                  <c:v>100.49555017319437</c:v>
                </c:pt>
                <c:pt idx="10">
                  <c:v>10.036604559822891</c:v>
                </c:pt>
                <c:pt idx="11">
                  <c:v>5.8277058734455496</c:v>
                </c:pt>
                <c:pt idx="12">
                  <c:v>10.036604559822891</c:v>
                </c:pt>
                <c:pt idx="13">
                  <c:v>100.49555017319437</c:v>
                </c:pt>
                <c:pt idx="14">
                  <c:v>37.29731759005152</c:v>
                </c:pt>
                <c:pt idx="15">
                  <c:v>5.8277058734455496</c:v>
                </c:pt>
                <c:pt idx="16">
                  <c:v>39.887409089360659</c:v>
                </c:pt>
                <c:pt idx="17">
                  <c:v>39.887409089360659</c:v>
                </c:pt>
                <c:pt idx="18">
                  <c:v>0.19268457521848875</c:v>
                </c:pt>
                <c:pt idx="19">
                  <c:v>1.4451343141386656E-2</c:v>
                </c:pt>
                <c:pt idx="20">
                  <c:v>2.4085571902311094E-2</c:v>
                </c:pt>
                <c:pt idx="21">
                  <c:v>6.4752287482728335E-2</c:v>
                </c:pt>
                <c:pt idx="22">
                  <c:v>0.12950457496545667</c:v>
                </c:pt>
                <c:pt idx="23">
                  <c:v>6.4752287482728335E-2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3D-4CB0-98B4-BF5DC56FCEE1}"/>
            </c:ext>
          </c:extLst>
        </c:ser>
        <c:ser>
          <c:idx val="1"/>
          <c:order val="1"/>
          <c:tx>
            <c:strRef>
              <c:f>'simple cost calcs old'!$AE$3</c:f>
              <c:strCache>
                <c:ptCount val="1"/>
                <c:pt idx="0">
                  <c:v>opex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'simple cost calcs old'!$AE$4:$AE$27</c:f>
              <c:numCache>
                <c:formatCode>General</c:formatCode>
                <c:ptCount val="24"/>
                <c:pt idx="0">
                  <c:v>5.9723549999999994</c:v>
                </c:pt>
                <c:pt idx="1">
                  <c:v>9.1373999999999995</c:v>
                </c:pt>
                <c:pt idx="2">
                  <c:v>9.1373999999999995</c:v>
                </c:pt>
                <c:pt idx="3">
                  <c:v>8.64</c:v>
                </c:pt>
                <c:pt idx="4">
                  <c:v>14.76</c:v>
                </c:pt>
                <c:pt idx="5">
                  <c:v>4.4593584000000002</c:v>
                </c:pt>
                <c:pt idx="6">
                  <c:v>8.64</c:v>
                </c:pt>
                <c:pt idx="7">
                  <c:v>14.76</c:v>
                </c:pt>
                <c:pt idx="8">
                  <c:v>8.64</c:v>
                </c:pt>
                <c:pt idx="9">
                  <c:v>23.279999999999998</c:v>
                </c:pt>
                <c:pt idx="10">
                  <c:v>2.3249999999999997</c:v>
                </c:pt>
                <c:pt idx="11">
                  <c:v>1.3499999999999999</c:v>
                </c:pt>
                <c:pt idx="12">
                  <c:v>2.3249999999999997</c:v>
                </c:pt>
                <c:pt idx="13">
                  <c:v>23.279999999999998</c:v>
                </c:pt>
                <c:pt idx="14">
                  <c:v>8.64</c:v>
                </c:pt>
                <c:pt idx="15">
                  <c:v>1.3499999999999999</c:v>
                </c:pt>
                <c:pt idx="16">
                  <c:v>9.24</c:v>
                </c:pt>
                <c:pt idx="17">
                  <c:v>9.24</c:v>
                </c:pt>
                <c:pt idx="18">
                  <c:v>0.06</c:v>
                </c:pt>
                <c:pt idx="19">
                  <c:v>4.4999999999999997E-3</c:v>
                </c:pt>
                <c:pt idx="20">
                  <c:v>7.4999999999999997E-3</c:v>
                </c:pt>
                <c:pt idx="21">
                  <c:v>1.4999999999999999E-2</c:v>
                </c:pt>
                <c:pt idx="22">
                  <c:v>0.03</c:v>
                </c:pt>
                <c:pt idx="23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3D-4CB0-98B4-BF5DC56FCEE1}"/>
            </c:ext>
          </c:extLst>
        </c:ser>
        <c:ser>
          <c:idx val="2"/>
          <c:order val="2"/>
          <c:tx>
            <c:strRef>
              <c:f>'simple cost calcs old'!$AF$3</c:f>
              <c:strCache>
                <c:ptCount val="1"/>
                <c:pt idx="0">
                  <c:v>energy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'simple cost calcs old'!$AF$4:$AF$27</c:f>
              <c:numCache>
                <c:formatCode>0.00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3.75</c:v>
                </c:pt>
                <c:pt idx="17">
                  <c:v>3.75</c:v>
                </c:pt>
                <c:pt idx="18">
                  <c:v>0.52600000000000002</c:v>
                </c:pt>
                <c:pt idx="19">
                  <c:v>0.3</c:v>
                </c:pt>
                <c:pt idx="20">
                  <c:v>0.88000000000000012</c:v>
                </c:pt>
                <c:pt idx="21">
                  <c:v>0.88000000000000012</c:v>
                </c:pt>
                <c:pt idx="22">
                  <c:v>0.88000000000000012</c:v>
                </c:pt>
                <c:pt idx="23">
                  <c:v>0.88000000000000012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3D-4CB0-98B4-BF5DC56FC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7415288"/>
        <c:axId val="1037413648"/>
      </c:barChart>
      <c:catAx>
        <c:axId val="1037415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3648"/>
        <c:crosses val="autoZero"/>
        <c:auto val="1"/>
        <c:lblAlgn val="ctr"/>
        <c:lblOffset val="100"/>
        <c:noMultiLvlLbl val="0"/>
      </c:catAx>
      <c:valAx>
        <c:axId val="10374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all-in costs £/tonne CO2 avoided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'simple cost calcs old'!$AB$4:$AB$27</c:f>
              <c:numCache>
                <c:formatCode>General</c:formatCode>
                <c:ptCount val="24"/>
                <c:pt idx="0">
                  <c:v>4.3394713373719505</c:v>
                </c:pt>
                <c:pt idx="1">
                  <c:v>6.8325042137746363</c:v>
                </c:pt>
                <c:pt idx="2">
                  <c:v>6.8325042137746363</c:v>
                </c:pt>
                <c:pt idx="3">
                  <c:v>6.4407137170446696</c:v>
                </c:pt>
                <c:pt idx="4">
                  <c:v>11.261296427111803</c:v>
                </c:pt>
                <c:pt idx="5">
                  <c:v>3.1477188454846368</c:v>
                </c:pt>
                <c:pt idx="6">
                  <c:v>6.4407137170446696</c:v>
                </c:pt>
                <c:pt idx="7">
                  <c:v>11.261296427111803</c:v>
                </c:pt>
                <c:pt idx="8">
                  <c:v>6.4407137170446696</c:v>
                </c:pt>
                <c:pt idx="9">
                  <c:v>17.972303729362128</c:v>
                </c:pt>
                <c:pt idx="10">
                  <c:v>1.4665340088626504</c:v>
                </c:pt>
                <c:pt idx="11">
                  <c:v>0.69854901828822957</c:v>
                </c:pt>
                <c:pt idx="12">
                  <c:v>1.4665340088626504</c:v>
                </c:pt>
                <c:pt idx="13">
                  <c:v>17.972303729362128</c:v>
                </c:pt>
                <c:pt idx="14">
                  <c:v>6.4407137170446696</c:v>
                </c:pt>
                <c:pt idx="15">
                  <c:v>0.69854901828822957</c:v>
                </c:pt>
                <c:pt idx="16">
                  <c:v>7.1725791243497277</c:v>
                </c:pt>
                <c:pt idx="17">
                  <c:v>7.1725791243497277</c:v>
                </c:pt>
                <c:pt idx="18">
                  <c:v>-0.10225748372352662</c:v>
                </c:pt>
                <c:pt idx="19">
                  <c:v>-0.9368288561953777</c:v>
                </c:pt>
                <c:pt idx="20">
                  <c:v>-0.27351217442744108</c:v>
                </c:pt>
                <c:pt idx="21">
                  <c:v>-0.18228733431301439</c:v>
                </c:pt>
                <c:pt idx="22">
                  <c:v>-3.1241335292695578E-2</c:v>
                </c:pt>
                <c:pt idx="23">
                  <c:v>-0.18228733431301439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5-42D3-8769-14EA16EE0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864472"/>
        <c:axId val="840868736"/>
      </c:barChart>
      <c:catAx>
        <c:axId val="840864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8736"/>
        <c:crosses val="autoZero"/>
        <c:auto val="1"/>
        <c:lblAlgn val="ctr"/>
        <c:lblOffset val="100"/>
        <c:noMultiLvlLbl val="0"/>
      </c:catAx>
      <c:valAx>
        <c:axId val="8408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Indicative MAC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cost calcs old'!$AK$3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cost calcs old'!$AJ$4:$AJ$27</c:f>
              <c:numCache>
                <c:formatCode>0</c:formatCode>
                <c:ptCount val="24"/>
                <c:pt idx="0">
                  <c:v>3</c:v>
                </c:pt>
                <c:pt idx="1">
                  <c:v>6</c:v>
                </c:pt>
                <c:pt idx="2">
                  <c:v>8</c:v>
                </c:pt>
                <c:pt idx="3">
                  <c:v>9</c:v>
                </c:pt>
                <c:pt idx="4">
                  <c:v>11</c:v>
                </c:pt>
                <c:pt idx="5">
                  <c:v>13</c:v>
                </c:pt>
                <c:pt idx="6">
                  <c:v>15</c:v>
                </c:pt>
                <c:pt idx="7">
                  <c:v>16</c:v>
                </c:pt>
                <c:pt idx="8">
                  <c:v>17</c:v>
                </c:pt>
                <c:pt idx="9">
                  <c:v>19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25</c:v>
                </c:pt>
                <c:pt idx="14">
                  <c:v>26</c:v>
                </c:pt>
                <c:pt idx="15">
                  <c:v>28</c:v>
                </c:pt>
                <c:pt idx="16">
                  <c:v>30</c:v>
                </c:pt>
                <c:pt idx="17">
                  <c:v>32</c:v>
                </c:pt>
                <c:pt idx="18">
                  <c:v>62</c:v>
                </c:pt>
                <c:pt idx="19">
                  <c:v>72</c:v>
                </c:pt>
                <c:pt idx="20">
                  <c:v>92</c:v>
                </c:pt>
                <c:pt idx="21">
                  <c:v>102</c:v>
                </c:pt>
                <c:pt idx="22">
                  <c:v>122</c:v>
                </c:pt>
                <c:pt idx="23">
                  <c:v>127</c:v>
                </c:pt>
              </c:numCache>
            </c:numRef>
          </c:xVal>
          <c:yVal>
            <c:numRef>
              <c:f>'simple cost calcs old'!$AK$4:$AK$27</c:f>
              <c:numCache>
                <c:formatCode>General</c:formatCode>
                <c:ptCount val="24"/>
                <c:pt idx="0">
                  <c:v>4.3394713373719505</c:v>
                </c:pt>
                <c:pt idx="1">
                  <c:v>6.8325042137746363</c:v>
                </c:pt>
                <c:pt idx="2">
                  <c:v>6.8325042137746363</c:v>
                </c:pt>
                <c:pt idx="3">
                  <c:v>6.4407137170446696</c:v>
                </c:pt>
                <c:pt idx="4">
                  <c:v>11.261296427111803</c:v>
                </c:pt>
                <c:pt idx="5">
                  <c:v>3.1477188454846368</c:v>
                </c:pt>
                <c:pt idx="6">
                  <c:v>6.4407137170446696</c:v>
                </c:pt>
                <c:pt idx="7">
                  <c:v>11.261296427111803</c:v>
                </c:pt>
                <c:pt idx="8">
                  <c:v>6.4407137170446696</c:v>
                </c:pt>
                <c:pt idx="9">
                  <c:v>17.972303729362128</c:v>
                </c:pt>
                <c:pt idx="10">
                  <c:v>1.4665340088626504</c:v>
                </c:pt>
                <c:pt idx="11">
                  <c:v>0.69854901828822957</c:v>
                </c:pt>
                <c:pt idx="12">
                  <c:v>1.4665340088626504</c:v>
                </c:pt>
                <c:pt idx="13">
                  <c:v>17.972303729362128</c:v>
                </c:pt>
                <c:pt idx="14">
                  <c:v>6.4407137170446696</c:v>
                </c:pt>
                <c:pt idx="15">
                  <c:v>0.69854901828822957</c:v>
                </c:pt>
                <c:pt idx="16">
                  <c:v>7.1725791243497277</c:v>
                </c:pt>
                <c:pt idx="17">
                  <c:v>7.1725791243497277</c:v>
                </c:pt>
                <c:pt idx="18">
                  <c:v>-0.10225748372352662</c:v>
                </c:pt>
                <c:pt idx="19">
                  <c:v>-0.9368288561953777</c:v>
                </c:pt>
                <c:pt idx="20">
                  <c:v>-0.27351217442744108</c:v>
                </c:pt>
                <c:pt idx="21">
                  <c:v>-0.18228733431301439</c:v>
                </c:pt>
                <c:pt idx="22">
                  <c:v>-3.1241335292695578E-2</c:v>
                </c:pt>
                <c:pt idx="23">
                  <c:v>-0.18228733431301439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15-4E83-BCC1-A27DB0145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248344"/>
        <c:axId val="827100512"/>
      </c:scatterChart>
      <c:valAx>
        <c:axId val="837248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100512"/>
        <c:crosses val="autoZero"/>
        <c:crossBetween val="midCat"/>
      </c:valAx>
      <c:valAx>
        <c:axId val="82710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 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248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Build up of abatement cost per tonne avoided: £/tCO2e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3937007874016"/>
          <c:y val="0.17935185185185187"/>
          <c:w val="0.72227559055118107"/>
          <c:h val="0.713248760571595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'base 2019'!$AD$3</c:f>
              <c:strCache>
                <c:ptCount val="1"/>
                <c:pt idx="0">
                  <c:v>cap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2019'!$AD$4:$AD$28</c:f>
              <c:numCache>
                <c:formatCode>#,##0.00_ ;[Red]\-#,##0.00\ </c:formatCode>
                <c:ptCount val="25"/>
                <c:pt idx="0">
                  <c:v>4.012129359534565E-2</c:v>
                </c:pt>
                <c:pt idx="1">
                  <c:v>3.7993649238016729E-2</c:v>
                </c:pt>
                <c:pt idx="2">
                  <c:v>7.5987298476033457E-2</c:v>
                </c:pt>
                <c:pt idx="3">
                  <c:v>7.5987298476033457E-2</c:v>
                </c:pt>
                <c:pt idx="4">
                  <c:v>0.15197459695206691</c:v>
                </c:pt>
                <c:pt idx="5">
                  <c:v>0.1162922175257944</c:v>
                </c:pt>
                <c:pt idx="6">
                  <c:v>0.44694339844980824</c:v>
                </c:pt>
                <c:pt idx="7">
                  <c:v>0.92417506798391957</c:v>
                </c:pt>
                <c:pt idx="8">
                  <c:v>0.92417506798391957</c:v>
                </c:pt>
                <c:pt idx="9">
                  <c:v>1.5258073133854253</c:v>
                </c:pt>
                <c:pt idx="10">
                  <c:v>1.5916348393056392</c:v>
                </c:pt>
                <c:pt idx="11">
                  <c:v>2.9265039396674108</c:v>
                </c:pt>
                <c:pt idx="12">
                  <c:v>4.0885196949252602</c:v>
                </c:pt>
                <c:pt idx="13">
                  <c:v>5.6700968549032584</c:v>
                </c:pt>
                <c:pt idx="14">
                  <c:v>5.6700968549032584</c:v>
                </c:pt>
                <c:pt idx="15">
                  <c:v>5.6700968549032584</c:v>
                </c:pt>
                <c:pt idx="16">
                  <c:v>5.6700968549032584</c:v>
                </c:pt>
                <c:pt idx="17">
                  <c:v>5.9965211807862309</c:v>
                </c:pt>
                <c:pt idx="18">
                  <c:v>6.0638535809382077</c:v>
                </c:pt>
                <c:pt idx="19">
                  <c:v>6.0638535809382077</c:v>
                </c:pt>
                <c:pt idx="20">
                  <c:v>6.2552276045898276</c:v>
                </c:pt>
                <c:pt idx="21">
                  <c:v>9.6864154604597328</c:v>
                </c:pt>
                <c:pt idx="22">
                  <c:v>9.6864154604597328</c:v>
                </c:pt>
                <c:pt idx="23">
                  <c:v>15.277760970156002</c:v>
                </c:pt>
                <c:pt idx="24">
                  <c:v>15.277760970156002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15-4FEB-8BC1-B07195A3ECC6}"/>
            </c:ext>
          </c:extLst>
        </c:ser>
        <c:ser>
          <c:idx val="1"/>
          <c:order val="1"/>
          <c:tx>
            <c:strRef>
              <c:f>'base 2019'!$AE$3</c:f>
              <c:strCache>
                <c:ptCount val="1"/>
                <c:pt idx="0">
                  <c:v>opex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'base 2019'!$AE$4:$AE$28</c:f>
              <c:numCache>
                <c:formatCode>General</c:formatCode>
                <c:ptCount val="25"/>
                <c:pt idx="0">
                  <c:v>9.9999999999999985E-3</c:v>
                </c:pt>
                <c:pt idx="1">
                  <c:v>9.46969696969697E-3</c:v>
                </c:pt>
                <c:pt idx="2">
                  <c:v>1.893939393939394E-2</c:v>
                </c:pt>
                <c:pt idx="3">
                  <c:v>1.893939393939394E-2</c:v>
                </c:pt>
                <c:pt idx="4">
                  <c:v>3.787878787878788E-2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15-4FEB-8BC1-B07195A3ECC6}"/>
            </c:ext>
          </c:extLst>
        </c:ser>
        <c:ser>
          <c:idx val="2"/>
          <c:order val="2"/>
          <c:tx>
            <c:strRef>
              <c:f>'base 2019'!$AF$3</c:f>
              <c:strCache>
                <c:ptCount val="1"/>
                <c:pt idx="0">
                  <c:v>energy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2019'!$AF$4:$AF$28</c:f>
              <c:numCache>
                <c:formatCode>0.00</c:formatCode>
                <c:ptCount val="25"/>
                <c:pt idx="0">
                  <c:v>0.99999999999999978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1.6666666666666667</c:v>
                </c:pt>
                <c:pt idx="4">
                  <c:v>1.6666666666666667</c:v>
                </c:pt>
                <c:pt idx="5">
                  <c:v>0.31746031746031744</c:v>
                </c:pt>
                <c:pt idx="6">
                  <c:v>0.37037037037037035</c:v>
                </c:pt>
                <c:pt idx="7">
                  <c:v>0.20225127087872183</c:v>
                </c:pt>
                <c:pt idx="8">
                  <c:v>0.20225127087872183</c:v>
                </c:pt>
                <c:pt idx="9">
                  <c:v>0.2165840381063478</c:v>
                </c:pt>
                <c:pt idx="10">
                  <c:v>0.20225127087872183</c:v>
                </c:pt>
                <c:pt idx="11">
                  <c:v>0.2165840381063478</c:v>
                </c:pt>
                <c:pt idx="12">
                  <c:v>0.20225127087872183</c:v>
                </c:pt>
                <c:pt idx="13">
                  <c:v>0.2165840381063478</c:v>
                </c:pt>
                <c:pt idx="14">
                  <c:v>0.2165840381063478</c:v>
                </c:pt>
                <c:pt idx="15">
                  <c:v>0.2165840381063478</c:v>
                </c:pt>
                <c:pt idx="16">
                  <c:v>0.2165840381063478</c:v>
                </c:pt>
                <c:pt idx="17">
                  <c:v>0.2165840381063478</c:v>
                </c:pt>
                <c:pt idx="18">
                  <c:v>0.27073004763293473</c:v>
                </c:pt>
                <c:pt idx="19">
                  <c:v>0.27073004763293473</c:v>
                </c:pt>
                <c:pt idx="20">
                  <c:v>0.20225127087872183</c:v>
                </c:pt>
                <c:pt idx="21">
                  <c:v>0.2165840381063478</c:v>
                </c:pt>
                <c:pt idx="22">
                  <c:v>0.2165840381063478</c:v>
                </c:pt>
                <c:pt idx="23">
                  <c:v>0.2165840381063478</c:v>
                </c:pt>
                <c:pt idx="24">
                  <c:v>0.2165840381063478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15-4FEB-8BC1-B07195A3E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7415288"/>
        <c:axId val="1037413648"/>
      </c:barChart>
      <c:catAx>
        <c:axId val="1037415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3648"/>
        <c:crosses val="autoZero"/>
        <c:auto val="1"/>
        <c:lblAlgn val="ctr"/>
        <c:lblOffset val="100"/>
        <c:noMultiLvlLbl val="0"/>
      </c:catAx>
      <c:valAx>
        <c:axId val="10374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all-in costs £/tonne CO2 avoided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2019'!$AB$4:$AB$28</c:f>
              <c:numCache>
                <c:formatCode>General</c:formatCode>
                <c:ptCount val="25"/>
                <c:pt idx="0">
                  <c:v>-0.94987870640465422</c:v>
                </c:pt>
                <c:pt idx="1">
                  <c:v>-0.28586998712561951</c:v>
                </c:pt>
                <c:pt idx="2">
                  <c:v>-0.23840664091790578</c:v>
                </c:pt>
                <c:pt idx="3">
                  <c:v>-0.23840664091790578</c:v>
                </c:pt>
                <c:pt idx="4">
                  <c:v>-0.14347994850247839</c:v>
                </c:pt>
                <c:pt idx="5">
                  <c:v>-0.13846968723611039</c:v>
                </c:pt>
                <c:pt idx="6">
                  <c:v>7.6573028079437847E-2</c:v>
                </c:pt>
                <c:pt idx="7">
                  <c:v>0.50420411664041909</c:v>
                </c:pt>
                <c:pt idx="8">
                  <c:v>0.50420411664041909</c:v>
                </c:pt>
                <c:pt idx="9">
                  <c:v>1.120169129269551</c:v>
                </c:pt>
                <c:pt idx="10">
                  <c:v>1.1716638879621391</c:v>
                </c:pt>
                <c:pt idx="11">
                  <c:v>2.5208657555515366</c:v>
                </c:pt>
                <c:pt idx="12">
                  <c:v>3.6685487435817601</c:v>
                </c:pt>
                <c:pt idx="13">
                  <c:v>5.2644586707873833</c:v>
                </c:pt>
                <c:pt idx="14">
                  <c:v>5.2644586707873833</c:v>
                </c:pt>
                <c:pt idx="15">
                  <c:v>5.2644586707873833</c:v>
                </c:pt>
                <c:pt idx="16">
                  <c:v>5.2644586707873833</c:v>
                </c:pt>
                <c:pt idx="17">
                  <c:v>5.5908829966703557</c:v>
                </c:pt>
                <c:pt idx="18">
                  <c:v>5.7123614063489203</c:v>
                </c:pt>
                <c:pt idx="19">
                  <c:v>5.7123614063489203</c:v>
                </c:pt>
                <c:pt idx="20">
                  <c:v>5.8352566532463275</c:v>
                </c:pt>
                <c:pt idx="21">
                  <c:v>9.2807772763438585</c:v>
                </c:pt>
                <c:pt idx="22">
                  <c:v>9.2807772763438585</c:v>
                </c:pt>
                <c:pt idx="23">
                  <c:v>14.872122786040128</c:v>
                </c:pt>
                <c:pt idx="24">
                  <c:v>14.872122786040128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B9-4613-8EF6-36797D332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864472"/>
        <c:axId val="840868736"/>
      </c:barChart>
      <c:catAx>
        <c:axId val="840864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8736"/>
        <c:crosses val="autoZero"/>
        <c:auto val="1"/>
        <c:lblAlgn val="ctr"/>
        <c:lblOffset val="100"/>
        <c:noMultiLvlLbl val="0"/>
      </c:catAx>
      <c:valAx>
        <c:axId val="8408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Build up of abatement cost per tonne avoided: £/tCO2e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3937007874016"/>
          <c:y val="0.17935185185185187"/>
          <c:w val="0.72227559055118107"/>
          <c:h val="0.71324876057159525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2019'!$AD$49:$AD$73</c:f>
              <c:numCache>
                <c:formatCode>#,##0.00_ ;[Red]\-#,##0.00\ </c:formatCode>
                <c:ptCount val="25"/>
                <c:pt idx="0">
                  <c:v>4.012129359534565E-2</c:v>
                </c:pt>
                <c:pt idx="1">
                  <c:v>3.7993649238016729E-2</c:v>
                </c:pt>
                <c:pt idx="2">
                  <c:v>7.5987298476033457E-2</c:v>
                </c:pt>
                <c:pt idx="3">
                  <c:v>7.5987298476033457E-2</c:v>
                </c:pt>
                <c:pt idx="4">
                  <c:v>0.15197459695206691</c:v>
                </c:pt>
                <c:pt idx="5">
                  <c:v>0.1162922175257944</c:v>
                </c:pt>
                <c:pt idx="6">
                  <c:v>0.44694339844980824</c:v>
                </c:pt>
                <c:pt idx="7">
                  <c:v>0.92417506798391957</c:v>
                </c:pt>
                <c:pt idx="8">
                  <c:v>0.92417506798391957</c:v>
                </c:pt>
                <c:pt idx="9">
                  <c:v>1.5258073133854253</c:v>
                </c:pt>
                <c:pt idx="10">
                  <c:v>1.5916348393056392</c:v>
                </c:pt>
                <c:pt idx="11">
                  <c:v>2.9265039396674108</c:v>
                </c:pt>
                <c:pt idx="12">
                  <c:v>4.0885196949252602</c:v>
                </c:pt>
                <c:pt idx="13">
                  <c:v>5.6700968549032584</c:v>
                </c:pt>
                <c:pt idx="14">
                  <c:v>5.6700968549032584</c:v>
                </c:pt>
                <c:pt idx="15">
                  <c:v>5.6700968549032584</c:v>
                </c:pt>
                <c:pt idx="16">
                  <c:v>5.6700968549032584</c:v>
                </c:pt>
                <c:pt idx="17">
                  <c:v>5.9965211807862309</c:v>
                </c:pt>
                <c:pt idx="18">
                  <c:v>6.0638535809382077</c:v>
                </c:pt>
                <c:pt idx="19">
                  <c:v>6.0638535809382077</c:v>
                </c:pt>
                <c:pt idx="20">
                  <c:v>6.2552276045898276</c:v>
                </c:pt>
                <c:pt idx="21">
                  <c:v>9.6864154604597328</c:v>
                </c:pt>
                <c:pt idx="22">
                  <c:v>9.6864154604597328</c:v>
                </c:pt>
                <c:pt idx="23">
                  <c:v>15.277760970156002</c:v>
                </c:pt>
                <c:pt idx="24">
                  <c:v>15.277760970156002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34-4456-8FCB-EE22A9F3AB83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'base 2019'!$AE$49:$AE$73</c:f>
              <c:numCache>
                <c:formatCode>General</c:formatCode>
                <c:ptCount val="25"/>
                <c:pt idx="0">
                  <c:v>9.9999999999999985E-3</c:v>
                </c:pt>
                <c:pt idx="1">
                  <c:v>9.46969696969697E-3</c:v>
                </c:pt>
                <c:pt idx="2">
                  <c:v>1.893939393939394E-2</c:v>
                </c:pt>
                <c:pt idx="3">
                  <c:v>1.893939393939394E-2</c:v>
                </c:pt>
                <c:pt idx="4">
                  <c:v>3.787878787878788E-2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34-4456-8FCB-EE22A9F3AB8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2019'!$AF$49:$AF$73</c:f>
              <c:numCache>
                <c:formatCode>0.00</c:formatCode>
                <c:ptCount val="25"/>
                <c:pt idx="0">
                  <c:v>0.99999999999999978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1.6666666666666667</c:v>
                </c:pt>
                <c:pt idx="4">
                  <c:v>1.6666666666666667</c:v>
                </c:pt>
                <c:pt idx="5">
                  <c:v>0.31746031746031744</c:v>
                </c:pt>
                <c:pt idx="6">
                  <c:v>0.37037037037037035</c:v>
                </c:pt>
                <c:pt idx="7">
                  <c:v>0.20225127087872183</c:v>
                </c:pt>
                <c:pt idx="8">
                  <c:v>0.20225127087872183</c:v>
                </c:pt>
                <c:pt idx="9">
                  <c:v>0.2165840381063478</c:v>
                </c:pt>
                <c:pt idx="10">
                  <c:v>0.20225127087872183</c:v>
                </c:pt>
                <c:pt idx="11">
                  <c:v>0.2165840381063478</c:v>
                </c:pt>
                <c:pt idx="12">
                  <c:v>0.20225127087872183</c:v>
                </c:pt>
                <c:pt idx="13">
                  <c:v>0.2165840381063478</c:v>
                </c:pt>
                <c:pt idx="14">
                  <c:v>0.2165840381063478</c:v>
                </c:pt>
                <c:pt idx="15">
                  <c:v>0.2165840381063478</c:v>
                </c:pt>
                <c:pt idx="16">
                  <c:v>0.2165840381063478</c:v>
                </c:pt>
                <c:pt idx="17">
                  <c:v>0.2165840381063478</c:v>
                </c:pt>
                <c:pt idx="18">
                  <c:v>0.32487605715952173</c:v>
                </c:pt>
                <c:pt idx="19">
                  <c:v>0.32487605715952173</c:v>
                </c:pt>
                <c:pt idx="20">
                  <c:v>0.20225127087872183</c:v>
                </c:pt>
                <c:pt idx="21">
                  <c:v>0.2165840381063478</c:v>
                </c:pt>
                <c:pt idx="22">
                  <c:v>0.2165840381063478</c:v>
                </c:pt>
                <c:pt idx="23">
                  <c:v>0.2165840381063478</c:v>
                </c:pt>
                <c:pt idx="24">
                  <c:v>0.2165840381063478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34-4456-8FCB-EE22A9F3A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7415288"/>
        <c:axId val="1037413648"/>
      </c:barChart>
      <c:catAx>
        <c:axId val="1037415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3648"/>
        <c:crosses val="autoZero"/>
        <c:auto val="1"/>
        <c:lblAlgn val="ctr"/>
        <c:lblOffset val="100"/>
        <c:noMultiLvlLbl val="0"/>
      </c:catAx>
      <c:valAx>
        <c:axId val="10374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all-in costs £/tonne CO2 avoided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2019'!$AB$49:$AB$73</c:f>
              <c:numCache>
                <c:formatCode>General</c:formatCode>
                <c:ptCount val="25"/>
                <c:pt idx="0">
                  <c:v>-0.94987870640465422</c:v>
                </c:pt>
                <c:pt idx="1">
                  <c:v>-0.28586998712561951</c:v>
                </c:pt>
                <c:pt idx="2">
                  <c:v>-0.23840664091790578</c:v>
                </c:pt>
                <c:pt idx="3">
                  <c:v>-0.23840664091790578</c:v>
                </c:pt>
                <c:pt idx="4">
                  <c:v>-0.14347994850247839</c:v>
                </c:pt>
                <c:pt idx="5">
                  <c:v>-0.13846968723611039</c:v>
                </c:pt>
                <c:pt idx="6">
                  <c:v>7.6573028079437847E-2</c:v>
                </c:pt>
                <c:pt idx="7">
                  <c:v>0.50420411664041909</c:v>
                </c:pt>
                <c:pt idx="8">
                  <c:v>0.50420411664041909</c:v>
                </c:pt>
                <c:pt idx="9">
                  <c:v>1.120169129269551</c:v>
                </c:pt>
                <c:pt idx="10">
                  <c:v>1.1716638879621391</c:v>
                </c:pt>
                <c:pt idx="11">
                  <c:v>2.5208657555515366</c:v>
                </c:pt>
                <c:pt idx="12">
                  <c:v>3.6685487435817601</c:v>
                </c:pt>
                <c:pt idx="13">
                  <c:v>5.2644586707873833</c:v>
                </c:pt>
                <c:pt idx="14">
                  <c:v>5.2644586707873833</c:v>
                </c:pt>
                <c:pt idx="15">
                  <c:v>5.2644586707873833</c:v>
                </c:pt>
                <c:pt idx="16">
                  <c:v>5.2644586707873833</c:v>
                </c:pt>
                <c:pt idx="17">
                  <c:v>5.5908829966703557</c:v>
                </c:pt>
                <c:pt idx="18">
                  <c:v>5.7665074158755081</c:v>
                </c:pt>
                <c:pt idx="19">
                  <c:v>5.7665074158755081</c:v>
                </c:pt>
                <c:pt idx="20">
                  <c:v>5.8352566532463275</c:v>
                </c:pt>
                <c:pt idx="21">
                  <c:v>9.2807772763438585</c:v>
                </c:pt>
                <c:pt idx="22">
                  <c:v>9.2807772763438585</c:v>
                </c:pt>
                <c:pt idx="23">
                  <c:v>14.872122786040128</c:v>
                </c:pt>
                <c:pt idx="24">
                  <c:v>14.872122786040128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FC-44E7-AFD6-CF849BF30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864472"/>
        <c:axId val="840868736"/>
      </c:barChart>
      <c:catAx>
        <c:axId val="840864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8736"/>
        <c:crosses val="autoZero"/>
        <c:auto val="1"/>
        <c:lblAlgn val="ctr"/>
        <c:lblOffset val="100"/>
        <c:noMultiLvlLbl val="0"/>
      </c:catAx>
      <c:valAx>
        <c:axId val="8408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Indicative MAC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'base 2019'!$AJ$49:$AJ$73</c:f>
              <c:numCache>
                <c:formatCode>0</c:formatCode>
                <c:ptCount val="25"/>
                <c:pt idx="0">
                  <c:v>2.2893081761006289</c:v>
                </c:pt>
                <c:pt idx="1">
                  <c:v>6.4863731656184491</c:v>
                </c:pt>
                <c:pt idx="2">
                  <c:v>8.7756813417190784</c:v>
                </c:pt>
                <c:pt idx="3">
                  <c:v>10.30188679245283</c:v>
                </c:pt>
                <c:pt idx="4">
                  <c:v>14.117400419287211</c:v>
                </c:pt>
                <c:pt idx="5">
                  <c:v>18.886792452830189</c:v>
                </c:pt>
                <c:pt idx="6">
                  <c:v>23.656184486373167</c:v>
                </c:pt>
                <c:pt idx="7">
                  <c:v>24.037735849056606</c:v>
                </c:pt>
                <c:pt idx="8">
                  <c:v>24.419287211740045</c:v>
                </c:pt>
                <c:pt idx="9">
                  <c:v>24.838993710691827</c:v>
                </c:pt>
                <c:pt idx="10">
                  <c:v>25.029769392033547</c:v>
                </c:pt>
                <c:pt idx="11">
                  <c:v>25.583018867924533</c:v>
                </c:pt>
                <c:pt idx="12">
                  <c:v>26.250733752620551</c:v>
                </c:pt>
                <c:pt idx="13">
                  <c:v>26.53689727463313</c:v>
                </c:pt>
                <c:pt idx="14">
                  <c:v>27.013836477987429</c:v>
                </c:pt>
                <c:pt idx="15">
                  <c:v>27.204612159329148</c:v>
                </c:pt>
                <c:pt idx="16">
                  <c:v>27.509853249475899</c:v>
                </c:pt>
                <c:pt idx="17">
                  <c:v>27.929559748427682</c:v>
                </c:pt>
                <c:pt idx="18">
                  <c:v>28.311111111111121</c:v>
                </c:pt>
                <c:pt idx="19">
                  <c:v>28.692662473794559</c:v>
                </c:pt>
                <c:pt idx="20">
                  <c:v>29.264989517819718</c:v>
                </c:pt>
                <c:pt idx="21">
                  <c:v>29.665618448637328</c:v>
                </c:pt>
                <c:pt idx="22">
                  <c:v>29.951781970649908</c:v>
                </c:pt>
                <c:pt idx="23">
                  <c:v>30.333333333333346</c:v>
                </c:pt>
                <c:pt idx="24">
                  <c:v>30.581341719077582</c:v>
                </c:pt>
              </c:numCache>
            </c:numRef>
          </c:xVal>
          <c:yVal>
            <c:numRef>
              <c:f>'base 2019'!$AK$49:$AK$73</c:f>
              <c:numCache>
                <c:formatCode>General</c:formatCode>
                <c:ptCount val="25"/>
                <c:pt idx="0">
                  <c:v>-0.94987870640465422</c:v>
                </c:pt>
                <c:pt idx="1">
                  <c:v>-0.28586998712561951</c:v>
                </c:pt>
                <c:pt idx="2">
                  <c:v>-0.23840664091790578</c:v>
                </c:pt>
                <c:pt idx="3">
                  <c:v>-0.23840664091790578</c:v>
                </c:pt>
                <c:pt idx="4">
                  <c:v>-0.14347994850247839</c:v>
                </c:pt>
                <c:pt idx="5">
                  <c:v>-0.13846968723611039</c:v>
                </c:pt>
                <c:pt idx="6">
                  <c:v>7.6573028079437847E-2</c:v>
                </c:pt>
                <c:pt idx="7">
                  <c:v>0.50420411664041909</c:v>
                </c:pt>
                <c:pt idx="8">
                  <c:v>0.50420411664041909</c:v>
                </c:pt>
                <c:pt idx="9">
                  <c:v>1.120169129269551</c:v>
                </c:pt>
                <c:pt idx="10">
                  <c:v>1.1716638879621391</c:v>
                </c:pt>
                <c:pt idx="11">
                  <c:v>2.5208657555515366</c:v>
                </c:pt>
                <c:pt idx="12">
                  <c:v>3.6685487435817601</c:v>
                </c:pt>
                <c:pt idx="13">
                  <c:v>5.2644586707873833</c:v>
                </c:pt>
                <c:pt idx="14">
                  <c:v>5.2644586707873833</c:v>
                </c:pt>
                <c:pt idx="15">
                  <c:v>5.2644586707873833</c:v>
                </c:pt>
                <c:pt idx="16">
                  <c:v>5.2644586707873833</c:v>
                </c:pt>
                <c:pt idx="17">
                  <c:v>5.5908829966703557</c:v>
                </c:pt>
                <c:pt idx="18">
                  <c:v>5.7665074158755081</c:v>
                </c:pt>
                <c:pt idx="19">
                  <c:v>5.7665074158755081</c:v>
                </c:pt>
                <c:pt idx="20">
                  <c:v>5.8352566532463275</c:v>
                </c:pt>
                <c:pt idx="21">
                  <c:v>9.2807772763438585</c:v>
                </c:pt>
                <c:pt idx="22">
                  <c:v>9.2807772763438585</c:v>
                </c:pt>
                <c:pt idx="23">
                  <c:v>14.872122786040128</c:v>
                </c:pt>
                <c:pt idx="24">
                  <c:v>14.872122786040128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58-4CE0-8155-E580DFAF4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248344"/>
        <c:axId val="827100512"/>
      </c:scatterChart>
      <c:valAx>
        <c:axId val="837248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100512"/>
        <c:crosses val="autoZero"/>
        <c:crossBetween val="midCat"/>
      </c:valAx>
      <c:valAx>
        <c:axId val="82710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 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248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Build up of abatement cost per tonne avoided: £/tCO2e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3937007874016"/>
          <c:y val="0.17935185185185187"/>
          <c:w val="0.72227559055118107"/>
          <c:h val="0.71324876057159525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2019'!$AD$94:$AD$118</c:f>
              <c:numCache>
                <c:formatCode>#,##0.00_ ;[Red]\-#,##0.00\ </c:formatCode>
                <c:ptCount val="25"/>
                <c:pt idx="0">
                  <c:v>4.012129359534565E-2</c:v>
                </c:pt>
                <c:pt idx="1">
                  <c:v>3.7993649238016729E-2</c:v>
                </c:pt>
                <c:pt idx="2">
                  <c:v>7.5987298476033457E-2</c:v>
                </c:pt>
                <c:pt idx="3">
                  <c:v>7.5987298476033457E-2</c:v>
                </c:pt>
                <c:pt idx="4">
                  <c:v>0.15197459695206691</c:v>
                </c:pt>
                <c:pt idx="5">
                  <c:v>0.1162922175257944</c:v>
                </c:pt>
                <c:pt idx="6">
                  <c:v>0.44694339844980824</c:v>
                </c:pt>
                <c:pt idx="7">
                  <c:v>0.92417506798391957</c:v>
                </c:pt>
                <c:pt idx="8">
                  <c:v>0.92417506798391957</c:v>
                </c:pt>
                <c:pt idx="9">
                  <c:v>1.5258073133854253</c:v>
                </c:pt>
                <c:pt idx="10">
                  <c:v>1.5916348393056392</c:v>
                </c:pt>
                <c:pt idx="11">
                  <c:v>2.9265039396674108</c:v>
                </c:pt>
                <c:pt idx="12">
                  <c:v>4.0885196949252602</c:v>
                </c:pt>
                <c:pt idx="13">
                  <c:v>5.6700968549032584</c:v>
                </c:pt>
                <c:pt idx="14">
                  <c:v>5.6700968549032584</c:v>
                </c:pt>
                <c:pt idx="15">
                  <c:v>5.6700968549032584</c:v>
                </c:pt>
                <c:pt idx="16">
                  <c:v>5.6700968549032584</c:v>
                </c:pt>
                <c:pt idx="17">
                  <c:v>5.9965211807862309</c:v>
                </c:pt>
                <c:pt idx="18">
                  <c:v>6.0638535809382077</c:v>
                </c:pt>
                <c:pt idx="19">
                  <c:v>6.0638535809382077</c:v>
                </c:pt>
                <c:pt idx="20">
                  <c:v>6.2552276045898276</c:v>
                </c:pt>
                <c:pt idx="21">
                  <c:v>9.6864154604597328</c:v>
                </c:pt>
                <c:pt idx="22">
                  <c:v>9.6864154604597328</c:v>
                </c:pt>
                <c:pt idx="23">
                  <c:v>15.277760970156002</c:v>
                </c:pt>
                <c:pt idx="24">
                  <c:v>15.277760970156002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E6-4224-9960-EC8A2619D0A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'base 2019'!$AE$94:$AE$118</c:f>
              <c:numCache>
                <c:formatCode>General</c:formatCode>
                <c:ptCount val="25"/>
                <c:pt idx="0">
                  <c:v>9.9999999999999985E-3</c:v>
                </c:pt>
                <c:pt idx="1">
                  <c:v>9.46969696969697E-3</c:v>
                </c:pt>
                <c:pt idx="2">
                  <c:v>1.893939393939394E-2</c:v>
                </c:pt>
                <c:pt idx="3">
                  <c:v>1.893939393939394E-2</c:v>
                </c:pt>
                <c:pt idx="4">
                  <c:v>3.787878787878788E-2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E6-4224-9960-EC8A2619D0A5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2019'!$AF$94:$AF$118</c:f>
              <c:numCache>
                <c:formatCode>0.00</c:formatCode>
                <c:ptCount val="25"/>
                <c:pt idx="0">
                  <c:v>0.99999999999999978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1.6666666666666667</c:v>
                </c:pt>
                <c:pt idx="4">
                  <c:v>1.6666666666666667</c:v>
                </c:pt>
                <c:pt idx="5">
                  <c:v>0.31746031746031744</c:v>
                </c:pt>
                <c:pt idx="6">
                  <c:v>0.37037037037037035</c:v>
                </c:pt>
                <c:pt idx="7">
                  <c:v>0.20225127087872183</c:v>
                </c:pt>
                <c:pt idx="8">
                  <c:v>0.20225127087872183</c:v>
                </c:pt>
                <c:pt idx="9">
                  <c:v>0.2165840381063478</c:v>
                </c:pt>
                <c:pt idx="10">
                  <c:v>0.20225127087872183</c:v>
                </c:pt>
                <c:pt idx="11">
                  <c:v>0.2165840381063478</c:v>
                </c:pt>
                <c:pt idx="12">
                  <c:v>0.20225127087872183</c:v>
                </c:pt>
                <c:pt idx="13">
                  <c:v>0.2165840381063478</c:v>
                </c:pt>
                <c:pt idx="14">
                  <c:v>0.2165840381063478</c:v>
                </c:pt>
                <c:pt idx="15">
                  <c:v>0.2165840381063478</c:v>
                </c:pt>
                <c:pt idx="16">
                  <c:v>0.2165840381063478</c:v>
                </c:pt>
                <c:pt idx="17">
                  <c:v>0.2165840381063478</c:v>
                </c:pt>
                <c:pt idx="18">
                  <c:v>0.32487605715952173</c:v>
                </c:pt>
                <c:pt idx="19">
                  <c:v>0.32487605715952173</c:v>
                </c:pt>
                <c:pt idx="20">
                  <c:v>0.20225127087872183</c:v>
                </c:pt>
                <c:pt idx="21">
                  <c:v>0.2165840381063478</c:v>
                </c:pt>
                <c:pt idx="22">
                  <c:v>0.2165840381063478</c:v>
                </c:pt>
                <c:pt idx="23">
                  <c:v>0.2165840381063478</c:v>
                </c:pt>
                <c:pt idx="24">
                  <c:v>0.2165840381063478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E6-4224-9960-EC8A2619D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7415288"/>
        <c:axId val="1037413648"/>
      </c:barChart>
      <c:catAx>
        <c:axId val="1037415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3648"/>
        <c:crosses val="autoZero"/>
        <c:auto val="1"/>
        <c:lblAlgn val="ctr"/>
        <c:lblOffset val="100"/>
        <c:noMultiLvlLbl val="0"/>
      </c:catAx>
      <c:valAx>
        <c:axId val="10374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all-in costs £/tonne CO2 avoided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2019'!$AB$94:$AB$118</c:f>
              <c:numCache>
                <c:formatCode>General</c:formatCode>
                <c:ptCount val="25"/>
                <c:pt idx="0">
                  <c:v>-0.94987870640465422</c:v>
                </c:pt>
                <c:pt idx="1">
                  <c:v>-0.28586998712561951</c:v>
                </c:pt>
                <c:pt idx="2">
                  <c:v>-0.23840664091790578</c:v>
                </c:pt>
                <c:pt idx="3">
                  <c:v>-0.23840664091790578</c:v>
                </c:pt>
                <c:pt idx="4">
                  <c:v>-0.14347994850247839</c:v>
                </c:pt>
                <c:pt idx="5">
                  <c:v>-0.13846968723611039</c:v>
                </c:pt>
                <c:pt idx="6">
                  <c:v>7.6573028079437847E-2</c:v>
                </c:pt>
                <c:pt idx="7">
                  <c:v>0.50420411664041909</c:v>
                </c:pt>
                <c:pt idx="8">
                  <c:v>0.50420411664041909</c:v>
                </c:pt>
                <c:pt idx="9">
                  <c:v>1.120169129269551</c:v>
                </c:pt>
                <c:pt idx="10">
                  <c:v>1.1716638879621391</c:v>
                </c:pt>
                <c:pt idx="11">
                  <c:v>2.5208657555515366</c:v>
                </c:pt>
                <c:pt idx="12">
                  <c:v>3.6685487435817601</c:v>
                </c:pt>
                <c:pt idx="13">
                  <c:v>5.2644586707873833</c:v>
                </c:pt>
                <c:pt idx="14">
                  <c:v>5.2644586707873833</c:v>
                </c:pt>
                <c:pt idx="15">
                  <c:v>5.2644586707873833</c:v>
                </c:pt>
                <c:pt idx="16">
                  <c:v>5.2644586707873833</c:v>
                </c:pt>
                <c:pt idx="17">
                  <c:v>5.5908829966703557</c:v>
                </c:pt>
                <c:pt idx="18">
                  <c:v>5.7665074158755081</c:v>
                </c:pt>
                <c:pt idx="19">
                  <c:v>5.7665074158755081</c:v>
                </c:pt>
                <c:pt idx="20">
                  <c:v>5.8352566532463275</c:v>
                </c:pt>
                <c:pt idx="21">
                  <c:v>9.2807772763438585</c:v>
                </c:pt>
                <c:pt idx="22">
                  <c:v>9.2807772763438585</c:v>
                </c:pt>
                <c:pt idx="23">
                  <c:v>14.872122786040128</c:v>
                </c:pt>
                <c:pt idx="24">
                  <c:v>14.872122786040128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E4-43DD-A112-B08335E4C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864472"/>
        <c:axId val="840868736"/>
      </c:barChart>
      <c:catAx>
        <c:axId val="840864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8736"/>
        <c:crosses val="autoZero"/>
        <c:auto val="1"/>
        <c:lblAlgn val="ctr"/>
        <c:lblOffset val="100"/>
        <c:noMultiLvlLbl val="0"/>
      </c:catAx>
      <c:valAx>
        <c:axId val="8408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Indicative MAC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'base 2019'!$AJ$94:$AJ$118</c:f>
              <c:numCache>
                <c:formatCode>0</c:formatCode>
                <c:ptCount val="25"/>
                <c:pt idx="0">
                  <c:v>0.679245283018868</c:v>
                </c:pt>
                <c:pt idx="1">
                  <c:v>1.9245283018867925</c:v>
                </c:pt>
                <c:pt idx="2">
                  <c:v>2.6037735849056602</c:v>
                </c:pt>
                <c:pt idx="3">
                  <c:v>3.0566037735849054</c:v>
                </c:pt>
                <c:pt idx="4">
                  <c:v>4.1886792452830184</c:v>
                </c:pt>
                <c:pt idx="5">
                  <c:v>5.6037735849056602</c:v>
                </c:pt>
                <c:pt idx="6">
                  <c:v>7.0188679245283021</c:v>
                </c:pt>
                <c:pt idx="7">
                  <c:v>7.1320754716981138</c:v>
                </c:pt>
                <c:pt idx="8">
                  <c:v>7.2452830188679256</c:v>
                </c:pt>
                <c:pt idx="9">
                  <c:v>7.3698113207547182</c:v>
                </c:pt>
                <c:pt idx="10">
                  <c:v>7.4264150943396237</c:v>
                </c:pt>
                <c:pt idx="11">
                  <c:v>7.5905660377358499</c:v>
                </c:pt>
                <c:pt idx="12">
                  <c:v>7.7886792452830198</c:v>
                </c:pt>
                <c:pt idx="13">
                  <c:v>7.8735849056603779</c:v>
                </c:pt>
                <c:pt idx="14">
                  <c:v>8.0150943396226424</c:v>
                </c:pt>
                <c:pt idx="15">
                  <c:v>8.0716981132075478</c:v>
                </c:pt>
                <c:pt idx="16">
                  <c:v>8.1622641509433969</c:v>
                </c:pt>
                <c:pt idx="17">
                  <c:v>8.2867924528301895</c:v>
                </c:pt>
                <c:pt idx="18">
                  <c:v>8.4</c:v>
                </c:pt>
                <c:pt idx="19">
                  <c:v>8.5132075471698112</c:v>
                </c:pt>
                <c:pt idx="20">
                  <c:v>8.6830188679245275</c:v>
                </c:pt>
                <c:pt idx="21">
                  <c:v>8.8018867924528301</c:v>
                </c:pt>
                <c:pt idx="22">
                  <c:v>8.8867924528301891</c:v>
                </c:pt>
                <c:pt idx="23">
                  <c:v>9</c:v>
                </c:pt>
                <c:pt idx="24">
                  <c:v>9.0735849056603772</c:v>
                </c:pt>
              </c:numCache>
            </c:numRef>
          </c:xVal>
          <c:yVal>
            <c:numRef>
              <c:f>'base 2019'!$AK$94:$AK$118</c:f>
              <c:numCache>
                <c:formatCode>General</c:formatCode>
                <c:ptCount val="25"/>
                <c:pt idx="0">
                  <c:v>-0.94987870640465422</c:v>
                </c:pt>
                <c:pt idx="1">
                  <c:v>-0.28586998712561951</c:v>
                </c:pt>
                <c:pt idx="2">
                  <c:v>-0.23840664091790578</c:v>
                </c:pt>
                <c:pt idx="3">
                  <c:v>-0.23840664091790578</c:v>
                </c:pt>
                <c:pt idx="4">
                  <c:v>-0.14347994850247839</c:v>
                </c:pt>
                <c:pt idx="5">
                  <c:v>-0.13846968723611039</c:v>
                </c:pt>
                <c:pt idx="6">
                  <c:v>7.6573028079437847E-2</c:v>
                </c:pt>
                <c:pt idx="7">
                  <c:v>0.50420411664041909</c:v>
                </c:pt>
                <c:pt idx="8">
                  <c:v>0.50420411664041909</c:v>
                </c:pt>
                <c:pt idx="9">
                  <c:v>1.120169129269551</c:v>
                </c:pt>
                <c:pt idx="10">
                  <c:v>1.1716638879621391</c:v>
                </c:pt>
                <c:pt idx="11">
                  <c:v>2.5208657555515366</c:v>
                </c:pt>
                <c:pt idx="12">
                  <c:v>3.6685487435817601</c:v>
                </c:pt>
                <c:pt idx="13">
                  <c:v>5.2644586707873833</c:v>
                </c:pt>
                <c:pt idx="14">
                  <c:v>5.2644586707873833</c:v>
                </c:pt>
                <c:pt idx="15">
                  <c:v>5.2644586707873833</c:v>
                </c:pt>
                <c:pt idx="16">
                  <c:v>5.2644586707873833</c:v>
                </c:pt>
                <c:pt idx="17">
                  <c:v>5.5908829966703557</c:v>
                </c:pt>
                <c:pt idx="18">
                  <c:v>5.7665074158755081</c:v>
                </c:pt>
                <c:pt idx="19">
                  <c:v>5.7665074158755081</c:v>
                </c:pt>
                <c:pt idx="20">
                  <c:v>5.8352566532463275</c:v>
                </c:pt>
                <c:pt idx="21">
                  <c:v>9.2807772763438585</c:v>
                </c:pt>
                <c:pt idx="22">
                  <c:v>9.2807772763438585</c:v>
                </c:pt>
                <c:pt idx="23">
                  <c:v>14.872122786040128</c:v>
                </c:pt>
                <c:pt idx="24">
                  <c:v>14.872122786040128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E7-4AC6-9A4B-941AD83DA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248344"/>
        <c:axId val="827100512"/>
      </c:scatterChart>
      <c:valAx>
        <c:axId val="837248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100512"/>
        <c:crosses val="autoZero"/>
        <c:crossBetween val="midCat"/>
      </c:valAx>
      <c:valAx>
        <c:axId val="82710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 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248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Indicative Mac Curve - 2019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'base 2019'!$AK$3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'base 2019'!$AJ$4:$AJ$28</c:f>
              <c:numCache>
                <c:formatCode>0</c:formatCode>
                <c:ptCount val="25"/>
                <c:pt idx="0">
                  <c:v>8.10062893081761</c:v>
                </c:pt>
                <c:pt idx="1">
                  <c:v>22.951781970649897</c:v>
                </c:pt>
                <c:pt idx="2">
                  <c:v>31.052410901467507</c:v>
                </c:pt>
                <c:pt idx="3">
                  <c:v>36.452830188679243</c:v>
                </c:pt>
                <c:pt idx="4">
                  <c:v>49.953878406708597</c:v>
                </c:pt>
                <c:pt idx="5">
                  <c:v>66.830188679245282</c:v>
                </c:pt>
                <c:pt idx="6">
                  <c:v>83.706498951781967</c:v>
                </c:pt>
                <c:pt idx="7">
                  <c:v>85.056603773584897</c:v>
                </c:pt>
                <c:pt idx="8">
                  <c:v>86.406708595387826</c:v>
                </c:pt>
                <c:pt idx="9">
                  <c:v>87.891823899371062</c:v>
                </c:pt>
                <c:pt idx="10">
                  <c:v>88.566876310272534</c:v>
                </c:pt>
                <c:pt idx="11">
                  <c:v>90.524528301886789</c:v>
                </c:pt>
                <c:pt idx="12">
                  <c:v>92.88721174004192</c:v>
                </c:pt>
                <c:pt idx="13">
                  <c:v>93.899790356394121</c:v>
                </c:pt>
                <c:pt idx="14">
                  <c:v>95.587421383647794</c:v>
                </c:pt>
                <c:pt idx="15">
                  <c:v>96.262473794549265</c:v>
                </c:pt>
                <c:pt idx="16">
                  <c:v>97.342557651991612</c:v>
                </c:pt>
                <c:pt idx="17">
                  <c:v>98.827672955974847</c:v>
                </c:pt>
                <c:pt idx="18">
                  <c:v>100.17777777777778</c:v>
                </c:pt>
                <c:pt idx="19">
                  <c:v>101.52788259958071</c:v>
                </c:pt>
                <c:pt idx="20">
                  <c:v>103.55303983228511</c:v>
                </c:pt>
                <c:pt idx="21">
                  <c:v>104.97064989517818</c:v>
                </c:pt>
                <c:pt idx="22">
                  <c:v>105.98322851153038</c:v>
                </c:pt>
                <c:pt idx="23">
                  <c:v>107.33333333333331</c:v>
                </c:pt>
                <c:pt idx="24">
                  <c:v>108.21090146750522</c:v>
                </c:pt>
              </c:numCache>
            </c:numRef>
          </c:xVal>
          <c:yVal>
            <c:numRef>
              <c:f>'base 2019'!$AK$4:$AK$28</c:f>
              <c:numCache>
                <c:formatCode>General</c:formatCode>
                <c:ptCount val="25"/>
                <c:pt idx="0">
                  <c:v>-0.94987870640465422</c:v>
                </c:pt>
                <c:pt idx="1">
                  <c:v>-0.28586998712561951</c:v>
                </c:pt>
                <c:pt idx="2">
                  <c:v>-0.23840664091790578</c:v>
                </c:pt>
                <c:pt idx="3">
                  <c:v>-0.23840664091790578</c:v>
                </c:pt>
                <c:pt idx="4">
                  <c:v>-0.14347994850247839</c:v>
                </c:pt>
                <c:pt idx="5">
                  <c:v>-0.13846968723611039</c:v>
                </c:pt>
                <c:pt idx="6">
                  <c:v>7.6573028079437847E-2</c:v>
                </c:pt>
                <c:pt idx="7">
                  <c:v>0.50420411664041909</c:v>
                </c:pt>
                <c:pt idx="8">
                  <c:v>0.50420411664041909</c:v>
                </c:pt>
                <c:pt idx="9">
                  <c:v>1.120169129269551</c:v>
                </c:pt>
                <c:pt idx="10">
                  <c:v>1.1716638879621391</c:v>
                </c:pt>
                <c:pt idx="11">
                  <c:v>2.5208657555515366</c:v>
                </c:pt>
                <c:pt idx="12">
                  <c:v>3.6685487435817601</c:v>
                </c:pt>
                <c:pt idx="13">
                  <c:v>5.2644586707873833</c:v>
                </c:pt>
                <c:pt idx="14">
                  <c:v>5.2644586707873833</c:v>
                </c:pt>
                <c:pt idx="15">
                  <c:v>5.2644586707873833</c:v>
                </c:pt>
                <c:pt idx="16">
                  <c:v>5.2644586707873833</c:v>
                </c:pt>
                <c:pt idx="17">
                  <c:v>5.5908829966703557</c:v>
                </c:pt>
                <c:pt idx="18">
                  <c:v>5.7123614063489203</c:v>
                </c:pt>
                <c:pt idx="19">
                  <c:v>5.7123614063489203</c:v>
                </c:pt>
                <c:pt idx="20">
                  <c:v>5.8352566532463275</c:v>
                </c:pt>
                <c:pt idx="21">
                  <c:v>9.2807772763438585</c:v>
                </c:pt>
                <c:pt idx="22">
                  <c:v>9.2807772763438585</c:v>
                </c:pt>
                <c:pt idx="23">
                  <c:v>14.872122786040128</c:v>
                </c:pt>
                <c:pt idx="24">
                  <c:v>14.872122786040128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C3-4EC8-AB4B-D86ECF04A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9954192"/>
        <c:axId val="989949272"/>
      </c:scatterChart>
      <c:valAx>
        <c:axId val="989954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949272"/>
        <c:crosses val="autoZero"/>
        <c:crossBetween val="midCat"/>
      </c:valAx>
      <c:valAx>
        <c:axId val="989949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954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MACCs for Large, Medium, Small and GA airports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'base 2019'!$AO$4:$AO$28</c:f>
              <c:numCache>
                <c:formatCode>0</c:formatCode>
                <c:ptCount val="25"/>
                <c:pt idx="0">
                  <c:v>8.10062893081761</c:v>
                </c:pt>
                <c:pt idx="1">
                  <c:v>22.951781970649897</c:v>
                </c:pt>
                <c:pt idx="2">
                  <c:v>31.052410901467507</c:v>
                </c:pt>
                <c:pt idx="3">
                  <c:v>36.452830188679243</c:v>
                </c:pt>
                <c:pt idx="4">
                  <c:v>53.329140461215928</c:v>
                </c:pt>
                <c:pt idx="5">
                  <c:v>66.830188679245282</c:v>
                </c:pt>
                <c:pt idx="6">
                  <c:v>83.706498951781967</c:v>
                </c:pt>
                <c:pt idx="7">
                  <c:v>85.056603773584897</c:v>
                </c:pt>
                <c:pt idx="8">
                  <c:v>86.406708595387826</c:v>
                </c:pt>
                <c:pt idx="9">
                  <c:v>87.891823899371062</c:v>
                </c:pt>
                <c:pt idx="10">
                  <c:v>88.566876310272534</c:v>
                </c:pt>
                <c:pt idx="11">
                  <c:v>90.524528301886789</c:v>
                </c:pt>
                <c:pt idx="12">
                  <c:v>92.88721174004192</c:v>
                </c:pt>
                <c:pt idx="13">
                  <c:v>93.899790356394121</c:v>
                </c:pt>
                <c:pt idx="14">
                  <c:v>95.587421383647794</c:v>
                </c:pt>
                <c:pt idx="15">
                  <c:v>96.262473794549265</c:v>
                </c:pt>
                <c:pt idx="16">
                  <c:v>97.342557651991612</c:v>
                </c:pt>
                <c:pt idx="17">
                  <c:v>98.827672955974847</c:v>
                </c:pt>
                <c:pt idx="18">
                  <c:v>100.17777777777778</c:v>
                </c:pt>
                <c:pt idx="19">
                  <c:v>101.52788259958071</c:v>
                </c:pt>
                <c:pt idx="20">
                  <c:v>103.55303983228511</c:v>
                </c:pt>
                <c:pt idx="21">
                  <c:v>104.97064989517818</c:v>
                </c:pt>
                <c:pt idx="22">
                  <c:v>105.98322851153038</c:v>
                </c:pt>
                <c:pt idx="23">
                  <c:v>107.33333333333331</c:v>
                </c:pt>
                <c:pt idx="24">
                  <c:v>108.21090146750522</c:v>
                </c:pt>
              </c:numCache>
            </c:numRef>
          </c:xVal>
          <c:yVal>
            <c:numRef>
              <c:f>'base 2019'!$AP$4:$AP$28</c:f>
              <c:numCache>
                <c:formatCode>General</c:formatCode>
                <c:ptCount val="25"/>
                <c:pt idx="0">
                  <c:v>-0.94182885619537771</c:v>
                </c:pt>
                <c:pt idx="1">
                  <c:v>-0.27824702291228948</c:v>
                </c:pt>
                <c:pt idx="2">
                  <c:v>-0.19175703128271135</c:v>
                </c:pt>
                <c:pt idx="3">
                  <c:v>-0.19175703128271135</c:v>
                </c:pt>
                <c:pt idx="4">
                  <c:v>-0.13846968723611039</c:v>
                </c:pt>
                <c:pt idx="5">
                  <c:v>-5.0180729232089528E-2</c:v>
                </c:pt>
                <c:pt idx="6">
                  <c:v>7.6573028079437847E-2</c:v>
                </c:pt>
                <c:pt idx="7">
                  <c:v>0.50420411664041909</c:v>
                </c:pt>
                <c:pt idx="8">
                  <c:v>0.50420411664041909</c:v>
                </c:pt>
                <c:pt idx="9">
                  <c:v>1.039403199329729</c:v>
                </c:pt>
                <c:pt idx="10">
                  <c:v>1.1716638879621391</c:v>
                </c:pt>
                <c:pt idx="11">
                  <c:v>2.3659564101274695</c:v>
                </c:pt>
                <c:pt idx="12">
                  <c:v>3.6685487435817601</c:v>
                </c:pt>
                <c:pt idx="13">
                  <c:v>4.964322053720692</c:v>
                </c:pt>
                <c:pt idx="14">
                  <c:v>4.964322053720692</c:v>
                </c:pt>
                <c:pt idx="15">
                  <c:v>4.964322053720692</c:v>
                </c:pt>
                <c:pt idx="16">
                  <c:v>4.964322053720692</c:v>
                </c:pt>
                <c:pt idx="17">
                  <c:v>5.2734676813016996</c:v>
                </c:pt>
                <c:pt idx="18">
                  <c:v>5.3913819686525963</c:v>
                </c:pt>
                <c:pt idx="19">
                  <c:v>5.3913819686525963</c:v>
                </c:pt>
                <c:pt idx="20">
                  <c:v>5.8352566532463275</c:v>
                </c:pt>
                <c:pt idx="21">
                  <c:v>8.7680438888549244</c:v>
                </c:pt>
                <c:pt idx="22">
                  <c:v>8.7680438888549244</c:v>
                </c:pt>
                <c:pt idx="23">
                  <c:v>14.063421345610427</c:v>
                </c:pt>
                <c:pt idx="24">
                  <c:v>14.063421345610427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B4-4259-95AB-43D78C59184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'base 2019'!$AQ$4:$AQ$28</c:f>
              <c:numCache>
                <c:formatCode>0.0</c:formatCode>
                <c:ptCount val="25"/>
                <c:pt idx="0">
                  <c:v>2.2893081761006289</c:v>
                </c:pt>
                <c:pt idx="1">
                  <c:v>6.4863731656184491</c:v>
                </c:pt>
                <c:pt idx="2">
                  <c:v>8.7756813417190784</c:v>
                </c:pt>
                <c:pt idx="3">
                  <c:v>10.30188679245283</c:v>
                </c:pt>
                <c:pt idx="4">
                  <c:v>15.071278825995808</c:v>
                </c:pt>
                <c:pt idx="5">
                  <c:v>18.886792452830189</c:v>
                </c:pt>
                <c:pt idx="6">
                  <c:v>23.656184486373167</c:v>
                </c:pt>
                <c:pt idx="7">
                  <c:v>24.037735849056606</c:v>
                </c:pt>
                <c:pt idx="8">
                  <c:v>24.419287211740045</c:v>
                </c:pt>
                <c:pt idx="9">
                  <c:v>24.838993710691827</c:v>
                </c:pt>
                <c:pt idx="10">
                  <c:v>25.029769392033547</c:v>
                </c:pt>
                <c:pt idx="11">
                  <c:v>25.583018867924533</c:v>
                </c:pt>
                <c:pt idx="12">
                  <c:v>26.250733752620551</c:v>
                </c:pt>
                <c:pt idx="13">
                  <c:v>26.53689727463313</c:v>
                </c:pt>
                <c:pt idx="14">
                  <c:v>27.013836477987429</c:v>
                </c:pt>
                <c:pt idx="15">
                  <c:v>27.204612159329148</c:v>
                </c:pt>
                <c:pt idx="16">
                  <c:v>27.509853249475899</c:v>
                </c:pt>
                <c:pt idx="17">
                  <c:v>27.929559748427682</c:v>
                </c:pt>
                <c:pt idx="18">
                  <c:v>28.311111111111121</c:v>
                </c:pt>
                <c:pt idx="19">
                  <c:v>28.692662473794559</c:v>
                </c:pt>
                <c:pt idx="20">
                  <c:v>29.264989517819718</c:v>
                </c:pt>
                <c:pt idx="21">
                  <c:v>29.665618448637328</c:v>
                </c:pt>
                <c:pt idx="22">
                  <c:v>29.951781970649908</c:v>
                </c:pt>
                <c:pt idx="23">
                  <c:v>30.333333333333346</c:v>
                </c:pt>
                <c:pt idx="24">
                  <c:v>30.581341719077582</c:v>
                </c:pt>
              </c:numCache>
            </c:numRef>
          </c:xVal>
          <c:yVal>
            <c:numRef>
              <c:f>'base 2019'!$AR$4:$AR$28</c:f>
              <c:numCache>
                <c:formatCode>0.0</c:formatCode>
                <c:ptCount val="25"/>
                <c:pt idx="0">
                  <c:v>-0.94182885619537771</c:v>
                </c:pt>
                <c:pt idx="1">
                  <c:v>-0.27824702291228948</c:v>
                </c:pt>
                <c:pt idx="2">
                  <c:v>-0.19175703128271135</c:v>
                </c:pt>
                <c:pt idx="3">
                  <c:v>-0.19175703128271135</c:v>
                </c:pt>
                <c:pt idx="4">
                  <c:v>-0.13846968723611039</c:v>
                </c:pt>
                <c:pt idx="5">
                  <c:v>-5.0180729232089528E-2</c:v>
                </c:pt>
                <c:pt idx="6">
                  <c:v>7.6573028079437847E-2</c:v>
                </c:pt>
                <c:pt idx="7">
                  <c:v>0.50420411664041909</c:v>
                </c:pt>
                <c:pt idx="8">
                  <c:v>0.50420411664041909</c:v>
                </c:pt>
                <c:pt idx="9">
                  <c:v>1.039403199329729</c:v>
                </c:pt>
                <c:pt idx="10">
                  <c:v>1.1716638879621391</c:v>
                </c:pt>
                <c:pt idx="11">
                  <c:v>2.3659564101274695</c:v>
                </c:pt>
                <c:pt idx="12">
                  <c:v>3.6685487435817601</c:v>
                </c:pt>
                <c:pt idx="13">
                  <c:v>4.964322053720692</c:v>
                </c:pt>
                <c:pt idx="14">
                  <c:v>4.964322053720692</c:v>
                </c:pt>
                <c:pt idx="15">
                  <c:v>4.964322053720692</c:v>
                </c:pt>
                <c:pt idx="16">
                  <c:v>4.964322053720692</c:v>
                </c:pt>
                <c:pt idx="17">
                  <c:v>5.2734676813016996</c:v>
                </c:pt>
                <c:pt idx="18">
                  <c:v>5.4455279781791832</c:v>
                </c:pt>
                <c:pt idx="19">
                  <c:v>5.4455279781791832</c:v>
                </c:pt>
                <c:pt idx="20">
                  <c:v>5.8352566532463275</c:v>
                </c:pt>
                <c:pt idx="21">
                  <c:v>8.7680438888549244</c:v>
                </c:pt>
                <c:pt idx="22">
                  <c:v>8.7680438888549244</c:v>
                </c:pt>
                <c:pt idx="23">
                  <c:v>14.063421345610427</c:v>
                </c:pt>
                <c:pt idx="24">
                  <c:v>14.063421345610427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B4-4259-95AB-43D78C59184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'base 2019'!$AS$4:$AS$28</c:f>
              <c:numCache>
                <c:formatCode>General</c:formatCode>
                <c:ptCount val="25"/>
                <c:pt idx="0">
                  <c:v>0.679245283018868</c:v>
                </c:pt>
                <c:pt idx="1">
                  <c:v>1.9245283018867925</c:v>
                </c:pt>
                <c:pt idx="2">
                  <c:v>2.6037735849056602</c:v>
                </c:pt>
                <c:pt idx="3">
                  <c:v>3.0566037735849054</c:v>
                </c:pt>
                <c:pt idx="4">
                  <c:v>4.4716981132075473</c:v>
                </c:pt>
                <c:pt idx="5">
                  <c:v>5.6037735849056602</c:v>
                </c:pt>
                <c:pt idx="6">
                  <c:v>7.0188679245283021</c:v>
                </c:pt>
                <c:pt idx="7">
                  <c:v>7.1320754716981138</c:v>
                </c:pt>
                <c:pt idx="8">
                  <c:v>7.2452830188679256</c:v>
                </c:pt>
                <c:pt idx="9">
                  <c:v>7.3698113207547182</c:v>
                </c:pt>
                <c:pt idx="10">
                  <c:v>7.4264150943396237</c:v>
                </c:pt>
                <c:pt idx="11">
                  <c:v>7.5905660377358499</c:v>
                </c:pt>
                <c:pt idx="12">
                  <c:v>7.7886792452830198</c:v>
                </c:pt>
                <c:pt idx="13">
                  <c:v>7.8735849056603779</c:v>
                </c:pt>
                <c:pt idx="14">
                  <c:v>8.0150943396226424</c:v>
                </c:pt>
                <c:pt idx="15">
                  <c:v>8.0716981132075478</c:v>
                </c:pt>
                <c:pt idx="16">
                  <c:v>8.1622641509433969</c:v>
                </c:pt>
                <c:pt idx="17">
                  <c:v>8.2867924528301895</c:v>
                </c:pt>
                <c:pt idx="18">
                  <c:v>8.4</c:v>
                </c:pt>
                <c:pt idx="19">
                  <c:v>8.5132075471698112</c:v>
                </c:pt>
                <c:pt idx="20">
                  <c:v>8.6830188679245275</c:v>
                </c:pt>
                <c:pt idx="21">
                  <c:v>8.8018867924528301</c:v>
                </c:pt>
                <c:pt idx="22">
                  <c:v>8.8867924528301891</c:v>
                </c:pt>
                <c:pt idx="23">
                  <c:v>9</c:v>
                </c:pt>
                <c:pt idx="24">
                  <c:v>9.0735849056603772</c:v>
                </c:pt>
              </c:numCache>
            </c:numRef>
          </c:xVal>
          <c:yVal>
            <c:numRef>
              <c:f>'base 2019'!$AT$4:$AT$28</c:f>
              <c:numCache>
                <c:formatCode>General</c:formatCode>
                <c:ptCount val="25"/>
                <c:pt idx="0">
                  <c:v>-0.94182885619537771</c:v>
                </c:pt>
                <c:pt idx="1">
                  <c:v>-0.27824702291228948</c:v>
                </c:pt>
                <c:pt idx="2">
                  <c:v>-0.19175703128271135</c:v>
                </c:pt>
                <c:pt idx="3">
                  <c:v>-0.19175703128271135</c:v>
                </c:pt>
                <c:pt idx="4">
                  <c:v>-0.13846968723611039</c:v>
                </c:pt>
                <c:pt idx="5">
                  <c:v>-5.0180729232089528E-2</c:v>
                </c:pt>
                <c:pt idx="6">
                  <c:v>7.6573028079437847E-2</c:v>
                </c:pt>
                <c:pt idx="7">
                  <c:v>0.50420411664041909</c:v>
                </c:pt>
                <c:pt idx="8">
                  <c:v>0.50420411664041909</c:v>
                </c:pt>
                <c:pt idx="9">
                  <c:v>1.039403199329729</c:v>
                </c:pt>
                <c:pt idx="10">
                  <c:v>1.1716638879621391</c:v>
                </c:pt>
                <c:pt idx="11">
                  <c:v>2.3659564101274695</c:v>
                </c:pt>
                <c:pt idx="12">
                  <c:v>3.6685487435817601</c:v>
                </c:pt>
                <c:pt idx="13">
                  <c:v>4.964322053720692</c:v>
                </c:pt>
                <c:pt idx="14">
                  <c:v>4.964322053720692</c:v>
                </c:pt>
                <c:pt idx="15">
                  <c:v>4.964322053720692</c:v>
                </c:pt>
                <c:pt idx="16">
                  <c:v>4.964322053720692</c:v>
                </c:pt>
                <c:pt idx="17">
                  <c:v>5.2734676813016996</c:v>
                </c:pt>
                <c:pt idx="18">
                  <c:v>5.4455279781791832</c:v>
                </c:pt>
                <c:pt idx="19">
                  <c:v>5.4455279781791832</c:v>
                </c:pt>
                <c:pt idx="20">
                  <c:v>5.8352566532463275</c:v>
                </c:pt>
                <c:pt idx="21">
                  <c:v>8.7680438888549244</c:v>
                </c:pt>
                <c:pt idx="22">
                  <c:v>8.7680438888549244</c:v>
                </c:pt>
                <c:pt idx="23">
                  <c:v>14.063421345610427</c:v>
                </c:pt>
                <c:pt idx="24">
                  <c:v>14.063421345610427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B4-4259-95AB-43D78C59184C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'base 2019'!$AU$4:$AU$28</c:f>
              <c:numCache>
                <c:formatCode>General</c:formatCode>
                <c:ptCount val="25"/>
                <c:pt idx="0">
                  <c:v>7.4716981132075472E-3</c:v>
                </c:pt>
                <c:pt idx="1">
                  <c:v>2.1169811320754715E-2</c:v>
                </c:pt>
                <c:pt idx="2">
                  <c:v>2.8641509433962261E-2</c:v>
                </c:pt>
                <c:pt idx="3">
                  <c:v>3.3622641509433955E-2</c:v>
                </c:pt>
                <c:pt idx="4">
                  <c:v>4.9188679245283015E-2</c:v>
                </c:pt>
                <c:pt idx="5">
                  <c:v>6.1641509433962259E-2</c:v>
                </c:pt>
                <c:pt idx="6">
                  <c:v>7.7207547169811319E-2</c:v>
                </c:pt>
                <c:pt idx="7">
                  <c:v>7.8452830188679254E-2</c:v>
                </c:pt>
                <c:pt idx="8">
                  <c:v>7.9698113207547175E-2</c:v>
                </c:pt>
                <c:pt idx="9">
                  <c:v>8.1067924528301902E-2</c:v>
                </c:pt>
                <c:pt idx="10">
                  <c:v>8.1690566037735862E-2</c:v>
                </c:pt>
                <c:pt idx="11">
                  <c:v>8.3496226415094341E-2</c:v>
                </c:pt>
                <c:pt idx="12">
                  <c:v>8.5675471698113209E-2</c:v>
                </c:pt>
                <c:pt idx="13">
                  <c:v>8.6609433962264157E-2</c:v>
                </c:pt>
                <c:pt idx="14">
                  <c:v>8.8166037735849065E-2</c:v>
                </c:pt>
                <c:pt idx="15">
                  <c:v>8.8788679245283025E-2</c:v>
                </c:pt>
                <c:pt idx="16">
                  <c:v>8.9784905660377362E-2</c:v>
                </c:pt>
                <c:pt idx="17">
                  <c:v>9.1154716981132075E-2</c:v>
                </c:pt>
                <c:pt idx="18">
                  <c:v>9.2399999999999996E-2</c:v>
                </c:pt>
                <c:pt idx="19">
                  <c:v>9.3645283018867917E-2</c:v>
                </c:pt>
                <c:pt idx="20">
                  <c:v>9.5513207547169798E-2</c:v>
                </c:pt>
                <c:pt idx="21">
                  <c:v>9.6820754716981122E-2</c:v>
                </c:pt>
                <c:pt idx="22">
                  <c:v>9.775471698113207E-2</c:v>
                </c:pt>
                <c:pt idx="23">
                  <c:v>9.8999999999999991E-2</c:v>
                </c:pt>
                <c:pt idx="24">
                  <c:v>9.9809433962264146E-2</c:v>
                </c:pt>
              </c:numCache>
            </c:numRef>
          </c:xVal>
          <c:yVal>
            <c:numRef>
              <c:f>'base 2019'!$AV$4:$AV$28</c:f>
              <c:numCache>
                <c:formatCode>General</c:formatCode>
                <c:ptCount val="25"/>
                <c:pt idx="0">
                  <c:v>-0.94182885619537771</c:v>
                </c:pt>
                <c:pt idx="1">
                  <c:v>-0.27824702291228948</c:v>
                </c:pt>
                <c:pt idx="2">
                  <c:v>-0.19175703128271135</c:v>
                </c:pt>
                <c:pt idx="3">
                  <c:v>-0.19175703128271135</c:v>
                </c:pt>
                <c:pt idx="4">
                  <c:v>-0.13846968723611039</c:v>
                </c:pt>
                <c:pt idx="5">
                  <c:v>-5.0180729232089528E-2</c:v>
                </c:pt>
                <c:pt idx="6">
                  <c:v>7.6573028079437847E-2</c:v>
                </c:pt>
                <c:pt idx="7">
                  <c:v>0.50420411664041909</c:v>
                </c:pt>
                <c:pt idx="8">
                  <c:v>0.50420411664041909</c:v>
                </c:pt>
                <c:pt idx="9">
                  <c:v>1.039403199329729</c:v>
                </c:pt>
                <c:pt idx="10">
                  <c:v>1.1716638879621391</c:v>
                </c:pt>
                <c:pt idx="11">
                  <c:v>2.3659564101274695</c:v>
                </c:pt>
                <c:pt idx="12">
                  <c:v>3.6685487435817601</c:v>
                </c:pt>
                <c:pt idx="13">
                  <c:v>4.964322053720692</c:v>
                </c:pt>
                <c:pt idx="14">
                  <c:v>4.964322053720692</c:v>
                </c:pt>
                <c:pt idx="15">
                  <c:v>4.964322053720692</c:v>
                </c:pt>
                <c:pt idx="16">
                  <c:v>4.964322053720692</c:v>
                </c:pt>
                <c:pt idx="17">
                  <c:v>5.2734676813016996</c:v>
                </c:pt>
                <c:pt idx="18">
                  <c:v>5.4455279781791832</c:v>
                </c:pt>
                <c:pt idx="19">
                  <c:v>5.4455279781791832</c:v>
                </c:pt>
                <c:pt idx="20">
                  <c:v>5.8352566532463275</c:v>
                </c:pt>
                <c:pt idx="21">
                  <c:v>8.7680438888549244</c:v>
                </c:pt>
                <c:pt idx="22">
                  <c:v>8.7680438888549244</c:v>
                </c:pt>
                <c:pt idx="23">
                  <c:v>14.063421345610427</c:v>
                </c:pt>
                <c:pt idx="24">
                  <c:v>14.063421345610427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B4-4259-95AB-43D78C591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7324144"/>
        <c:axId val="1157330376"/>
      </c:scatterChart>
      <c:valAx>
        <c:axId val="1157324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Carbon abated: ktCO2e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7330376"/>
        <c:crosses val="autoZero"/>
        <c:crossBetween val="midCat"/>
      </c:valAx>
      <c:valAx>
        <c:axId val="115733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7324144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Build up of abatement cost per tonne avoided: £/tCO2e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3937007874016"/>
          <c:y val="0.17935185185185187"/>
          <c:w val="0.72227559055118107"/>
          <c:h val="0.71324876057159525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2019'!$AD$139:$AD$163</c:f>
              <c:numCache>
                <c:formatCode>#,##0.00_ ;[Red]\-#,##0.00\ </c:formatCode>
                <c:ptCount val="25"/>
                <c:pt idx="0">
                  <c:v>4.012129359534565E-2</c:v>
                </c:pt>
                <c:pt idx="1">
                  <c:v>3.7993649238016729E-2</c:v>
                </c:pt>
                <c:pt idx="2">
                  <c:v>7.5987298476033457E-2</c:v>
                </c:pt>
                <c:pt idx="3">
                  <c:v>7.5987298476033457E-2</c:v>
                </c:pt>
                <c:pt idx="4">
                  <c:v>0.15197459695206691</c:v>
                </c:pt>
                <c:pt idx="5">
                  <c:v>0.1162922175257944</c:v>
                </c:pt>
                <c:pt idx="6">
                  <c:v>0.44694339844980824</c:v>
                </c:pt>
                <c:pt idx="7">
                  <c:v>0.92417506798391957</c:v>
                </c:pt>
                <c:pt idx="8">
                  <c:v>0.92417506798391957</c:v>
                </c:pt>
                <c:pt idx="9">
                  <c:v>1.5258073133854253</c:v>
                </c:pt>
                <c:pt idx="10">
                  <c:v>1.5916348393056392</c:v>
                </c:pt>
                <c:pt idx="11">
                  <c:v>2.9265039396674108</c:v>
                </c:pt>
                <c:pt idx="12">
                  <c:v>4.0885196949252602</c:v>
                </c:pt>
                <c:pt idx="13">
                  <c:v>5.6700968549032584</c:v>
                </c:pt>
                <c:pt idx="14">
                  <c:v>5.6700968549032584</c:v>
                </c:pt>
                <c:pt idx="15">
                  <c:v>5.6700968549032584</c:v>
                </c:pt>
                <c:pt idx="16">
                  <c:v>5.6700968549032584</c:v>
                </c:pt>
                <c:pt idx="17">
                  <c:v>5.9965211807862309</c:v>
                </c:pt>
                <c:pt idx="18">
                  <c:v>6.0638535809382077</c:v>
                </c:pt>
                <c:pt idx="19">
                  <c:v>6.0638535809382077</c:v>
                </c:pt>
                <c:pt idx="20">
                  <c:v>6.2552276045898276</c:v>
                </c:pt>
                <c:pt idx="21">
                  <c:v>9.6864154604597328</c:v>
                </c:pt>
                <c:pt idx="22">
                  <c:v>9.6864154604597328</c:v>
                </c:pt>
                <c:pt idx="23">
                  <c:v>15.277760970156002</c:v>
                </c:pt>
                <c:pt idx="24">
                  <c:v>15.277760970156002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6E-49A1-BD7B-B5E5FCC1416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'base 2019'!$AE$139:$AE$163</c:f>
              <c:numCache>
                <c:formatCode>General</c:formatCode>
                <c:ptCount val="25"/>
                <c:pt idx="0">
                  <c:v>9.9999999999999985E-3</c:v>
                </c:pt>
                <c:pt idx="1">
                  <c:v>9.46969696969697E-3</c:v>
                </c:pt>
                <c:pt idx="2">
                  <c:v>1.893939393939394E-2</c:v>
                </c:pt>
                <c:pt idx="3">
                  <c:v>1.893939393939394E-2</c:v>
                </c:pt>
                <c:pt idx="4">
                  <c:v>3.787878787878788E-2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6E-49A1-BD7B-B5E5FCC1416F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2019'!$AF$139:$AF$163</c:f>
              <c:numCache>
                <c:formatCode>0.00</c:formatCode>
                <c:ptCount val="25"/>
                <c:pt idx="0">
                  <c:v>0.99999999999999978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1.6666666666666667</c:v>
                </c:pt>
                <c:pt idx="4">
                  <c:v>1.6666666666666667</c:v>
                </c:pt>
                <c:pt idx="5">
                  <c:v>0.31746031746031744</c:v>
                </c:pt>
                <c:pt idx="6">
                  <c:v>0.37037037037037035</c:v>
                </c:pt>
                <c:pt idx="7">
                  <c:v>0.20225127087872183</c:v>
                </c:pt>
                <c:pt idx="8">
                  <c:v>0.20225127087872183</c:v>
                </c:pt>
                <c:pt idx="9">
                  <c:v>0.2165840381063478</c:v>
                </c:pt>
                <c:pt idx="10">
                  <c:v>0.20225127087872183</c:v>
                </c:pt>
                <c:pt idx="11">
                  <c:v>0.2165840381063478</c:v>
                </c:pt>
                <c:pt idx="12">
                  <c:v>0.20225127087872183</c:v>
                </c:pt>
                <c:pt idx="13">
                  <c:v>0.2165840381063478</c:v>
                </c:pt>
                <c:pt idx="14">
                  <c:v>0.2165840381063478</c:v>
                </c:pt>
                <c:pt idx="15">
                  <c:v>0.2165840381063478</c:v>
                </c:pt>
                <c:pt idx="16">
                  <c:v>0.2165840381063478</c:v>
                </c:pt>
                <c:pt idx="17">
                  <c:v>0.2165840381063478</c:v>
                </c:pt>
                <c:pt idx="18">
                  <c:v>0.32487605715952173</c:v>
                </c:pt>
                <c:pt idx="19">
                  <c:v>0.32487605715952173</c:v>
                </c:pt>
                <c:pt idx="20">
                  <c:v>0.20225127087872183</c:v>
                </c:pt>
                <c:pt idx="21">
                  <c:v>0.2165840381063478</c:v>
                </c:pt>
                <c:pt idx="22">
                  <c:v>0.2165840381063478</c:v>
                </c:pt>
                <c:pt idx="23">
                  <c:v>0.2165840381063478</c:v>
                </c:pt>
                <c:pt idx="24">
                  <c:v>0.2165840381063478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6E-49A1-BD7B-B5E5FCC14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7415288"/>
        <c:axId val="1037413648"/>
      </c:barChart>
      <c:catAx>
        <c:axId val="1037415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3648"/>
        <c:crosses val="autoZero"/>
        <c:auto val="1"/>
        <c:lblAlgn val="ctr"/>
        <c:lblOffset val="100"/>
        <c:noMultiLvlLbl val="0"/>
      </c:catAx>
      <c:valAx>
        <c:axId val="10374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all-in costs £/tonne CO2 avoided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2019'!$AB$139:$AB$163</c:f>
              <c:numCache>
                <c:formatCode>General</c:formatCode>
                <c:ptCount val="25"/>
                <c:pt idx="0">
                  <c:v>-0.94987870640465422</c:v>
                </c:pt>
                <c:pt idx="1">
                  <c:v>-0.28586998712561951</c:v>
                </c:pt>
                <c:pt idx="2">
                  <c:v>-0.23840664091790578</c:v>
                </c:pt>
                <c:pt idx="3">
                  <c:v>-0.23840664091790578</c:v>
                </c:pt>
                <c:pt idx="4">
                  <c:v>-0.14347994850247839</c:v>
                </c:pt>
                <c:pt idx="5">
                  <c:v>-0.13846968723611039</c:v>
                </c:pt>
                <c:pt idx="6">
                  <c:v>7.6573028079437847E-2</c:v>
                </c:pt>
                <c:pt idx="7">
                  <c:v>0.50420411664041909</c:v>
                </c:pt>
                <c:pt idx="8">
                  <c:v>0.50420411664041909</c:v>
                </c:pt>
                <c:pt idx="9">
                  <c:v>1.120169129269551</c:v>
                </c:pt>
                <c:pt idx="10">
                  <c:v>1.1716638879621391</c:v>
                </c:pt>
                <c:pt idx="11">
                  <c:v>2.5208657555515366</c:v>
                </c:pt>
                <c:pt idx="12">
                  <c:v>3.6685487435817601</c:v>
                </c:pt>
                <c:pt idx="13">
                  <c:v>5.2644586707873833</c:v>
                </c:pt>
                <c:pt idx="14">
                  <c:v>5.2644586707873833</c:v>
                </c:pt>
                <c:pt idx="15">
                  <c:v>5.2644586707873833</c:v>
                </c:pt>
                <c:pt idx="16">
                  <c:v>5.2644586707873833</c:v>
                </c:pt>
                <c:pt idx="17">
                  <c:v>5.5908829966703557</c:v>
                </c:pt>
                <c:pt idx="18">
                  <c:v>5.7665074158755081</c:v>
                </c:pt>
                <c:pt idx="19">
                  <c:v>5.7665074158755081</c:v>
                </c:pt>
                <c:pt idx="20">
                  <c:v>5.8352566532463275</c:v>
                </c:pt>
                <c:pt idx="21">
                  <c:v>9.2807772763438585</c:v>
                </c:pt>
                <c:pt idx="22">
                  <c:v>9.2807772763438585</c:v>
                </c:pt>
                <c:pt idx="23">
                  <c:v>14.872122786040128</c:v>
                </c:pt>
                <c:pt idx="24">
                  <c:v>14.872122786040128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A7-4703-812F-361AB4804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864472"/>
        <c:axId val="840868736"/>
      </c:barChart>
      <c:catAx>
        <c:axId val="840864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8736"/>
        <c:crosses val="autoZero"/>
        <c:auto val="1"/>
        <c:lblAlgn val="ctr"/>
        <c:lblOffset val="100"/>
        <c:noMultiLvlLbl val="0"/>
      </c:catAx>
      <c:valAx>
        <c:axId val="8408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Indicative MAC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'base 2019'!$AJ$139:$AJ$163</c:f>
              <c:numCache>
                <c:formatCode>0</c:formatCode>
                <c:ptCount val="25"/>
                <c:pt idx="0">
                  <c:v>7.5471698113207548E-3</c:v>
                </c:pt>
                <c:pt idx="1">
                  <c:v>2.1383647798742137E-2</c:v>
                </c:pt>
                <c:pt idx="2">
                  <c:v>2.8930817610062894E-2</c:v>
                </c:pt>
                <c:pt idx="3">
                  <c:v>3.3962264150943396E-2</c:v>
                </c:pt>
                <c:pt idx="4">
                  <c:v>4.6540880503144651E-2</c:v>
                </c:pt>
                <c:pt idx="5">
                  <c:v>6.2264150943396226E-2</c:v>
                </c:pt>
                <c:pt idx="6">
                  <c:v>7.7987421383647795E-2</c:v>
                </c:pt>
                <c:pt idx="7">
                  <c:v>7.9245283018867921E-2</c:v>
                </c:pt>
                <c:pt idx="8">
                  <c:v>8.0503144654088046E-2</c:v>
                </c:pt>
                <c:pt idx="9">
                  <c:v>8.188679245283019E-2</c:v>
                </c:pt>
                <c:pt idx="10">
                  <c:v>8.2515723270440253E-2</c:v>
                </c:pt>
                <c:pt idx="11">
                  <c:v>8.4339622641509432E-2</c:v>
                </c:pt>
                <c:pt idx="12">
                  <c:v>8.6540880503144652E-2</c:v>
                </c:pt>
                <c:pt idx="13">
                  <c:v>8.7484276729559746E-2</c:v>
                </c:pt>
                <c:pt idx="14">
                  <c:v>8.9056603773584903E-2</c:v>
                </c:pt>
                <c:pt idx="15">
                  <c:v>8.9685534591194965E-2</c:v>
                </c:pt>
                <c:pt idx="16">
                  <c:v>9.0691823899371068E-2</c:v>
                </c:pt>
                <c:pt idx="17">
                  <c:v>9.2075471698113212E-2</c:v>
                </c:pt>
                <c:pt idx="18">
                  <c:v>9.3333333333333338E-2</c:v>
                </c:pt>
                <c:pt idx="19">
                  <c:v>9.4591194968553463E-2</c:v>
                </c:pt>
                <c:pt idx="20">
                  <c:v>9.6477987421383651E-2</c:v>
                </c:pt>
                <c:pt idx="21">
                  <c:v>9.7798742138364786E-2</c:v>
                </c:pt>
                <c:pt idx="22">
                  <c:v>9.874213836477988E-2</c:v>
                </c:pt>
                <c:pt idx="23">
                  <c:v>0.1</c:v>
                </c:pt>
                <c:pt idx="24">
                  <c:v>0.10081761006289308</c:v>
                </c:pt>
              </c:numCache>
            </c:numRef>
          </c:xVal>
          <c:yVal>
            <c:numRef>
              <c:f>'base 2019'!$AK$139:$AK$163</c:f>
              <c:numCache>
                <c:formatCode>General</c:formatCode>
                <c:ptCount val="25"/>
                <c:pt idx="0">
                  <c:v>-0.94987870640465422</c:v>
                </c:pt>
                <c:pt idx="1">
                  <c:v>-0.28586998712561951</c:v>
                </c:pt>
                <c:pt idx="2">
                  <c:v>-0.23840664091790578</c:v>
                </c:pt>
                <c:pt idx="3">
                  <c:v>-0.23840664091790578</c:v>
                </c:pt>
                <c:pt idx="4">
                  <c:v>-0.14347994850247839</c:v>
                </c:pt>
                <c:pt idx="5">
                  <c:v>-0.13846968723611039</c:v>
                </c:pt>
                <c:pt idx="6">
                  <c:v>7.6573028079437847E-2</c:v>
                </c:pt>
                <c:pt idx="7">
                  <c:v>0.50420411664041909</c:v>
                </c:pt>
                <c:pt idx="8">
                  <c:v>0.50420411664041909</c:v>
                </c:pt>
                <c:pt idx="9">
                  <c:v>1.120169129269551</c:v>
                </c:pt>
                <c:pt idx="10">
                  <c:v>1.1716638879621391</c:v>
                </c:pt>
                <c:pt idx="11">
                  <c:v>2.5208657555515366</c:v>
                </c:pt>
                <c:pt idx="12">
                  <c:v>3.6685487435817601</c:v>
                </c:pt>
                <c:pt idx="13">
                  <c:v>5.2644586707873833</c:v>
                </c:pt>
                <c:pt idx="14">
                  <c:v>5.2644586707873833</c:v>
                </c:pt>
                <c:pt idx="15">
                  <c:v>5.2644586707873833</c:v>
                </c:pt>
                <c:pt idx="16">
                  <c:v>5.2644586707873833</c:v>
                </c:pt>
                <c:pt idx="17">
                  <c:v>5.5908829966703557</c:v>
                </c:pt>
                <c:pt idx="18">
                  <c:v>5.7665074158755081</c:v>
                </c:pt>
                <c:pt idx="19">
                  <c:v>5.7665074158755081</c:v>
                </c:pt>
                <c:pt idx="20">
                  <c:v>5.8352566532463275</c:v>
                </c:pt>
                <c:pt idx="21">
                  <c:v>9.2807772763438585</c:v>
                </c:pt>
                <c:pt idx="22">
                  <c:v>9.2807772763438585</c:v>
                </c:pt>
                <c:pt idx="23">
                  <c:v>14.872122786040128</c:v>
                </c:pt>
                <c:pt idx="24">
                  <c:v>14.872122786040128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48-4B00-9447-A1F3C8A20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248344"/>
        <c:axId val="827100512"/>
      </c:scatterChart>
      <c:valAx>
        <c:axId val="837248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100512"/>
        <c:crosses val="autoZero"/>
        <c:crossBetween val="midCat"/>
      </c:valAx>
      <c:valAx>
        <c:axId val="82710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 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248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Build up of abatement cost per tonne avoided: £/tCO2e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3937007874016"/>
          <c:y val="0.17935185185185187"/>
          <c:w val="0.72227559055118107"/>
          <c:h val="0.713248760571595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'2025'!$AD$3</c:f>
              <c:strCache>
                <c:ptCount val="1"/>
                <c:pt idx="0">
                  <c:v>cap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'2025'!$AD$4:$AD$28</c:f>
              <c:numCache>
                <c:formatCode>#,##0.00_ ;[Red]\-#,##0.00\ </c:formatCode>
                <c:ptCount val="25"/>
                <c:pt idx="0">
                  <c:v>3.8115228915578364E-2</c:v>
                </c:pt>
                <c:pt idx="1">
                  <c:v>3.6093966776115878E-2</c:v>
                </c:pt>
                <c:pt idx="2">
                  <c:v>7.2187933552231756E-2</c:v>
                </c:pt>
                <c:pt idx="3">
                  <c:v>7.2187933552231756E-2</c:v>
                </c:pt>
                <c:pt idx="4">
                  <c:v>0.14437586710446351</c:v>
                </c:pt>
                <c:pt idx="5">
                  <c:v>0.11047760664950468</c:v>
                </c:pt>
                <c:pt idx="6">
                  <c:v>0.42459622852731782</c:v>
                </c:pt>
                <c:pt idx="7">
                  <c:v>0.87796631458472352</c:v>
                </c:pt>
                <c:pt idx="8">
                  <c:v>0.87796631458472352</c:v>
                </c:pt>
                <c:pt idx="9">
                  <c:v>1.4495169477161542</c:v>
                </c:pt>
                <c:pt idx="10">
                  <c:v>1.5120530973403572</c:v>
                </c:pt>
                <c:pt idx="11">
                  <c:v>2.7801787426840403</c:v>
                </c:pt>
                <c:pt idx="12">
                  <c:v>3.8840937101789974</c:v>
                </c:pt>
                <c:pt idx="13">
                  <c:v>5.3865920121580952</c:v>
                </c:pt>
                <c:pt idx="14">
                  <c:v>5.3865920121580952</c:v>
                </c:pt>
                <c:pt idx="15">
                  <c:v>5.3865920121580952</c:v>
                </c:pt>
                <c:pt idx="16">
                  <c:v>5.3865920121580952</c:v>
                </c:pt>
                <c:pt idx="17">
                  <c:v>5.6966951217469202</c:v>
                </c:pt>
                <c:pt idx="18">
                  <c:v>5.7606609018912964</c:v>
                </c:pt>
                <c:pt idx="19">
                  <c:v>5.7606609018912964</c:v>
                </c:pt>
                <c:pt idx="20">
                  <c:v>5.9424662243603361</c:v>
                </c:pt>
                <c:pt idx="21">
                  <c:v>9.2020946874367464</c:v>
                </c:pt>
                <c:pt idx="22">
                  <c:v>9.2020946874367464</c:v>
                </c:pt>
                <c:pt idx="23">
                  <c:v>14.513872921648202</c:v>
                </c:pt>
                <c:pt idx="24">
                  <c:v>14.513872921648202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545-A795-813049B2C461}"/>
            </c:ext>
          </c:extLst>
        </c:ser>
        <c:ser>
          <c:idx val="1"/>
          <c:order val="1"/>
          <c:tx>
            <c:strRef>
              <c:f>'2025'!$AE$3</c:f>
              <c:strCache>
                <c:ptCount val="1"/>
                <c:pt idx="0">
                  <c:v>opex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'2025'!$AE$4:$AE$28</c:f>
              <c:numCache>
                <c:formatCode>General</c:formatCode>
                <c:ptCount val="25"/>
                <c:pt idx="0">
                  <c:v>9.499999999999998E-3</c:v>
                </c:pt>
                <c:pt idx="1">
                  <c:v>8.9962121212121202E-3</c:v>
                </c:pt>
                <c:pt idx="2">
                  <c:v>1.799242424242424E-2</c:v>
                </c:pt>
                <c:pt idx="3">
                  <c:v>1.799242424242424E-2</c:v>
                </c:pt>
                <c:pt idx="4">
                  <c:v>3.5984848484848481E-2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0F-4545-A795-813049B2C461}"/>
            </c:ext>
          </c:extLst>
        </c:ser>
        <c:ser>
          <c:idx val="2"/>
          <c:order val="2"/>
          <c:tx>
            <c:strRef>
              <c:f>'2025'!$AF$3</c:f>
              <c:strCache>
                <c:ptCount val="1"/>
                <c:pt idx="0">
                  <c:v>energy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'2025'!$AF$4:$AF$28</c:f>
              <c:numCache>
                <c:formatCode>0.00</c:formatCode>
                <c:ptCount val="25"/>
                <c:pt idx="0">
                  <c:v>0.99999999999999978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1.6666666666666667</c:v>
                </c:pt>
                <c:pt idx="4">
                  <c:v>1.6666666666666667</c:v>
                </c:pt>
                <c:pt idx="5">
                  <c:v>0.31746031746031744</c:v>
                </c:pt>
                <c:pt idx="6">
                  <c:v>0.37037037037037035</c:v>
                </c:pt>
                <c:pt idx="7">
                  <c:v>0.20225127087872183</c:v>
                </c:pt>
                <c:pt idx="8">
                  <c:v>0.20225127087872183</c:v>
                </c:pt>
                <c:pt idx="9">
                  <c:v>0.2165840381063478</c:v>
                </c:pt>
                <c:pt idx="10">
                  <c:v>0.20225127087872183</c:v>
                </c:pt>
                <c:pt idx="11">
                  <c:v>0.2165840381063478</c:v>
                </c:pt>
                <c:pt idx="12">
                  <c:v>0.20225127087872183</c:v>
                </c:pt>
                <c:pt idx="13">
                  <c:v>0.2165840381063478</c:v>
                </c:pt>
                <c:pt idx="14">
                  <c:v>0.2165840381063478</c:v>
                </c:pt>
                <c:pt idx="15">
                  <c:v>0.2165840381063478</c:v>
                </c:pt>
                <c:pt idx="16">
                  <c:v>0.2165840381063478</c:v>
                </c:pt>
                <c:pt idx="17">
                  <c:v>0.2165840381063478</c:v>
                </c:pt>
                <c:pt idx="18">
                  <c:v>0.27073004763293473</c:v>
                </c:pt>
                <c:pt idx="19">
                  <c:v>0.27073004763293473</c:v>
                </c:pt>
                <c:pt idx="20">
                  <c:v>0.20225127087872183</c:v>
                </c:pt>
                <c:pt idx="21">
                  <c:v>0.2165840381063478</c:v>
                </c:pt>
                <c:pt idx="22">
                  <c:v>0.2165840381063478</c:v>
                </c:pt>
                <c:pt idx="23">
                  <c:v>0.2165840381063478</c:v>
                </c:pt>
                <c:pt idx="24">
                  <c:v>0.2165840381063478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0F-4545-A795-813049B2C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7415288"/>
        <c:axId val="1037413648"/>
      </c:barChart>
      <c:catAx>
        <c:axId val="1037415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3648"/>
        <c:crosses val="autoZero"/>
        <c:auto val="1"/>
        <c:lblAlgn val="ctr"/>
        <c:lblOffset val="100"/>
        <c:noMultiLvlLbl val="0"/>
      </c:catAx>
      <c:valAx>
        <c:axId val="10374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all-in costs £/tonne CO2 avoided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'2025'!$AB$4:$AB$28</c:f>
              <c:numCache>
                <c:formatCode>General</c:formatCode>
                <c:ptCount val="25"/>
                <c:pt idx="0">
                  <c:v>-0.95238477108442132</c:v>
                </c:pt>
                <c:pt idx="1">
                  <c:v>-0.28824315443600512</c:v>
                </c:pt>
                <c:pt idx="2">
                  <c:v>-0.24315297553867724</c:v>
                </c:pt>
                <c:pt idx="3">
                  <c:v>-0.24315297553867724</c:v>
                </c:pt>
                <c:pt idx="4">
                  <c:v>-0.15297261774402129</c:v>
                </c:pt>
                <c:pt idx="5">
                  <c:v>-0.14428429811240007</c:v>
                </c:pt>
                <c:pt idx="6">
                  <c:v>5.4225858156947443E-2</c:v>
                </c:pt>
                <c:pt idx="7">
                  <c:v>0.45799536324122314</c:v>
                </c:pt>
                <c:pt idx="8">
                  <c:v>0.45799536324122314</c:v>
                </c:pt>
                <c:pt idx="9">
                  <c:v>1.0438787636002798</c:v>
                </c:pt>
                <c:pt idx="10">
                  <c:v>1.092082145996857</c:v>
                </c:pt>
                <c:pt idx="11">
                  <c:v>2.3745405585681656</c:v>
                </c:pt>
                <c:pt idx="12">
                  <c:v>3.4641227588354973</c:v>
                </c:pt>
                <c:pt idx="13">
                  <c:v>4.9809538280422201</c:v>
                </c:pt>
                <c:pt idx="14">
                  <c:v>4.9809538280422201</c:v>
                </c:pt>
                <c:pt idx="15">
                  <c:v>4.9809538280422201</c:v>
                </c:pt>
                <c:pt idx="16">
                  <c:v>4.9809538280422201</c:v>
                </c:pt>
                <c:pt idx="17">
                  <c:v>5.291056937631045</c:v>
                </c:pt>
                <c:pt idx="18">
                  <c:v>5.409168727302009</c:v>
                </c:pt>
                <c:pt idx="19">
                  <c:v>5.409168727302009</c:v>
                </c:pt>
                <c:pt idx="20">
                  <c:v>5.522495273016836</c:v>
                </c:pt>
                <c:pt idx="21">
                  <c:v>8.7964565033208704</c:v>
                </c:pt>
                <c:pt idx="22">
                  <c:v>8.7964565033208704</c:v>
                </c:pt>
                <c:pt idx="23">
                  <c:v>14.108234737532328</c:v>
                </c:pt>
                <c:pt idx="24">
                  <c:v>14.108234737532328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B1-40DE-9978-7613E3E7E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864472"/>
        <c:axId val="840868736"/>
      </c:barChart>
      <c:catAx>
        <c:axId val="840864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8736"/>
        <c:crosses val="autoZero"/>
        <c:auto val="1"/>
        <c:lblAlgn val="ctr"/>
        <c:lblOffset val="100"/>
        <c:noMultiLvlLbl val="0"/>
      </c:catAx>
      <c:valAx>
        <c:axId val="8408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Indicative MAC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'2025'!$AK$3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'2025'!$AJ$4:$AJ$28</c:f>
              <c:numCache>
                <c:formatCode>0</c:formatCode>
                <c:ptCount val="25"/>
                <c:pt idx="0">
                  <c:v>8.2147194644828154</c:v>
                </c:pt>
                <c:pt idx="1">
                  <c:v>23.275038482701312</c:v>
                </c:pt>
                <c:pt idx="2">
                  <c:v>31.489757947184128</c:v>
                </c:pt>
                <c:pt idx="3">
                  <c:v>36.966237590172668</c:v>
                </c:pt>
                <c:pt idx="4">
                  <c:v>50.65743669764403</c:v>
                </c:pt>
                <c:pt idx="5">
                  <c:v>67.771435581983226</c:v>
                </c:pt>
                <c:pt idx="6">
                  <c:v>84.885434466322423</c:v>
                </c:pt>
                <c:pt idx="7">
                  <c:v>86.254554377069553</c:v>
                </c:pt>
                <c:pt idx="8">
                  <c:v>87.623674287816684</c:v>
                </c:pt>
                <c:pt idx="9">
                  <c:v>89.12970618963854</c:v>
                </c:pt>
                <c:pt idx="10">
                  <c:v>89.814266145012112</c:v>
                </c:pt>
                <c:pt idx="11">
                  <c:v>91.799490015595453</c:v>
                </c:pt>
                <c:pt idx="12">
                  <c:v>94.195449859402942</c:v>
                </c:pt>
                <c:pt idx="13">
                  <c:v>95.2222897924633</c:v>
                </c:pt>
                <c:pt idx="14">
                  <c:v>96.933689680897217</c:v>
                </c:pt>
                <c:pt idx="15">
                  <c:v>97.618249636270789</c:v>
                </c:pt>
                <c:pt idx="16">
                  <c:v>98.713545564868497</c:v>
                </c:pt>
                <c:pt idx="17">
                  <c:v>100.21957746669035</c:v>
                </c:pt>
                <c:pt idx="18">
                  <c:v>101.58869737743748</c:v>
                </c:pt>
                <c:pt idx="19">
                  <c:v>102.95781728818461</c:v>
                </c:pt>
                <c:pt idx="20">
                  <c:v>105.01149715430532</c:v>
                </c:pt>
                <c:pt idx="21">
                  <c:v>106.44907306058981</c:v>
                </c:pt>
                <c:pt idx="22">
                  <c:v>107.47591299365017</c:v>
                </c:pt>
                <c:pt idx="23">
                  <c:v>108.8450329043973</c:v>
                </c:pt>
                <c:pt idx="24">
                  <c:v>109.73496084638293</c:v>
                </c:pt>
              </c:numCache>
            </c:numRef>
          </c:xVal>
          <c:yVal>
            <c:numRef>
              <c:f>'2025'!$AK$4:$AK$28</c:f>
              <c:numCache>
                <c:formatCode>General</c:formatCode>
                <c:ptCount val="25"/>
                <c:pt idx="0">
                  <c:v>-0.95238477108442132</c:v>
                </c:pt>
                <c:pt idx="1">
                  <c:v>-0.28824315443600512</c:v>
                </c:pt>
                <c:pt idx="2">
                  <c:v>-0.24315297553867724</c:v>
                </c:pt>
                <c:pt idx="3">
                  <c:v>-0.24315297553867724</c:v>
                </c:pt>
                <c:pt idx="4">
                  <c:v>-0.15297261774402129</c:v>
                </c:pt>
                <c:pt idx="5">
                  <c:v>-0.14428429811240007</c:v>
                </c:pt>
                <c:pt idx="6">
                  <c:v>5.4225858156947443E-2</c:v>
                </c:pt>
                <c:pt idx="7">
                  <c:v>0.45799536324122314</c:v>
                </c:pt>
                <c:pt idx="8">
                  <c:v>0.45799536324122314</c:v>
                </c:pt>
                <c:pt idx="9">
                  <c:v>1.0438787636002798</c:v>
                </c:pt>
                <c:pt idx="10">
                  <c:v>1.092082145996857</c:v>
                </c:pt>
                <c:pt idx="11">
                  <c:v>2.3745405585681656</c:v>
                </c:pt>
                <c:pt idx="12">
                  <c:v>3.4641227588354973</c:v>
                </c:pt>
                <c:pt idx="13">
                  <c:v>4.9809538280422201</c:v>
                </c:pt>
                <c:pt idx="14">
                  <c:v>4.9809538280422201</c:v>
                </c:pt>
                <c:pt idx="15">
                  <c:v>4.9809538280422201</c:v>
                </c:pt>
                <c:pt idx="16">
                  <c:v>4.9809538280422201</c:v>
                </c:pt>
                <c:pt idx="17">
                  <c:v>5.291056937631045</c:v>
                </c:pt>
                <c:pt idx="18">
                  <c:v>5.409168727302009</c:v>
                </c:pt>
                <c:pt idx="19">
                  <c:v>5.409168727302009</c:v>
                </c:pt>
                <c:pt idx="20">
                  <c:v>5.522495273016836</c:v>
                </c:pt>
                <c:pt idx="21">
                  <c:v>8.7964565033208704</c:v>
                </c:pt>
                <c:pt idx="22">
                  <c:v>8.7964565033208704</c:v>
                </c:pt>
                <c:pt idx="23">
                  <c:v>14.108234737532328</c:v>
                </c:pt>
                <c:pt idx="24">
                  <c:v>14.108234737532328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A6-4B86-8389-C8265B01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248344"/>
        <c:axId val="827100512"/>
      </c:scatterChart>
      <c:valAx>
        <c:axId val="837248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100512"/>
        <c:crosses val="autoZero"/>
        <c:crossBetween val="midCat"/>
      </c:valAx>
      <c:valAx>
        <c:axId val="82710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 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248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Build up of abatement cost per tonne avoided: £/tCO2e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3937007874016"/>
          <c:y val="0.17935185185185187"/>
          <c:w val="0.72227559055118107"/>
          <c:h val="0.71324876057159525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'2025'!$AD$49:$AD$73</c:f>
              <c:numCache>
                <c:formatCode>#,##0.00_ ;[Red]\-#,##0.00\ </c:formatCode>
                <c:ptCount val="25"/>
                <c:pt idx="0">
                  <c:v>3.8115228915578364E-2</c:v>
                </c:pt>
                <c:pt idx="1">
                  <c:v>3.6093966776115878E-2</c:v>
                </c:pt>
                <c:pt idx="2">
                  <c:v>7.2187933552231756E-2</c:v>
                </c:pt>
                <c:pt idx="3">
                  <c:v>7.2187933552231756E-2</c:v>
                </c:pt>
                <c:pt idx="4">
                  <c:v>0.14437586710446351</c:v>
                </c:pt>
                <c:pt idx="5">
                  <c:v>0.11047760664950468</c:v>
                </c:pt>
                <c:pt idx="6">
                  <c:v>0.42459622852731782</c:v>
                </c:pt>
                <c:pt idx="7">
                  <c:v>0.87796631458472352</c:v>
                </c:pt>
                <c:pt idx="8">
                  <c:v>0.87796631458472352</c:v>
                </c:pt>
                <c:pt idx="9">
                  <c:v>1.4495169477161542</c:v>
                </c:pt>
                <c:pt idx="10">
                  <c:v>1.5120530973403572</c:v>
                </c:pt>
                <c:pt idx="11">
                  <c:v>2.7801787426840403</c:v>
                </c:pt>
                <c:pt idx="12">
                  <c:v>3.8840937101789974</c:v>
                </c:pt>
                <c:pt idx="13">
                  <c:v>5.3865920121580952</c:v>
                </c:pt>
                <c:pt idx="14">
                  <c:v>5.3865920121580952</c:v>
                </c:pt>
                <c:pt idx="15">
                  <c:v>5.3865920121580952</c:v>
                </c:pt>
                <c:pt idx="16">
                  <c:v>5.3865920121580952</c:v>
                </c:pt>
                <c:pt idx="17">
                  <c:v>5.6966951217469202</c:v>
                </c:pt>
                <c:pt idx="18">
                  <c:v>5.7606609018912964</c:v>
                </c:pt>
                <c:pt idx="19">
                  <c:v>5.7606609018912964</c:v>
                </c:pt>
                <c:pt idx="20">
                  <c:v>5.9424662243603361</c:v>
                </c:pt>
                <c:pt idx="21">
                  <c:v>9.2020946874367464</c:v>
                </c:pt>
                <c:pt idx="22">
                  <c:v>9.2020946874367464</c:v>
                </c:pt>
                <c:pt idx="23">
                  <c:v>14.513872921648202</c:v>
                </c:pt>
                <c:pt idx="24">
                  <c:v>14.513872921648202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16-4E7A-9098-A4343ECA231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'2025'!$AE$49:$AE$73</c:f>
              <c:numCache>
                <c:formatCode>General</c:formatCode>
                <c:ptCount val="25"/>
                <c:pt idx="0">
                  <c:v>9.499999999999998E-3</c:v>
                </c:pt>
                <c:pt idx="1">
                  <c:v>8.9962121212121202E-3</c:v>
                </c:pt>
                <c:pt idx="2">
                  <c:v>1.799242424242424E-2</c:v>
                </c:pt>
                <c:pt idx="3">
                  <c:v>1.799242424242424E-2</c:v>
                </c:pt>
                <c:pt idx="4">
                  <c:v>3.5984848484848481E-2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16-4E7A-9098-A4343ECA2317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'2025'!$AF$49:$AF$73</c:f>
              <c:numCache>
                <c:formatCode>0.00</c:formatCode>
                <c:ptCount val="25"/>
                <c:pt idx="0">
                  <c:v>0.99999999999999978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1.6666666666666667</c:v>
                </c:pt>
                <c:pt idx="4">
                  <c:v>1.6666666666666667</c:v>
                </c:pt>
                <c:pt idx="5">
                  <c:v>0.31746031746031744</c:v>
                </c:pt>
                <c:pt idx="6">
                  <c:v>0.37037037037037035</c:v>
                </c:pt>
                <c:pt idx="7">
                  <c:v>0.20225127087872183</c:v>
                </c:pt>
                <c:pt idx="8">
                  <c:v>0.20225127087872183</c:v>
                </c:pt>
                <c:pt idx="9">
                  <c:v>0.2165840381063478</c:v>
                </c:pt>
                <c:pt idx="10">
                  <c:v>0.20225127087872183</c:v>
                </c:pt>
                <c:pt idx="11">
                  <c:v>0.2165840381063478</c:v>
                </c:pt>
                <c:pt idx="12">
                  <c:v>0.20225127087872183</c:v>
                </c:pt>
                <c:pt idx="13">
                  <c:v>0.2165840381063478</c:v>
                </c:pt>
                <c:pt idx="14">
                  <c:v>0.2165840381063478</c:v>
                </c:pt>
                <c:pt idx="15">
                  <c:v>0.2165840381063478</c:v>
                </c:pt>
                <c:pt idx="16">
                  <c:v>0.2165840381063478</c:v>
                </c:pt>
                <c:pt idx="17">
                  <c:v>0.2165840381063478</c:v>
                </c:pt>
                <c:pt idx="18">
                  <c:v>0.32487605715952173</c:v>
                </c:pt>
                <c:pt idx="19">
                  <c:v>0.32487605715952173</c:v>
                </c:pt>
                <c:pt idx="20">
                  <c:v>0.20225127087872183</c:v>
                </c:pt>
                <c:pt idx="21">
                  <c:v>0.2165840381063478</c:v>
                </c:pt>
                <c:pt idx="22">
                  <c:v>0.2165840381063478</c:v>
                </c:pt>
                <c:pt idx="23">
                  <c:v>0.2165840381063478</c:v>
                </c:pt>
                <c:pt idx="24">
                  <c:v>0.2165840381063478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16-4E7A-9098-A4343ECA2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7415288"/>
        <c:axId val="1037413648"/>
      </c:barChart>
      <c:catAx>
        <c:axId val="1037415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3648"/>
        <c:crosses val="autoZero"/>
        <c:auto val="1"/>
        <c:lblAlgn val="ctr"/>
        <c:lblOffset val="100"/>
        <c:noMultiLvlLbl val="0"/>
      </c:catAx>
      <c:valAx>
        <c:axId val="10374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all-in costs £/tonne CO2 avoided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'2025'!$AB$49:$AB$73</c:f>
              <c:numCache>
                <c:formatCode>General</c:formatCode>
                <c:ptCount val="25"/>
                <c:pt idx="0">
                  <c:v>-0.95238477108442132</c:v>
                </c:pt>
                <c:pt idx="1">
                  <c:v>-0.28824315443600512</c:v>
                </c:pt>
                <c:pt idx="2">
                  <c:v>-0.24315297553867724</c:v>
                </c:pt>
                <c:pt idx="3">
                  <c:v>-0.24315297553867724</c:v>
                </c:pt>
                <c:pt idx="4">
                  <c:v>-0.15297261774402129</c:v>
                </c:pt>
                <c:pt idx="5">
                  <c:v>-0.14428429811240007</c:v>
                </c:pt>
                <c:pt idx="6">
                  <c:v>5.4225858156947443E-2</c:v>
                </c:pt>
                <c:pt idx="7">
                  <c:v>0.45799536324122314</c:v>
                </c:pt>
                <c:pt idx="8">
                  <c:v>0.45799536324122314</c:v>
                </c:pt>
                <c:pt idx="9">
                  <c:v>1.0438787636002798</c:v>
                </c:pt>
                <c:pt idx="10">
                  <c:v>1.092082145996857</c:v>
                </c:pt>
                <c:pt idx="11">
                  <c:v>2.3745405585681656</c:v>
                </c:pt>
                <c:pt idx="12">
                  <c:v>3.4641227588354973</c:v>
                </c:pt>
                <c:pt idx="13">
                  <c:v>4.9809538280422201</c:v>
                </c:pt>
                <c:pt idx="14">
                  <c:v>4.9809538280422201</c:v>
                </c:pt>
                <c:pt idx="15">
                  <c:v>4.9809538280422201</c:v>
                </c:pt>
                <c:pt idx="16">
                  <c:v>4.9809538280422201</c:v>
                </c:pt>
                <c:pt idx="17">
                  <c:v>5.291056937631045</c:v>
                </c:pt>
                <c:pt idx="18">
                  <c:v>5.4633147368285959</c:v>
                </c:pt>
                <c:pt idx="19">
                  <c:v>5.4633147368285959</c:v>
                </c:pt>
                <c:pt idx="20">
                  <c:v>5.522495273016836</c:v>
                </c:pt>
                <c:pt idx="21">
                  <c:v>8.7964565033208704</c:v>
                </c:pt>
                <c:pt idx="22">
                  <c:v>8.7964565033208704</c:v>
                </c:pt>
                <c:pt idx="23">
                  <c:v>14.108234737532328</c:v>
                </c:pt>
                <c:pt idx="24">
                  <c:v>14.108234737532328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19-479C-9B05-DB79DE13E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864472"/>
        <c:axId val="840868736"/>
      </c:barChart>
      <c:catAx>
        <c:axId val="840864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8736"/>
        <c:crosses val="autoZero"/>
        <c:auto val="1"/>
        <c:lblAlgn val="ctr"/>
        <c:lblOffset val="100"/>
        <c:noMultiLvlLbl val="0"/>
      </c:catAx>
      <c:valAx>
        <c:axId val="8408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Indicative MAC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'2025'!$AJ$49:$AJ$73</c:f>
              <c:numCache>
                <c:formatCode>0</c:formatCode>
                <c:ptCount val="25"/>
                <c:pt idx="0">
                  <c:v>2.3465092973186188</c:v>
                </c:pt>
                <c:pt idx="1">
                  <c:v>6.6484430090694193</c:v>
                </c:pt>
                <c:pt idx="2">
                  <c:v>8.9949523063880381</c:v>
                </c:pt>
                <c:pt idx="3">
                  <c:v>10.559291837933785</c:v>
                </c:pt>
                <c:pt idx="4">
                  <c:v>14.470140666798148</c:v>
                </c:pt>
                <c:pt idx="5">
                  <c:v>19.358701702878605</c:v>
                </c:pt>
                <c:pt idx="6">
                  <c:v>24.247262738959058</c:v>
                </c:pt>
                <c:pt idx="7">
                  <c:v>24.638347621845494</c:v>
                </c:pt>
                <c:pt idx="8">
                  <c:v>25.029432504731929</c:v>
                </c:pt>
                <c:pt idx="9">
                  <c:v>25.459625875907008</c:v>
                </c:pt>
                <c:pt idx="10">
                  <c:v>25.655168317350228</c:v>
                </c:pt>
                <c:pt idx="11">
                  <c:v>26.222241397535562</c:v>
                </c:pt>
                <c:pt idx="12">
                  <c:v>26.906639942586825</c:v>
                </c:pt>
                <c:pt idx="13">
                  <c:v>27.199953604751652</c:v>
                </c:pt>
                <c:pt idx="14">
                  <c:v>27.688809708359699</c:v>
                </c:pt>
                <c:pt idx="15">
                  <c:v>27.884352149802918</c:v>
                </c:pt>
                <c:pt idx="16">
                  <c:v>28.197220056112066</c:v>
                </c:pt>
                <c:pt idx="17">
                  <c:v>28.627413427287145</c:v>
                </c:pt>
                <c:pt idx="18">
                  <c:v>29.01849831017358</c:v>
                </c:pt>
                <c:pt idx="19">
                  <c:v>29.409583193060016</c:v>
                </c:pt>
                <c:pt idx="20">
                  <c:v>29.99621051738967</c:v>
                </c:pt>
                <c:pt idx="21">
                  <c:v>30.406849644420429</c:v>
                </c:pt>
                <c:pt idx="22">
                  <c:v>30.700163306585257</c:v>
                </c:pt>
                <c:pt idx="23">
                  <c:v>31.091248189471692</c:v>
                </c:pt>
                <c:pt idx="24">
                  <c:v>31.345453363347875</c:v>
                </c:pt>
              </c:numCache>
            </c:numRef>
          </c:xVal>
          <c:yVal>
            <c:numRef>
              <c:f>'2025'!$AK$49:$AK$73</c:f>
              <c:numCache>
                <c:formatCode>General</c:formatCode>
                <c:ptCount val="25"/>
                <c:pt idx="0">
                  <c:v>-0.95238477108442132</c:v>
                </c:pt>
                <c:pt idx="1">
                  <c:v>-0.28824315443600512</c:v>
                </c:pt>
                <c:pt idx="2">
                  <c:v>-0.24315297553867724</c:v>
                </c:pt>
                <c:pt idx="3">
                  <c:v>-0.24315297553867724</c:v>
                </c:pt>
                <c:pt idx="4">
                  <c:v>-0.15297261774402129</c:v>
                </c:pt>
                <c:pt idx="5">
                  <c:v>-0.14428429811240007</c:v>
                </c:pt>
                <c:pt idx="6">
                  <c:v>5.4225858156947443E-2</c:v>
                </c:pt>
                <c:pt idx="7">
                  <c:v>0.45799536324122314</c:v>
                </c:pt>
                <c:pt idx="8">
                  <c:v>0.45799536324122314</c:v>
                </c:pt>
                <c:pt idx="9">
                  <c:v>1.0438787636002798</c:v>
                </c:pt>
                <c:pt idx="10">
                  <c:v>1.092082145996857</c:v>
                </c:pt>
                <c:pt idx="11">
                  <c:v>2.3745405585681656</c:v>
                </c:pt>
                <c:pt idx="12">
                  <c:v>3.4641227588354973</c:v>
                </c:pt>
                <c:pt idx="13">
                  <c:v>4.9809538280422201</c:v>
                </c:pt>
                <c:pt idx="14">
                  <c:v>4.9809538280422201</c:v>
                </c:pt>
                <c:pt idx="15">
                  <c:v>4.9809538280422201</c:v>
                </c:pt>
                <c:pt idx="16">
                  <c:v>4.9809538280422201</c:v>
                </c:pt>
                <c:pt idx="17">
                  <c:v>5.291056937631045</c:v>
                </c:pt>
                <c:pt idx="18">
                  <c:v>5.4633147368285959</c:v>
                </c:pt>
                <c:pt idx="19">
                  <c:v>5.4633147368285959</c:v>
                </c:pt>
                <c:pt idx="20">
                  <c:v>5.522495273016836</c:v>
                </c:pt>
                <c:pt idx="21">
                  <c:v>8.7964565033208704</c:v>
                </c:pt>
                <c:pt idx="22">
                  <c:v>8.7964565033208704</c:v>
                </c:pt>
                <c:pt idx="23">
                  <c:v>14.108234737532328</c:v>
                </c:pt>
                <c:pt idx="24">
                  <c:v>14.108234737532328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29-479D-B598-729C32DD3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248344"/>
        <c:axId val="827100512"/>
      </c:scatterChart>
      <c:valAx>
        <c:axId val="837248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100512"/>
        <c:crosses val="autoZero"/>
        <c:crossBetween val="midCat"/>
      </c:valAx>
      <c:valAx>
        <c:axId val="82710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 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248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Build up of abatement cost per tonne avoided: £/tCO2e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3937007874016"/>
          <c:y val="0.17935185185185187"/>
          <c:w val="0.72227559055118107"/>
          <c:h val="0.71324876057159525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'2025'!$AD$94:$AD$118</c:f>
              <c:numCache>
                <c:formatCode>#,##0.00_ ;[Red]\-#,##0.00\ </c:formatCode>
                <c:ptCount val="25"/>
                <c:pt idx="0">
                  <c:v>3.8115228915578364E-2</c:v>
                </c:pt>
                <c:pt idx="1">
                  <c:v>3.6093966776115878E-2</c:v>
                </c:pt>
                <c:pt idx="2">
                  <c:v>7.2187933552231756E-2</c:v>
                </c:pt>
                <c:pt idx="3">
                  <c:v>7.2187933552231756E-2</c:v>
                </c:pt>
                <c:pt idx="4">
                  <c:v>0.14437586710446351</c:v>
                </c:pt>
                <c:pt idx="5">
                  <c:v>0.11047760664950468</c:v>
                </c:pt>
                <c:pt idx="6">
                  <c:v>0.42459622852731782</c:v>
                </c:pt>
                <c:pt idx="7">
                  <c:v>0.87796631458472352</c:v>
                </c:pt>
                <c:pt idx="8">
                  <c:v>0.87796631458472352</c:v>
                </c:pt>
                <c:pt idx="9">
                  <c:v>1.4495169477161542</c:v>
                </c:pt>
                <c:pt idx="10">
                  <c:v>1.5120530973403572</c:v>
                </c:pt>
                <c:pt idx="11">
                  <c:v>2.7801787426840403</c:v>
                </c:pt>
                <c:pt idx="12">
                  <c:v>3.8840937101789974</c:v>
                </c:pt>
                <c:pt idx="13">
                  <c:v>5.3865920121580952</c:v>
                </c:pt>
                <c:pt idx="14">
                  <c:v>5.3865920121580952</c:v>
                </c:pt>
                <c:pt idx="15">
                  <c:v>5.3865920121580952</c:v>
                </c:pt>
                <c:pt idx="16">
                  <c:v>5.3865920121580952</c:v>
                </c:pt>
                <c:pt idx="17">
                  <c:v>5.6966951217469202</c:v>
                </c:pt>
                <c:pt idx="18">
                  <c:v>5.7606609018912964</c:v>
                </c:pt>
                <c:pt idx="19">
                  <c:v>5.7606609018912964</c:v>
                </c:pt>
                <c:pt idx="20">
                  <c:v>5.9424662243603361</c:v>
                </c:pt>
                <c:pt idx="21">
                  <c:v>9.2020946874367464</c:v>
                </c:pt>
                <c:pt idx="22">
                  <c:v>9.2020946874367464</c:v>
                </c:pt>
                <c:pt idx="23">
                  <c:v>14.513872921648202</c:v>
                </c:pt>
                <c:pt idx="24">
                  <c:v>14.513872921648202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F8-4EE8-838F-A8610DB0924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'2025'!$AE$94:$AE$118</c:f>
              <c:numCache>
                <c:formatCode>General</c:formatCode>
                <c:ptCount val="25"/>
                <c:pt idx="0">
                  <c:v>9.499999999999998E-3</c:v>
                </c:pt>
                <c:pt idx="1">
                  <c:v>8.9962121212121202E-3</c:v>
                </c:pt>
                <c:pt idx="2">
                  <c:v>1.799242424242424E-2</c:v>
                </c:pt>
                <c:pt idx="3">
                  <c:v>1.799242424242424E-2</c:v>
                </c:pt>
                <c:pt idx="4">
                  <c:v>3.5984848484848481E-2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F8-4EE8-838F-A8610DB0924D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'2025'!$AF$94:$AF$118</c:f>
              <c:numCache>
                <c:formatCode>0.00</c:formatCode>
                <c:ptCount val="25"/>
                <c:pt idx="0">
                  <c:v>0.99999999999999978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1.6666666666666667</c:v>
                </c:pt>
                <c:pt idx="4">
                  <c:v>1.6666666666666667</c:v>
                </c:pt>
                <c:pt idx="5">
                  <c:v>0.31746031746031744</c:v>
                </c:pt>
                <c:pt idx="6">
                  <c:v>0.37037037037037035</c:v>
                </c:pt>
                <c:pt idx="7">
                  <c:v>0.20225127087872183</c:v>
                </c:pt>
                <c:pt idx="8">
                  <c:v>0.20225127087872183</c:v>
                </c:pt>
                <c:pt idx="9">
                  <c:v>0.2165840381063478</c:v>
                </c:pt>
                <c:pt idx="10">
                  <c:v>0.20225127087872183</c:v>
                </c:pt>
                <c:pt idx="11">
                  <c:v>0.2165840381063478</c:v>
                </c:pt>
                <c:pt idx="12">
                  <c:v>0.20225127087872183</c:v>
                </c:pt>
                <c:pt idx="13">
                  <c:v>0.2165840381063478</c:v>
                </c:pt>
                <c:pt idx="14">
                  <c:v>0.2165840381063478</c:v>
                </c:pt>
                <c:pt idx="15">
                  <c:v>0.2165840381063478</c:v>
                </c:pt>
                <c:pt idx="16">
                  <c:v>0.2165840381063478</c:v>
                </c:pt>
                <c:pt idx="17">
                  <c:v>0.2165840381063478</c:v>
                </c:pt>
                <c:pt idx="18">
                  <c:v>0.32487605715952173</c:v>
                </c:pt>
                <c:pt idx="19">
                  <c:v>0.32487605715952173</c:v>
                </c:pt>
                <c:pt idx="20">
                  <c:v>0.20225127087872183</c:v>
                </c:pt>
                <c:pt idx="21">
                  <c:v>0.2165840381063478</c:v>
                </c:pt>
                <c:pt idx="22">
                  <c:v>0.2165840381063478</c:v>
                </c:pt>
                <c:pt idx="23">
                  <c:v>0.2165840381063478</c:v>
                </c:pt>
                <c:pt idx="24">
                  <c:v>0.2165840381063478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F8-4EE8-838F-A8610DB09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7415288"/>
        <c:axId val="1037413648"/>
      </c:barChart>
      <c:catAx>
        <c:axId val="1037415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3648"/>
        <c:crosses val="autoZero"/>
        <c:auto val="1"/>
        <c:lblAlgn val="ctr"/>
        <c:lblOffset val="100"/>
        <c:noMultiLvlLbl val="0"/>
      </c:catAx>
      <c:valAx>
        <c:axId val="10374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all-in costs £/tonne CO2 avoided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'2025'!$AB$94:$AB$118</c:f>
              <c:numCache>
                <c:formatCode>General</c:formatCode>
                <c:ptCount val="25"/>
                <c:pt idx="0">
                  <c:v>-0.95238477108442132</c:v>
                </c:pt>
                <c:pt idx="1">
                  <c:v>-0.28824315443600512</c:v>
                </c:pt>
                <c:pt idx="2">
                  <c:v>-0.24315297553867724</c:v>
                </c:pt>
                <c:pt idx="3">
                  <c:v>-0.24315297553867724</c:v>
                </c:pt>
                <c:pt idx="4">
                  <c:v>-0.15297261774402129</c:v>
                </c:pt>
                <c:pt idx="5">
                  <c:v>-0.14428429811240007</c:v>
                </c:pt>
                <c:pt idx="6">
                  <c:v>5.4225858156947443E-2</c:v>
                </c:pt>
                <c:pt idx="7">
                  <c:v>0.45799536324122314</c:v>
                </c:pt>
                <c:pt idx="8">
                  <c:v>0.45799536324122314</c:v>
                </c:pt>
                <c:pt idx="9">
                  <c:v>1.0438787636002798</c:v>
                </c:pt>
                <c:pt idx="10">
                  <c:v>1.092082145996857</c:v>
                </c:pt>
                <c:pt idx="11">
                  <c:v>2.3745405585681656</c:v>
                </c:pt>
                <c:pt idx="12">
                  <c:v>3.4641227588354973</c:v>
                </c:pt>
                <c:pt idx="13">
                  <c:v>4.9809538280422201</c:v>
                </c:pt>
                <c:pt idx="14">
                  <c:v>4.9809538280422201</c:v>
                </c:pt>
                <c:pt idx="15">
                  <c:v>4.9809538280422201</c:v>
                </c:pt>
                <c:pt idx="16">
                  <c:v>4.9809538280422201</c:v>
                </c:pt>
                <c:pt idx="17">
                  <c:v>5.291056937631045</c:v>
                </c:pt>
                <c:pt idx="18">
                  <c:v>5.4633147368285959</c:v>
                </c:pt>
                <c:pt idx="19">
                  <c:v>5.4633147368285959</c:v>
                </c:pt>
                <c:pt idx="20">
                  <c:v>5.522495273016836</c:v>
                </c:pt>
                <c:pt idx="21">
                  <c:v>8.7964565033208704</c:v>
                </c:pt>
                <c:pt idx="22">
                  <c:v>8.7964565033208704</c:v>
                </c:pt>
                <c:pt idx="23">
                  <c:v>14.108234737532328</c:v>
                </c:pt>
                <c:pt idx="24">
                  <c:v>14.108234737532328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6-490B-98A2-2760ED8E7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864472"/>
        <c:axId val="840868736"/>
      </c:barChart>
      <c:catAx>
        <c:axId val="840864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8736"/>
        <c:crosses val="autoZero"/>
        <c:auto val="1"/>
        <c:lblAlgn val="ctr"/>
        <c:lblOffset val="100"/>
        <c:noMultiLvlLbl val="0"/>
      </c:catAx>
      <c:valAx>
        <c:axId val="8408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Indicative MAC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48381452318461"/>
          <c:y val="0.17634259259259263"/>
          <c:w val="0.82496062992125985"/>
          <c:h val="0.706967410323709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'2025'!$AJ$94:$AJ$118</c:f>
              <c:numCache>
                <c:formatCode>0</c:formatCode>
                <c:ptCount val="25"/>
                <c:pt idx="0">
                  <c:v>0.7256238768537161</c:v>
                </c:pt>
                <c:pt idx="1">
                  <c:v>2.0559343177521958</c:v>
                </c:pt>
                <c:pt idx="2">
                  <c:v>2.7815581946059118</c:v>
                </c:pt>
                <c:pt idx="3">
                  <c:v>3.2653074458417226</c:v>
                </c:pt>
                <c:pt idx="4">
                  <c:v>4.4746805739312494</c:v>
                </c:pt>
                <c:pt idx="5">
                  <c:v>5.9863969840431581</c:v>
                </c:pt>
                <c:pt idx="6">
                  <c:v>7.4981133941550668</c:v>
                </c:pt>
                <c:pt idx="7">
                  <c:v>7.6190507069640194</c:v>
                </c:pt>
                <c:pt idx="8">
                  <c:v>7.739988019772972</c:v>
                </c:pt>
                <c:pt idx="9">
                  <c:v>7.8730190638628201</c:v>
                </c:pt>
                <c:pt idx="10">
                  <c:v>7.9334877202672969</c:v>
                </c:pt>
                <c:pt idx="11">
                  <c:v>8.1088468238402776</c:v>
                </c:pt>
                <c:pt idx="12">
                  <c:v>8.3204871212559439</c:v>
                </c:pt>
                <c:pt idx="13">
                  <c:v>8.4111901058626586</c:v>
                </c:pt>
                <c:pt idx="14">
                  <c:v>8.5623617468738491</c:v>
                </c:pt>
                <c:pt idx="15">
                  <c:v>8.622830403278325</c:v>
                </c:pt>
                <c:pt idx="16">
                  <c:v>8.7195802535254874</c:v>
                </c:pt>
                <c:pt idx="17">
                  <c:v>8.8526112976153346</c:v>
                </c:pt>
                <c:pt idx="18">
                  <c:v>8.9735486104242881</c:v>
                </c:pt>
                <c:pt idx="19">
                  <c:v>9.0944859232332416</c:v>
                </c:pt>
                <c:pt idx="20">
                  <c:v>9.2758918924466709</c:v>
                </c:pt>
                <c:pt idx="21">
                  <c:v>9.4028760708960704</c:v>
                </c:pt>
                <c:pt idx="22">
                  <c:v>9.493579055502785</c:v>
                </c:pt>
                <c:pt idx="23">
                  <c:v>9.6145163683117385</c:v>
                </c:pt>
                <c:pt idx="24">
                  <c:v>9.6931256216375576</c:v>
                </c:pt>
              </c:numCache>
            </c:numRef>
          </c:xVal>
          <c:yVal>
            <c:numRef>
              <c:f>'2025'!$AK$94:$AK$118</c:f>
              <c:numCache>
                <c:formatCode>General</c:formatCode>
                <c:ptCount val="25"/>
                <c:pt idx="0">
                  <c:v>-0.95238477108442132</c:v>
                </c:pt>
                <c:pt idx="1">
                  <c:v>-0.28824315443600512</c:v>
                </c:pt>
                <c:pt idx="2">
                  <c:v>-0.24315297553867724</c:v>
                </c:pt>
                <c:pt idx="3">
                  <c:v>-0.24315297553867724</c:v>
                </c:pt>
                <c:pt idx="4">
                  <c:v>-0.15297261774402129</c:v>
                </c:pt>
                <c:pt idx="5">
                  <c:v>-0.14428429811240007</c:v>
                </c:pt>
                <c:pt idx="6">
                  <c:v>5.4225858156947443E-2</c:v>
                </c:pt>
                <c:pt idx="7">
                  <c:v>0.45799536324122314</c:v>
                </c:pt>
                <c:pt idx="8">
                  <c:v>0.45799536324122314</c:v>
                </c:pt>
                <c:pt idx="9">
                  <c:v>1.0438787636002798</c:v>
                </c:pt>
                <c:pt idx="10">
                  <c:v>1.092082145996857</c:v>
                </c:pt>
                <c:pt idx="11">
                  <c:v>2.3745405585681656</c:v>
                </c:pt>
                <c:pt idx="12">
                  <c:v>3.4641227588354973</c:v>
                </c:pt>
                <c:pt idx="13">
                  <c:v>4.9809538280422201</c:v>
                </c:pt>
                <c:pt idx="14">
                  <c:v>4.9809538280422201</c:v>
                </c:pt>
                <c:pt idx="15">
                  <c:v>4.9809538280422201</c:v>
                </c:pt>
                <c:pt idx="16">
                  <c:v>4.9809538280422201</c:v>
                </c:pt>
                <c:pt idx="17">
                  <c:v>5.291056937631045</c:v>
                </c:pt>
                <c:pt idx="18">
                  <c:v>5.4633147368285959</c:v>
                </c:pt>
                <c:pt idx="19">
                  <c:v>5.4633147368285959</c:v>
                </c:pt>
                <c:pt idx="20">
                  <c:v>5.522495273016836</c:v>
                </c:pt>
                <c:pt idx="21">
                  <c:v>8.7964565033208704</c:v>
                </c:pt>
                <c:pt idx="22">
                  <c:v>8.7964565033208704</c:v>
                </c:pt>
                <c:pt idx="23">
                  <c:v>14.108234737532328</c:v>
                </c:pt>
                <c:pt idx="24">
                  <c:v>14.108234737532328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0-4734-BA4C-330D31B30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248344"/>
        <c:axId val="827100512"/>
      </c:scatterChart>
      <c:valAx>
        <c:axId val="837248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100512"/>
        <c:crosses val="autoZero"/>
        <c:crossBetween val="midCat"/>
      </c:valAx>
      <c:valAx>
        <c:axId val="82710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 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248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Build up of abatement cost per tonne avoided: £/tCO2e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3937007874016"/>
          <c:y val="0.17935185185185187"/>
          <c:w val="0.72227559055118107"/>
          <c:h val="0.71324876057159525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'2025'!$AD$139:$AD$163</c:f>
              <c:numCache>
                <c:formatCode>#,##0.00_ ;[Red]\-#,##0.00\ </c:formatCode>
                <c:ptCount val="25"/>
                <c:pt idx="0">
                  <c:v>3.8115228915578364E-2</c:v>
                </c:pt>
                <c:pt idx="1">
                  <c:v>3.6093966776115878E-2</c:v>
                </c:pt>
                <c:pt idx="2">
                  <c:v>7.2187933552231756E-2</c:v>
                </c:pt>
                <c:pt idx="3">
                  <c:v>7.2187933552231756E-2</c:v>
                </c:pt>
                <c:pt idx="4">
                  <c:v>0.14437586710446351</c:v>
                </c:pt>
                <c:pt idx="5">
                  <c:v>0.11047760664950468</c:v>
                </c:pt>
                <c:pt idx="6">
                  <c:v>0.42459622852731782</c:v>
                </c:pt>
                <c:pt idx="7">
                  <c:v>0.87796631458472352</c:v>
                </c:pt>
                <c:pt idx="8">
                  <c:v>0.87796631458472352</c:v>
                </c:pt>
                <c:pt idx="9">
                  <c:v>1.4495169477161542</c:v>
                </c:pt>
                <c:pt idx="10">
                  <c:v>1.5120530973403572</c:v>
                </c:pt>
                <c:pt idx="11">
                  <c:v>2.7801787426840403</c:v>
                </c:pt>
                <c:pt idx="12">
                  <c:v>3.8840937101789974</c:v>
                </c:pt>
                <c:pt idx="13">
                  <c:v>5.3865920121580952</c:v>
                </c:pt>
                <c:pt idx="14">
                  <c:v>5.3865920121580952</c:v>
                </c:pt>
                <c:pt idx="15">
                  <c:v>5.3865920121580952</c:v>
                </c:pt>
                <c:pt idx="16">
                  <c:v>5.3865920121580952</c:v>
                </c:pt>
                <c:pt idx="17">
                  <c:v>5.6966951217469202</c:v>
                </c:pt>
                <c:pt idx="18">
                  <c:v>5.7606609018912964</c:v>
                </c:pt>
                <c:pt idx="19">
                  <c:v>5.7606609018912964</c:v>
                </c:pt>
                <c:pt idx="20">
                  <c:v>5.9424662243603361</c:v>
                </c:pt>
                <c:pt idx="21">
                  <c:v>9.2020946874367464</c:v>
                </c:pt>
                <c:pt idx="22">
                  <c:v>9.2020946874367464</c:v>
                </c:pt>
                <c:pt idx="23">
                  <c:v>14.513872921648202</c:v>
                </c:pt>
                <c:pt idx="24">
                  <c:v>14.513872921648202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4A-4851-8610-2CDD6D97001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'2025'!$AE$139:$AE$163</c:f>
              <c:numCache>
                <c:formatCode>General</c:formatCode>
                <c:ptCount val="25"/>
                <c:pt idx="0">
                  <c:v>9.499999999999998E-3</c:v>
                </c:pt>
                <c:pt idx="1">
                  <c:v>8.9962121212121202E-3</c:v>
                </c:pt>
                <c:pt idx="2">
                  <c:v>1.799242424242424E-2</c:v>
                </c:pt>
                <c:pt idx="3">
                  <c:v>1.799242424242424E-2</c:v>
                </c:pt>
                <c:pt idx="4">
                  <c:v>3.5984848484848481E-2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4A-4851-8610-2CDD6D970010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'2025'!$AF$139:$AF$163</c:f>
              <c:numCache>
                <c:formatCode>0.00</c:formatCode>
                <c:ptCount val="25"/>
                <c:pt idx="0">
                  <c:v>0.99999999999999978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1.6666666666666667</c:v>
                </c:pt>
                <c:pt idx="4">
                  <c:v>1.6666666666666667</c:v>
                </c:pt>
                <c:pt idx="5">
                  <c:v>0.31746031746031744</c:v>
                </c:pt>
                <c:pt idx="6">
                  <c:v>0.37037037037037035</c:v>
                </c:pt>
                <c:pt idx="7">
                  <c:v>0.20225127087872183</c:v>
                </c:pt>
                <c:pt idx="8">
                  <c:v>0.20225127087872183</c:v>
                </c:pt>
                <c:pt idx="9">
                  <c:v>0.2165840381063478</c:v>
                </c:pt>
                <c:pt idx="10">
                  <c:v>0.20225127087872183</c:v>
                </c:pt>
                <c:pt idx="11">
                  <c:v>0.2165840381063478</c:v>
                </c:pt>
                <c:pt idx="12">
                  <c:v>0.20225127087872183</c:v>
                </c:pt>
                <c:pt idx="13">
                  <c:v>0.2165840381063478</c:v>
                </c:pt>
                <c:pt idx="14">
                  <c:v>0.2165840381063478</c:v>
                </c:pt>
                <c:pt idx="15">
                  <c:v>0.2165840381063478</c:v>
                </c:pt>
                <c:pt idx="16">
                  <c:v>0.2165840381063478</c:v>
                </c:pt>
                <c:pt idx="17">
                  <c:v>0.2165840381063478</c:v>
                </c:pt>
                <c:pt idx="18">
                  <c:v>0.32487605715952173</c:v>
                </c:pt>
                <c:pt idx="19">
                  <c:v>0.32487605715952173</c:v>
                </c:pt>
                <c:pt idx="20">
                  <c:v>0.20225127087872183</c:v>
                </c:pt>
                <c:pt idx="21">
                  <c:v>0.2165840381063478</c:v>
                </c:pt>
                <c:pt idx="22">
                  <c:v>0.2165840381063478</c:v>
                </c:pt>
                <c:pt idx="23">
                  <c:v>0.2165840381063478</c:v>
                </c:pt>
                <c:pt idx="24">
                  <c:v>0.2165840381063478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4A-4851-8610-2CDD6D970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7415288"/>
        <c:axId val="1037413648"/>
      </c:barChart>
      <c:catAx>
        <c:axId val="1037415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3648"/>
        <c:crosses val="autoZero"/>
        <c:auto val="1"/>
        <c:lblAlgn val="ctr"/>
        <c:lblOffset val="100"/>
        <c:noMultiLvlLbl val="0"/>
      </c:catAx>
      <c:valAx>
        <c:axId val="10374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all-in costs £/tonne CO2 avoided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'2025'!$AB$139:$AB$163</c:f>
              <c:numCache>
                <c:formatCode>General</c:formatCode>
                <c:ptCount val="25"/>
                <c:pt idx="0">
                  <c:v>-0.95238477108442132</c:v>
                </c:pt>
                <c:pt idx="1">
                  <c:v>-0.28824315443600512</c:v>
                </c:pt>
                <c:pt idx="2">
                  <c:v>-0.24315297553867724</c:v>
                </c:pt>
                <c:pt idx="3">
                  <c:v>-0.24315297553867724</c:v>
                </c:pt>
                <c:pt idx="4">
                  <c:v>-0.15297261774402129</c:v>
                </c:pt>
                <c:pt idx="5">
                  <c:v>-0.14428429811240007</c:v>
                </c:pt>
                <c:pt idx="6">
                  <c:v>5.4225858156947443E-2</c:v>
                </c:pt>
                <c:pt idx="7">
                  <c:v>0.45799536324122314</c:v>
                </c:pt>
                <c:pt idx="8">
                  <c:v>0.45799536324122314</c:v>
                </c:pt>
                <c:pt idx="9">
                  <c:v>1.0438787636002798</c:v>
                </c:pt>
                <c:pt idx="10">
                  <c:v>1.092082145996857</c:v>
                </c:pt>
                <c:pt idx="11">
                  <c:v>2.3745405585681656</c:v>
                </c:pt>
                <c:pt idx="12">
                  <c:v>3.4641227588354973</c:v>
                </c:pt>
                <c:pt idx="13">
                  <c:v>4.9809538280422201</c:v>
                </c:pt>
                <c:pt idx="14">
                  <c:v>4.9809538280422201</c:v>
                </c:pt>
                <c:pt idx="15">
                  <c:v>4.9809538280422201</c:v>
                </c:pt>
                <c:pt idx="16">
                  <c:v>4.9809538280422201</c:v>
                </c:pt>
                <c:pt idx="17">
                  <c:v>5.291056937631045</c:v>
                </c:pt>
                <c:pt idx="18">
                  <c:v>5.4633147368285959</c:v>
                </c:pt>
                <c:pt idx="19">
                  <c:v>5.4633147368285959</c:v>
                </c:pt>
                <c:pt idx="20">
                  <c:v>5.522495273016836</c:v>
                </c:pt>
                <c:pt idx="21">
                  <c:v>8.7964565033208704</c:v>
                </c:pt>
                <c:pt idx="22">
                  <c:v>8.7964565033208704</c:v>
                </c:pt>
                <c:pt idx="23">
                  <c:v>14.108234737532328</c:v>
                </c:pt>
                <c:pt idx="24">
                  <c:v>14.108234737532328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8B-480E-AB67-47A85D571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864472"/>
        <c:axId val="840868736"/>
      </c:barChart>
      <c:catAx>
        <c:axId val="840864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8736"/>
        <c:crosses val="autoZero"/>
        <c:auto val="1"/>
        <c:lblAlgn val="ctr"/>
        <c:lblOffset val="100"/>
        <c:noMultiLvlLbl val="0"/>
      </c:catAx>
      <c:valAx>
        <c:axId val="8408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Indicative MAC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'2025'!$AJ$139:$AJ$163</c:f>
              <c:numCache>
                <c:formatCode>0</c:formatCode>
                <c:ptCount val="25"/>
                <c:pt idx="0">
                  <c:v>7.8993710691823895E-3</c:v>
                </c:pt>
                <c:pt idx="1">
                  <c:v>2.2381551362683438E-2</c:v>
                </c:pt>
                <c:pt idx="2">
                  <c:v>3.028092243186583E-2</c:v>
                </c:pt>
                <c:pt idx="3">
                  <c:v>3.5547169811320757E-2</c:v>
                </c:pt>
                <c:pt idx="4">
                  <c:v>4.8712788259958076E-2</c:v>
                </c:pt>
                <c:pt idx="5">
                  <c:v>6.5169811320754722E-2</c:v>
                </c:pt>
                <c:pt idx="6">
                  <c:v>8.1626834381551369E-2</c:v>
                </c:pt>
                <c:pt idx="7">
                  <c:v>8.2943396226415098E-2</c:v>
                </c:pt>
                <c:pt idx="8">
                  <c:v>8.4259958071278826E-2</c:v>
                </c:pt>
                <c:pt idx="9">
                  <c:v>8.5708176100628933E-2</c:v>
                </c:pt>
                <c:pt idx="10">
                  <c:v>8.6366457023060797E-2</c:v>
                </c:pt>
                <c:pt idx="11">
                  <c:v>8.8275471698113214E-2</c:v>
                </c:pt>
                <c:pt idx="12">
                  <c:v>9.0579454926624739E-2</c:v>
                </c:pt>
                <c:pt idx="13">
                  <c:v>9.1566876310272535E-2</c:v>
                </c:pt>
                <c:pt idx="14">
                  <c:v>9.3212578616352196E-2</c:v>
                </c:pt>
                <c:pt idx="15">
                  <c:v>9.387085953878406E-2</c:v>
                </c:pt>
                <c:pt idx="16">
                  <c:v>9.4924109014675045E-2</c:v>
                </c:pt>
                <c:pt idx="17">
                  <c:v>9.6372327044025152E-2</c:v>
                </c:pt>
                <c:pt idx="18">
                  <c:v>9.7688888888888881E-2</c:v>
                </c:pt>
                <c:pt idx="19">
                  <c:v>9.9005450733752609E-2</c:v>
                </c:pt>
                <c:pt idx="20">
                  <c:v>0.1009802935010482</c:v>
                </c:pt>
                <c:pt idx="21">
                  <c:v>0.10236268343815512</c:v>
                </c:pt>
                <c:pt idx="22">
                  <c:v>0.10335010482180292</c:v>
                </c:pt>
                <c:pt idx="23">
                  <c:v>0.10466666666666664</c:v>
                </c:pt>
                <c:pt idx="24">
                  <c:v>0.10552243186582808</c:v>
                </c:pt>
              </c:numCache>
            </c:numRef>
          </c:xVal>
          <c:yVal>
            <c:numRef>
              <c:f>'2025'!$AK$139:$AK$163</c:f>
              <c:numCache>
                <c:formatCode>General</c:formatCode>
                <c:ptCount val="25"/>
                <c:pt idx="0">
                  <c:v>-0.95238477108442132</c:v>
                </c:pt>
                <c:pt idx="1">
                  <c:v>-0.28824315443600512</c:v>
                </c:pt>
                <c:pt idx="2">
                  <c:v>-0.24315297553867724</c:v>
                </c:pt>
                <c:pt idx="3">
                  <c:v>-0.24315297553867724</c:v>
                </c:pt>
                <c:pt idx="4">
                  <c:v>-0.15297261774402129</c:v>
                </c:pt>
                <c:pt idx="5">
                  <c:v>-0.14428429811240007</c:v>
                </c:pt>
                <c:pt idx="6">
                  <c:v>5.4225858156947443E-2</c:v>
                </c:pt>
                <c:pt idx="7">
                  <c:v>0.45799536324122314</c:v>
                </c:pt>
                <c:pt idx="8">
                  <c:v>0.45799536324122314</c:v>
                </c:pt>
                <c:pt idx="9">
                  <c:v>1.0438787636002798</c:v>
                </c:pt>
                <c:pt idx="10">
                  <c:v>1.092082145996857</c:v>
                </c:pt>
                <c:pt idx="11">
                  <c:v>2.3745405585681656</c:v>
                </c:pt>
                <c:pt idx="12">
                  <c:v>3.4641227588354973</c:v>
                </c:pt>
                <c:pt idx="13">
                  <c:v>4.9809538280422201</c:v>
                </c:pt>
                <c:pt idx="14">
                  <c:v>4.9809538280422201</c:v>
                </c:pt>
                <c:pt idx="15">
                  <c:v>4.9809538280422201</c:v>
                </c:pt>
                <c:pt idx="16">
                  <c:v>4.9809538280422201</c:v>
                </c:pt>
                <c:pt idx="17">
                  <c:v>5.291056937631045</c:v>
                </c:pt>
                <c:pt idx="18">
                  <c:v>5.4633147368285959</c:v>
                </c:pt>
                <c:pt idx="19">
                  <c:v>5.4633147368285959</c:v>
                </c:pt>
                <c:pt idx="20">
                  <c:v>5.522495273016836</c:v>
                </c:pt>
                <c:pt idx="21">
                  <c:v>8.7964565033208704</c:v>
                </c:pt>
                <c:pt idx="22">
                  <c:v>8.7964565033208704</c:v>
                </c:pt>
                <c:pt idx="23">
                  <c:v>14.108234737532328</c:v>
                </c:pt>
                <c:pt idx="24">
                  <c:v>14.108234737532328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2B-4376-AFCD-644BD573D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248344"/>
        <c:axId val="827100512"/>
      </c:scatterChart>
      <c:valAx>
        <c:axId val="837248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100512"/>
        <c:crosses val="autoZero"/>
        <c:crossBetween val="midCat"/>
      </c:valAx>
      <c:valAx>
        <c:axId val="82710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 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248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Build up of abatement cost per tonne avoided: £/tCO2e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3937007874016"/>
          <c:y val="0.17935185185185187"/>
          <c:w val="0.72227559055118107"/>
          <c:h val="0.713248760571595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'2030'!$AD$3</c:f>
              <c:strCache>
                <c:ptCount val="1"/>
                <c:pt idx="0">
                  <c:v>cap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'2030'!$AD$4:$AD$28</c:f>
              <c:numCache>
                <c:formatCode>#,##0.00_ ;[Red]\-#,##0.00\ </c:formatCode>
                <c:ptCount val="25"/>
                <c:pt idx="0">
                  <c:v>3.4103099556043799E-2</c:v>
                </c:pt>
                <c:pt idx="1">
                  <c:v>3.2294601852314218E-2</c:v>
                </c:pt>
                <c:pt idx="2">
                  <c:v>6.4589203704628437E-2</c:v>
                </c:pt>
                <c:pt idx="3">
                  <c:v>6.4589203704628437E-2</c:v>
                </c:pt>
                <c:pt idx="4">
                  <c:v>0.12917840740925687</c:v>
                </c:pt>
                <c:pt idx="5">
                  <c:v>9.884838489692524E-2</c:v>
                </c:pt>
                <c:pt idx="6">
                  <c:v>0.37990188868233693</c:v>
                </c:pt>
                <c:pt idx="7">
                  <c:v>0.78554880778633174</c:v>
                </c:pt>
                <c:pt idx="8">
                  <c:v>0.78554880778633174</c:v>
                </c:pt>
                <c:pt idx="9">
                  <c:v>1.2969362163776117</c:v>
                </c:pt>
                <c:pt idx="10">
                  <c:v>1.3528896134097934</c:v>
                </c:pt>
                <c:pt idx="11">
                  <c:v>2.4875283487172992</c:v>
                </c:pt>
                <c:pt idx="12">
                  <c:v>3.4752417406864722</c:v>
                </c:pt>
                <c:pt idx="13">
                  <c:v>4.8195823266677689</c:v>
                </c:pt>
                <c:pt idx="14">
                  <c:v>4.8195823266677689</c:v>
                </c:pt>
                <c:pt idx="15">
                  <c:v>4.8195823266677689</c:v>
                </c:pt>
                <c:pt idx="16">
                  <c:v>4.8195823266677689</c:v>
                </c:pt>
                <c:pt idx="17">
                  <c:v>5.0970430036682961</c:v>
                </c:pt>
                <c:pt idx="18">
                  <c:v>5.1542755437974757</c:v>
                </c:pt>
                <c:pt idx="19">
                  <c:v>5.1542755437974757</c:v>
                </c:pt>
                <c:pt idx="20">
                  <c:v>5.3169434639013531</c:v>
                </c:pt>
                <c:pt idx="21">
                  <c:v>8.2334531413907737</c:v>
                </c:pt>
                <c:pt idx="22">
                  <c:v>8.2334531413907737</c:v>
                </c:pt>
                <c:pt idx="23">
                  <c:v>12.986096824632602</c:v>
                </c:pt>
                <c:pt idx="24">
                  <c:v>12.986096824632602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A9-4FDD-BD08-3DECDC280EB5}"/>
            </c:ext>
          </c:extLst>
        </c:ser>
        <c:ser>
          <c:idx val="1"/>
          <c:order val="1"/>
          <c:tx>
            <c:strRef>
              <c:f>'2030'!$AE$3</c:f>
              <c:strCache>
                <c:ptCount val="1"/>
                <c:pt idx="0">
                  <c:v>opex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'2030'!$AE$4:$AE$28</c:f>
              <c:numCache>
                <c:formatCode>General</c:formatCode>
                <c:ptCount val="25"/>
                <c:pt idx="0">
                  <c:v>8.4999999999999989E-3</c:v>
                </c:pt>
                <c:pt idx="1">
                  <c:v>8.049242424242424E-3</c:v>
                </c:pt>
                <c:pt idx="2">
                  <c:v>1.6098484848484848E-2</c:v>
                </c:pt>
                <c:pt idx="3">
                  <c:v>1.6098484848484848E-2</c:v>
                </c:pt>
                <c:pt idx="4">
                  <c:v>3.2196969696969696E-2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A9-4FDD-BD08-3DECDC280EB5}"/>
            </c:ext>
          </c:extLst>
        </c:ser>
        <c:ser>
          <c:idx val="2"/>
          <c:order val="2"/>
          <c:tx>
            <c:strRef>
              <c:f>'2030'!$AF$3</c:f>
              <c:strCache>
                <c:ptCount val="1"/>
                <c:pt idx="0">
                  <c:v>energy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'2030'!$AF$4:$AF$28</c:f>
              <c:numCache>
                <c:formatCode>0.00</c:formatCode>
                <c:ptCount val="25"/>
                <c:pt idx="0">
                  <c:v>0.99999999999999978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1.6666666666666667</c:v>
                </c:pt>
                <c:pt idx="4">
                  <c:v>1.6666666666666667</c:v>
                </c:pt>
                <c:pt idx="5">
                  <c:v>0.31746031746031744</c:v>
                </c:pt>
                <c:pt idx="6">
                  <c:v>0.37037037037037035</c:v>
                </c:pt>
                <c:pt idx="7">
                  <c:v>0.20225127087872183</c:v>
                </c:pt>
                <c:pt idx="8">
                  <c:v>0.20225127087872183</c:v>
                </c:pt>
                <c:pt idx="9">
                  <c:v>0.2165840381063478</c:v>
                </c:pt>
                <c:pt idx="10">
                  <c:v>0.20225127087872183</c:v>
                </c:pt>
                <c:pt idx="11">
                  <c:v>0.2165840381063478</c:v>
                </c:pt>
                <c:pt idx="12">
                  <c:v>0.20225127087872183</c:v>
                </c:pt>
                <c:pt idx="13">
                  <c:v>0.2165840381063478</c:v>
                </c:pt>
                <c:pt idx="14">
                  <c:v>0.2165840381063478</c:v>
                </c:pt>
                <c:pt idx="15">
                  <c:v>0.2165840381063478</c:v>
                </c:pt>
                <c:pt idx="16">
                  <c:v>0.2165840381063478</c:v>
                </c:pt>
                <c:pt idx="17">
                  <c:v>0.2165840381063478</c:v>
                </c:pt>
                <c:pt idx="18">
                  <c:v>0.27073004763293473</c:v>
                </c:pt>
                <c:pt idx="19">
                  <c:v>0.27073004763293473</c:v>
                </c:pt>
                <c:pt idx="20">
                  <c:v>0.20225127087872183</c:v>
                </c:pt>
                <c:pt idx="21">
                  <c:v>0.2165840381063478</c:v>
                </c:pt>
                <c:pt idx="22">
                  <c:v>0.2165840381063478</c:v>
                </c:pt>
                <c:pt idx="23">
                  <c:v>0.2165840381063478</c:v>
                </c:pt>
                <c:pt idx="24">
                  <c:v>0.2165840381063478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A9-4FDD-BD08-3DECDC280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7415288"/>
        <c:axId val="1037413648"/>
      </c:barChart>
      <c:catAx>
        <c:axId val="1037415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3648"/>
        <c:crosses val="autoZero"/>
        <c:auto val="1"/>
        <c:lblAlgn val="ctr"/>
        <c:lblOffset val="100"/>
        <c:noMultiLvlLbl val="0"/>
      </c:catAx>
      <c:valAx>
        <c:axId val="10374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all-in costs £/tonne CO2 avoided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'2030'!$AB$4:$AB$28</c:f>
              <c:numCache>
                <c:formatCode>General</c:formatCode>
                <c:ptCount val="25"/>
                <c:pt idx="0">
                  <c:v>-0.95739690044395609</c:v>
                </c:pt>
                <c:pt idx="1">
                  <c:v>-0.29298948905677658</c:v>
                </c:pt>
                <c:pt idx="2">
                  <c:v>-0.25264564478021995</c:v>
                </c:pt>
                <c:pt idx="3">
                  <c:v>-0.25264564478021995</c:v>
                </c:pt>
                <c:pt idx="4">
                  <c:v>-0.17195795622710669</c:v>
                </c:pt>
                <c:pt idx="5">
                  <c:v>-0.15591351986497953</c:v>
                </c:pt>
                <c:pt idx="6">
                  <c:v>9.5315183119666306E-3</c:v>
                </c:pt>
                <c:pt idx="7">
                  <c:v>0.36557785644283125</c:v>
                </c:pt>
                <c:pt idx="8">
                  <c:v>0.36557785644283125</c:v>
                </c:pt>
                <c:pt idx="9">
                  <c:v>0.89129803226173732</c:v>
                </c:pt>
                <c:pt idx="10">
                  <c:v>0.93291866206629326</c:v>
                </c:pt>
                <c:pt idx="11">
                  <c:v>2.0818901646014245</c:v>
                </c:pt>
                <c:pt idx="12">
                  <c:v>3.055270789342972</c:v>
                </c:pt>
                <c:pt idx="13">
                  <c:v>4.4139441425518946</c:v>
                </c:pt>
                <c:pt idx="14">
                  <c:v>4.4139441425518946</c:v>
                </c:pt>
                <c:pt idx="15">
                  <c:v>4.4139441425518946</c:v>
                </c:pt>
                <c:pt idx="16">
                  <c:v>4.4139441425518946</c:v>
                </c:pt>
                <c:pt idx="17">
                  <c:v>4.6914048195524209</c:v>
                </c:pt>
                <c:pt idx="18">
                  <c:v>4.8027833692081883</c:v>
                </c:pt>
                <c:pt idx="19">
                  <c:v>4.8027833692081883</c:v>
                </c:pt>
                <c:pt idx="20">
                  <c:v>4.8969725125578529</c:v>
                </c:pt>
                <c:pt idx="21">
                  <c:v>7.8278149572748985</c:v>
                </c:pt>
                <c:pt idx="22">
                  <c:v>7.8278149572748985</c:v>
                </c:pt>
                <c:pt idx="23">
                  <c:v>12.580458640516728</c:v>
                </c:pt>
                <c:pt idx="24">
                  <c:v>12.580458640516728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8C-4E9E-AE05-D56E9B8E3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864472"/>
        <c:axId val="840868736"/>
      </c:barChart>
      <c:catAx>
        <c:axId val="840864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8736"/>
        <c:crosses val="autoZero"/>
        <c:auto val="1"/>
        <c:lblAlgn val="ctr"/>
        <c:lblOffset val="100"/>
        <c:noMultiLvlLbl val="0"/>
      </c:catAx>
      <c:valAx>
        <c:axId val="8408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Indicative MAC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'2030'!$AK$3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'2030'!$AJ$4:$AJ$28</c:f>
              <c:numCache>
                <c:formatCode>0</c:formatCode>
                <c:ptCount val="25"/>
                <c:pt idx="0">
                  <c:v>8.5274380990488581</c:v>
                </c:pt>
                <c:pt idx="1">
                  <c:v>24.161074613971763</c:v>
                </c:pt>
                <c:pt idx="2">
                  <c:v>32.688512713020621</c:v>
                </c:pt>
                <c:pt idx="3">
                  <c:v>38.373471445719858</c:v>
                </c:pt>
                <c:pt idx="4">
                  <c:v>52.585868277467952</c:v>
                </c:pt>
                <c:pt idx="5">
                  <c:v>70.35136431715307</c:v>
                </c:pt>
                <c:pt idx="6">
                  <c:v>88.116860356838188</c:v>
                </c:pt>
                <c:pt idx="7">
                  <c:v>89.538100040012992</c:v>
                </c:pt>
                <c:pt idx="8">
                  <c:v>90.959339723187796</c:v>
                </c:pt>
                <c:pt idx="9">
                  <c:v>92.522703374680091</c:v>
                </c:pt>
                <c:pt idx="10">
                  <c:v>93.233323216267493</c:v>
                </c:pt>
                <c:pt idx="11">
                  <c:v>95.294120756870967</c:v>
                </c:pt>
                <c:pt idx="12">
                  <c:v>97.781290202426888</c:v>
                </c:pt>
                <c:pt idx="13">
                  <c:v>98.847219964807991</c:v>
                </c:pt>
                <c:pt idx="14">
                  <c:v>100.62376956877651</c:v>
                </c:pt>
                <c:pt idx="15">
                  <c:v>101.33438941036391</c:v>
                </c:pt>
                <c:pt idx="16">
                  <c:v>102.47138115690376</c:v>
                </c:pt>
                <c:pt idx="17">
                  <c:v>104.03474480839606</c:v>
                </c:pt>
                <c:pt idx="18">
                  <c:v>105.45598449157086</c:v>
                </c:pt>
                <c:pt idx="19">
                  <c:v>106.87722417474566</c:v>
                </c:pt>
                <c:pt idx="20">
                  <c:v>109.00908369950788</c:v>
                </c:pt>
                <c:pt idx="21">
                  <c:v>110.50138536684143</c:v>
                </c:pt>
                <c:pt idx="22">
                  <c:v>111.56731512922254</c:v>
                </c:pt>
                <c:pt idx="23">
                  <c:v>112.98855481239734</c:v>
                </c:pt>
                <c:pt idx="24">
                  <c:v>113.91236060646096</c:v>
                </c:pt>
              </c:numCache>
            </c:numRef>
          </c:xVal>
          <c:yVal>
            <c:numRef>
              <c:f>'2030'!$AK$4:$AK$28</c:f>
              <c:numCache>
                <c:formatCode>General</c:formatCode>
                <c:ptCount val="25"/>
                <c:pt idx="0">
                  <c:v>-0.95739690044395609</c:v>
                </c:pt>
                <c:pt idx="1">
                  <c:v>-0.29298948905677658</c:v>
                </c:pt>
                <c:pt idx="2">
                  <c:v>-0.25264564478021995</c:v>
                </c:pt>
                <c:pt idx="3">
                  <c:v>-0.25264564478021995</c:v>
                </c:pt>
                <c:pt idx="4">
                  <c:v>-0.17195795622710669</c:v>
                </c:pt>
                <c:pt idx="5">
                  <c:v>-0.15591351986497953</c:v>
                </c:pt>
                <c:pt idx="6">
                  <c:v>9.5315183119666306E-3</c:v>
                </c:pt>
                <c:pt idx="7">
                  <c:v>0.36557785644283125</c:v>
                </c:pt>
                <c:pt idx="8">
                  <c:v>0.36557785644283125</c:v>
                </c:pt>
                <c:pt idx="9">
                  <c:v>0.89129803226173732</c:v>
                </c:pt>
                <c:pt idx="10">
                  <c:v>0.93291866206629326</c:v>
                </c:pt>
                <c:pt idx="11">
                  <c:v>2.0818901646014245</c:v>
                </c:pt>
                <c:pt idx="12">
                  <c:v>3.055270789342972</c:v>
                </c:pt>
                <c:pt idx="13">
                  <c:v>4.4139441425518946</c:v>
                </c:pt>
                <c:pt idx="14">
                  <c:v>4.4139441425518946</c:v>
                </c:pt>
                <c:pt idx="15">
                  <c:v>4.4139441425518946</c:v>
                </c:pt>
                <c:pt idx="16">
                  <c:v>4.4139441425518946</c:v>
                </c:pt>
                <c:pt idx="17">
                  <c:v>4.6914048195524209</c:v>
                </c:pt>
                <c:pt idx="18">
                  <c:v>4.8027833692081883</c:v>
                </c:pt>
                <c:pt idx="19">
                  <c:v>4.8027833692081883</c:v>
                </c:pt>
                <c:pt idx="20">
                  <c:v>4.8969725125578529</c:v>
                </c:pt>
                <c:pt idx="21">
                  <c:v>7.8278149572748985</c:v>
                </c:pt>
                <c:pt idx="22">
                  <c:v>7.8278149572748985</c:v>
                </c:pt>
                <c:pt idx="23">
                  <c:v>12.580458640516728</c:v>
                </c:pt>
                <c:pt idx="24">
                  <c:v>12.580458640516728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4B-437A-9D49-89A29687B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248344"/>
        <c:axId val="827100512"/>
      </c:scatterChart>
      <c:valAx>
        <c:axId val="837248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100512"/>
        <c:crosses val="autoZero"/>
        <c:crossBetween val="midCat"/>
      </c:valAx>
      <c:valAx>
        <c:axId val="82710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 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248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Build up of abatement cost per tonne avoided: £/tCO2e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3937007874016"/>
          <c:y val="0.17935185185185187"/>
          <c:w val="0.72227559055118107"/>
          <c:h val="0.71324876057159525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'2030'!$AD$49:$AD$73</c:f>
              <c:numCache>
                <c:formatCode>#,##0.00_ ;[Red]\-#,##0.00\ </c:formatCode>
                <c:ptCount val="25"/>
                <c:pt idx="0">
                  <c:v>3.4103099556043799E-2</c:v>
                </c:pt>
                <c:pt idx="1">
                  <c:v>3.2294601852314218E-2</c:v>
                </c:pt>
                <c:pt idx="2">
                  <c:v>6.4589203704628437E-2</c:v>
                </c:pt>
                <c:pt idx="3">
                  <c:v>6.4589203704628437E-2</c:v>
                </c:pt>
                <c:pt idx="4">
                  <c:v>0.12917840740925687</c:v>
                </c:pt>
                <c:pt idx="5">
                  <c:v>9.884838489692524E-2</c:v>
                </c:pt>
                <c:pt idx="6">
                  <c:v>0.37990188868233693</c:v>
                </c:pt>
                <c:pt idx="7">
                  <c:v>0.78554880778633174</c:v>
                </c:pt>
                <c:pt idx="8">
                  <c:v>0.78554880778633174</c:v>
                </c:pt>
                <c:pt idx="9">
                  <c:v>1.2969362163776117</c:v>
                </c:pt>
                <c:pt idx="10">
                  <c:v>1.3528896134097934</c:v>
                </c:pt>
                <c:pt idx="11">
                  <c:v>2.4875283487172992</c:v>
                </c:pt>
                <c:pt idx="12">
                  <c:v>3.4752417406864722</c:v>
                </c:pt>
                <c:pt idx="13">
                  <c:v>4.8195823266677689</c:v>
                </c:pt>
                <c:pt idx="14">
                  <c:v>4.8195823266677689</c:v>
                </c:pt>
                <c:pt idx="15">
                  <c:v>4.8195823266677689</c:v>
                </c:pt>
                <c:pt idx="16">
                  <c:v>4.8195823266677689</c:v>
                </c:pt>
                <c:pt idx="17">
                  <c:v>5.0970430036682961</c:v>
                </c:pt>
                <c:pt idx="18">
                  <c:v>5.1542755437974757</c:v>
                </c:pt>
                <c:pt idx="19">
                  <c:v>5.1542755437974757</c:v>
                </c:pt>
                <c:pt idx="20">
                  <c:v>5.3169434639013531</c:v>
                </c:pt>
                <c:pt idx="21">
                  <c:v>8.2334531413907737</c:v>
                </c:pt>
                <c:pt idx="22">
                  <c:v>8.2334531413907737</c:v>
                </c:pt>
                <c:pt idx="23">
                  <c:v>12.986096824632602</c:v>
                </c:pt>
                <c:pt idx="24">
                  <c:v>12.986096824632602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DD-4F02-8F18-FE4765723F9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'2030'!$AE$49:$AE$73</c:f>
              <c:numCache>
                <c:formatCode>General</c:formatCode>
                <c:ptCount val="25"/>
                <c:pt idx="0">
                  <c:v>8.4999999999999989E-3</c:v>
                </c:pt>
                <c:pt idx="1">
                  <c:v>8.049242424242424E-3</c:v>
                </c:pt>
                <c:pt idx="2">
                  <c:v>1.6098484848484848E-2</c:v>
                </c:pt>
                <c:pt idx="3">
                  <c:v>1.6098484848484848E-2</c:v>
                </c:pt>
                <c:pt idx="4">
                  <c:v>3.2196969696969696E-2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DD-4F02-8F18-FE4765723F9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'2030'!$AF$49:$AF$73</c:f>
              <c:numCache>
                <c:formatCode>0.00</c:formatCode>
                <c:ptCount val="25"/>
                <c:pt idx="0">
                  <c:v>0.99999999999999978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1.6666666666666667</c:v>
                </c:pt>
                <c:pt idx="4">
                  <c:v>1.6666666666666667</c:v>
                </c:pt>
                <c:pt idx="5">
                  <c:v>0.31746031746031744</c:v>
                </c:pt>
                <c:pt idx="6">
                  <c:v>0.37037037037037035</c:v>
                </c:pt>
                <c:pt idx="7">
                  <c:v>0.20225127087872183</c:v>
                </c:pt>
                <c:pt idx="8">
                  <c:v>0.20225127087872183</c:v>
                </c:pt>
                <c:pt idx="9">
                  <c:v>0.2165840381063478</c:v>
                </c:pt>
                <c:pt idx="10">
                  <c:v>0.20225127087872183</c:v>
                </c:pt>
                <c:pt idx="11">
                  <c:v>0.2165840381063478</c:v>
                </c:pt>
                <c:pt idx="12">
                  <c:v>0.20225127087872183</c:v>
                </c:pt>
                <c:pt idx="13">
                  <c:v>0.2165840381063478</c:v>
                </c:pt>
                <c:pt idx="14">
                  <c:v>0.2165840381063478</c:v>
                </c:pt>
                <c:pt idx="15">
                  <c:v>0.2165840381063478</c:v>
                </c:pt>
                <c:pt idx="16">
                  <c:v>0.2165840381063478</c:v>
                </c:pt>
                <c:pt idx="17">
                  <c:v>0.2165840381063478</c:v>
                </c:pt>
                <c:pt idx="18">
                  <c:v>0.32487605715952173</c:v>
                </c:pt>
                <c:pt idx="19">
                  <c:v>0.32487605715952173</c:v>
                </c:pt>
                <c:pt idx="20">
                  <c:v>0.20225127087872183</c:v>
                </c:pt>
                <c:pt idx="21">
                  <c:v>0.2165840381063478</c:v>
                </c:pt>
                <c:pt idx="22">
                  <c:v>0.2165840381063478</c:v>
                </c:pt>
                <c:pt idx="23">
                  <c:v>0.2165840381063478</c:v>
                </c:pt>
                <c:pt idx="24">
                  <c:v>0.2165840381063478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DD-4F02-8F18-FE4765723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7415288"/>
        <c:axId val="1037413648"/>
      </c:barChart>
      <c:catAx>
        <c:axId val="1037415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3648"/>
        <c:crosses val="autoZero"/>
        <c:auto val="1"/>
        <c:lblAlgn val="ctr"/>
        <c:lblOffset val="100"/>
        <c:noMultiLvlLbl val="0"/>
      </c:catAx>
      <c:valAx>
        <c:axId val="10374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all-in costs £/tonne CO2 avoided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'2030'!$AB$49:$AB$73</c:f>
              <c:numCache>
                <c:formatCode>General</c:formatCode>
                <c:ptCount val="25"/>
                <c:pt idx="0">
                  <c:v>-0.95739690044395609</c:v>
                </c:pt>
                <c:pt idx="1">
                  <c:v>-0.29298948905677658</c:v>
                </c:pt>
                <c:pt idx="2">
                  <c:v>-0.25264564478021995</c:v>
                </c:pt>
                <c:pt idx="3">
                  <c:v>-0.25264564478021995</c:v>
                </c:pt>
                <c:pt idx="4">
                  <c:v>-0.17195795622710669</c:v>
                </c:pt>
                <c:pt idx="5">
                  <c:v>-0.15591351986497953</c:v>
                </c:pt>
                <c:pt idx="6">
                  <c:v>9.5315183119666306E-3</c:v>
                </c:pt>
                <c:pt idx="7">
                  <c:v>0.36557785644283125</c:v>
                </c:pt>
                <c:pt idx="8">
                  <c:v>0.36557785644283125</c:v>
                </c:pt>
                <c:pt idx="9">
                  <c:v>0.89129803226173732</c:v>
                </c:pt>
                <c:pt idx="10">
                  <c:v>0.93291866206629326</c:v>
                </c:pt>
                <c:pt idx="11">
                  <c:v>2.0818901646014245</c:v>
                </c:pt>
                <c:pt idx="12">
                  <c:v>3.055270789342972</c:v>
                </c:pt>
                <c:pt idx="13">
                  <c:v>4.4139441425518946</c:v>
                </c:pt>
                <c:pt idx="14">
                  <c:v>4.4139441425518946</c:v>
                </c:pt>
                <c:pt idx="15">
                  <c:v>4.4139441425518946</c:v>
                </c:pt>
                <c:pt idx="16">
                  <c:v>4.4139441425518946</c:v>
                </c:pt>
                <c:pt idx="17">
                  <c:v>4.6914048195524209</c:v>
                </c:pt>
                <c:pt idx="18">
                  <c:v>4.8569293787347751</c:v>
                </c:pt>
                <c:pt idx="19">
                  <c:v>4.8569293787347751</c:v>
                </c:pt>
                <c:pt idx="20">
                  <c:v>4.8969725125578529</c:v>
                </c:pt>
                <c:pt idx="21">
                  <c:v>7.8278149572748985</c:v>
                </c:pt>
                <c:pt idx="22">
                  <c:v>7.8278149572748985</c:v>
                </c:pt>
                <c:pt idx="23">
                  <c:v>12.580458640516728</c:v>
                </c:pt>
                <c:pt idx="24">
                  <c:v>12.580458640516728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3D-4A93-8C1B-4239FAFF0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864472"/>
        <c:axId val="840868736"/>
      </c:barChart>
      <c:catAx>
        <c:axId val="840864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8736"/>
        <c:crosses val="autoZero"/>
        <c:auto val="1"/>
        <c:lblAlgn val="ctr"/>
        <c:lblOffset val="100"/>
        <c:noMultiLvlLbl val="0"/>
      </c:catAx>
      <c:valAx>
        <c:axId val="8408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Indicative MAC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'2030'!$AJ$49:$AJ$73</c:f>
              <c:numCache>
                <c:formatCode>0</c:formatCode>
                <c:ptCount val="25"/>
                <c:pt idx="0">
                  <c:v>2.3928591893103803</c:v>
                </c:pt>
                <c:pt idx="1">
                  <c:v>6.779767703046077</c:v>
                </c:pt>
                <c:pt idx="2">
                  <c:v>9.1726268923564582</c:v>
                </c:pt>
                <c:pt idx="3">
                  <c:v>10.767866351896712</c:v>
                </c:pt>
                <c:pt idx="4">
                  <c:v>14.755965000747345</c:v>
                </c:pt>
                <c:pt idx="5">
                  <c:v>19.741088311810636</c:v>
                </c:pt>
                <c:pt idx="6">
                  <c:v>24.726211622873926</c:v>
                </c:pt>
                <c:pt idx="7">
                  <c:v>25.125021487758989</c:v>
                </c:pt>
                <c:pt idx="8">
                  <c:v>25.523831352644052</c:v>
                </c:pt>
                <c:pt idx="9">
                  <c:v>25.96252220401762</c:v>
                </c:pt>
                <c:pt idx="10">
                  <c:v>26.161927136460154</c:v>
                </c:pt>
                <c:pt idx="11">
                  <c:v>26.740201440543494</c:v>
                </c:pt>
                <c:pt idx="12">
                  <c:v>27.438118704092354</c:v>
                </c:pt>
                <c:pt idx="13">
                  <c:v>27.73722610275615</c:v>
                </c:pt>
                <c:pt idx="14">
                  <c:v>28.23573843386248</c:v>
                </c:pt>
                <c:pt idx="15">
                  <c:v>28.435143366305013</c:v>
                </c:pt>
                <c:pt idx="16">
                  <c:v>28.754191258213062</c:v>
                </c:pt>
                <c:pt idx="17">
                  <c:v>29.19288210958663</c:v>
                </c:pt>
                <c:pt idx="18">
                  <c:v>29.591691974471694</c:v>
                </c:pt>
                <c:pt idx="19">
                  <c:v>29.990501839356757</c:v>
                </c:pt>
                <c:pt idx="20">
                  <c:v>30.588716636684353</c:v>
                </c:pt>
                <c:pt idx="21">
                  <c:v>31.007466994813669</c:v>
                </c:pt>
                <c:pt idx="22">
                  <c:v>31.306574393477465</c:v>
                </c:pt>
                <c:pt idx="23">
                  <c:v>31.705384258362528</c:v>
                </c:pt>
                <c:pt idx="24">
                  <c:v>31.964610670537819</c:v>
                </c:pt>
              </c:numCache>
            </c:numRef>
          </c:xVal>
          <c:yVal>
            <c:numRef>
              <c:f>'2030'!$AK$49:$AK$73</c:f>
              <c:numCache>
                <c:formatCode>General</c:formatCode>
                <c:ptCount val="25"/>
                <c:pt idx="0">
                  <c:v>-0.95739690044395609</c:v>
                </c:pt>
                <c:pt idx="1">
                  <c:v>-0.29298948905677658</c:v>
                </c:pt>
                <c:pt idx="2">
                  <c:v>-0.25264564478021995</c:v>
                </c:pt>
                <c:pt idx="3">
                  <c:v>-0.25264564478021995</c:v>
                </c:pt>
                <c:pt idx="4">
                  <c:v>-0.17195795622710669</c:v>
                </c:pt>
                <c:pt idx="5">
                  <c:v>-0.15591351986497953</c:v>
                </c:pt>
                <c:pt idx="6">
                  <c:v>9.5315183119666306E-3</c:v>
                </c:pt>
                <c:pt idx="7">
                  <c:v>0.36557785644283125</c:v>
                </c:pt>
                <c:pt idx="8">
                  <c:v>0.36557785644283125</c:v>
                </c:pt>
                <c:pt idx="9">
                  <c:v>0.89129803226173732</c:v>
                </c:pt>
                <c:pt idx="10">
                  <c:v>0.93291866206629326</c:v>
                </c:pt>
                <c:pt idx="11">
                  <c:v>2.0818901646014245</c:v>
                </c:pt>
                <c:pt idx="12">
                  <c:v>3.055270789342972</c:v>
                </c:pt>
                <c:pt idx="13">
                  <c:v>4.4139441425518946</c:v>
                </c:pt>
                <c:pt idx="14">
                  <c:v>4.4139441425518946</c:v>
                </c:pt>
                <c:pt idx="15">
                  <c:v>4.4139441425518946</c:v>
                </c:pt>
                <c:pt idx="16">
                  <c:v>4.4139441425518946</c:v>
                </c:pt>
                <c:pt idx="17">
                  <c:v>4.6914048195524209</c:v>
                </c:pt>
                <c:pt idx="18">
                  <c:v>4.8569293787347751</c:v>
                </c:pt>
                <c:pt idx="19">
                  <c:v>4.8569293787347751</c:v>
                </c:pt>
                <c:pt idx="20">
                  <c:v>4.8969725125578529</c:v>
                </c:pt>
                <c:pt idx="21">
                  <c:v>7.8278149572748985</c:v>
                </c:pt>
                <c:pt idx="22">
                  <c:v>7.8278149572748985</c:v>
                </c:pt>
                <c:pt idx="23">
                  <c:v>12.580458640516728</c:v>
                </c:pt>
                <c:pt idx="24">
                  <c:v>12.580458640516728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A8-47A1-8F19-DE8DF5A4D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248344"/>
        <c:axId val="827100512"/>
      </c:scatterChart>
      <c:valAx>
        <c:axId val="837248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100512"/>
        <c:crosses val="autoZero"/>
        <c:crossBetween val="midCat"/>
      </c:valAx>
      <c:valAx>
        <c:axId val="82710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 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248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Build up of abatement cost per tonne avoided: £/tCO2e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3937007874016"/>
          <c:y val="0.17935185185185187"/>
          <c:w val="0.72227559055118107"/>
          <c:h val="0.71324876057159525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'2030'!$AD$94:$AD$118</c:f>
              <c:numCache>
                <c:formatCode>#,##0.00_ ;[Red]\-#,##0.00\ </c:formatCode>
                <c:ptCount val="25"/>
                <c:pt idx="0">
                  <c:v>3.4103099556043799E-2</c:v>
                </c:pt>
                <c:pt idx="1">
                  <c:v>3.2294601852314218E-2</c:v>
                </c:pt>
                <c:pt idx="2">
                  <c:v>6.4589203704628437E-2</c:v>
                </c:pt>
                <c:pt idx="3">
                  <c:v>6.4589203704628437E-2</c:v>
                </c:pt>
                <c:pt idx="4">
                  <c:v>0.12917840740925687</c:v>
                </c:pt>
                <c:pt idx="5">
                  <c:v>9.884838489692524E-2</c:v>
                </c:pt>
                <c:pt idx="6">
                  <c:v>0.37990188868233693</c:v>
                </c:pt>
                <c:pt idx="7">
                  <c:v>0.78554880778633174</c:v>
                </c:pt>
                <c:pt idx="8">
                  <c:v>0.78554880778633174</c:v>
                </c:pt>
                <c:pt idx="9">
                  <c:v>1.2969362163776117</c:v>
                </c:pt>
                <c:pt idx="10">
                  <c:v>1.3528896134097934</c:v>
                </c:pt>
                <c:pt idx="11">
                  <c:v>2.4875283487172992</c:v>
                </c:pt>
                <c:pt idx="12">
                  <c:v>3.4752417406864722</c:v>
                </c:pt>
                <c:pt idx="13">
                  <c:v>4.8195823266677689</c:v>
                </c:pt>
                <c:pt idx="14">
                  <c:v>4.8195823266677689</c:v>
                </c:pt>
                <c:pt idx="15">
                  <c:v>4.8195823266677689</c:v>
                </c:pt>
                <c:pt idx="16">
                  <c:v>4.8195823266677689</c:v>
                </c:pt>
                <c:pt idx="17">
                  <c:v>5.0970430036682961</c:v>
                </c:pt>
                <c:pt idx="18">
                  <c:v>5.1542755437974757</c:v>
                </c:pt>
                <c:pt idx="19">
                  <c:v>5.1542755437974757</c:v>
                </c:pt>
                <c:pt idx="20">
                  <c:v>5.3169434639013531</c:v>
                </c:pt>
                <c:pt idx="21">
                  <c:v>8.2334531413907737</c:v>
                </c:pt>
                <c:pt idx="22">
                  <c:v>8.2334531413907737</c:v>
                </c:pt>
                <c:pt idx="23">
                  <c:v>12.986096824632602</c:v>
                </c:pt>
                <c:pt idx="24">
                  <c:v>12.986096824632602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E3-43AC-82DC-E0E0F8BF1F0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'2030'!$AE$94:$AE$118</c:f>
              <c:numCache>
                <c:formatCode>General</c:formatCode>
                <c:ptCount val="25"/>
                <c:pt idx="0">
                  <c:v>8.4999999999999989E-3</c:v>
                </c:pt>
                <c:pt idx="1">
                  <c:v>8.049242424242424E-3</c:v>
                </c:pt>
                <c:pt idx="2">
                  <c:v>1.6098484848484848E-2</c:v>
                </c:pt>
                <c:pt idx="3">
                  <c:v>1.6098484848484848E-2</c:v>
                </c:pt>
                <c:pt idx="4">
                  <c:v>3.2196969696969696E-2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E3-43AC-82DC-E0E0F8BF1F05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'2030'!$AF$94:$AF$118</c:f>
              <c:numCache>
                <c:formatCode>0.00</c:formatCode>
                <c:ptCount val="25"/>
                <c:pt idx="0">
                  <c:v>0.99999999999999978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1.6666666666666667</c:v>
                </c:pt>
                <c:pt idx="4">
                  <c:v>1.6666666666666667</c:v>
                </c:pt>
                <c:pt idx="5">
                  <c:v>0.31746031746031744</c:v>
                </c:pt>
                <c:pt idx="6">
                  <c:v>0.37037037037037035</c:v>
                </c:pt>
                <c:pt idx="7">
                  <c:v>0.20225127087872183</c:v>
                </c:pt>
                <c:pt idx="8">
                  <c:v>0.20225127087872183</c:v>
                </c:pt>
                <c:pt idx="9">
                  <c:v>0.2165840381063478</c:v>
                </c:pt>
                <c:pt idx="10">
                  <c:v>0.20225127087872183</c:v>
                </c:pt>
                <c:pt idx="11">
                  <c:v>0.2165840381063478</c:v>
                </c:pt>
                <c:pt idx="12">
                  <c:v>0.20225127087872183</c:v>
                </c:pt>
                <c:pt idx="13">
                  <c:v>0.2165840381063478</c:v>
                </c:pt>
                <c:pt idx="14">
                  <c:v>0.2165840381063478</c:v>
                </c:pt>
                <c:pt idx="15">
                  <c:v>0.2165840381063478</c:v>
                </c:pt>
                <c:pt idx="16">
                  <c:v>0.2165840381063478</c:v>
                </c:pt>
                <c:pt idx="17">
                  <c:v>0.2165840381063478</c:v>
                </c:pt>
                <c:pt idx="18">
                  <c:v>0.32487605715952173</c:v>
                </c:pt>
                <c:pt idx="19">
                  <c:v>0.32487605715952173</c:v>
                </c:pt>
                <c:pt idx="20">
                  <c:v>0.20225127087872183</c:v>
                </c:pt>
                <c:pt idx="21">
                  <c:v>0.2165840381063478</c:v>
                </c:pt>
                <c:pt idx="22">
                  <c:v>0.2165840381063478</c:v>
                </c:pt>
                <c:pt idx="23">
                  <c:v>0.2165840381063478</c:v>
                </c:pt>
                <c:pt idx="24">
                  <c:v>0.2165840381063478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E3-43AC-82DC-E0E0F8BF1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7415288"/>
        <c:axId val="1037413648"/>
      </c:barChart>
      <c:catAx>
        <c:axId val="1037415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3648"/>
        <c:crosses val="autoZero"/>
        <c:auto val="1"/>
        <c:lblAlgn val="ctr"/>
        <c:lblOffset val="100"/>
        <c:noMultiLvlLbl val="0"/>
      </c:catAx>
      <c:valAx>
        <c:axId val="10374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all-in costs £/tonne CO2 avoided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'2030'!$AB$94:$AB$118</c:f>
              <c:numCache>
                <c:formatCode>General</c:formatCode>
                <c:ptCount val="25"/>
                <c:pt idx="0">
                  <c:v>-0.95739690044395609</c:v>
                </c:pt>
                <c:pt idx="1">
                  <c:v>-0.29298948905677658</c:v>
                </c:pt>
                <c:pt idx="2">
                  <c:v>-0.25264564478021995</c:v>
                </c:pt>
                <c:pt idx="3">
                  <c:v>-0.25264564478021995</c:v>
                </c:pt>
                <c:pt idx="4">
                  <c:v>-0.17195795622710669</c:v>
                </c:pt>
                <c:pt idx="5">
                  <c:v>-0.15591351986497953</c:v>
                </c:pt>
                <c:pt idx="6">
                  <c:v>9.5315183119666306E-3</c:v>
                </c:pt>
                <c:pt idx="7">
                  <c:v>0.36557785644283125</c:v>
                </c:pt>
                <c:pt idx="8">
                  <c:v>0.36557785644283125</c:v>
                </c:pt>
                <c:pt idx="9">
                  <c:v>0.89129803226173732</c:v>
                </c:pt>
                <c:pt idx="10">
                  <c:v>0.93291866206629326</c:v>
                </c:pt>
                <c:pt idx="11">
                  <c:v>2.0818901646014245</c:v>
                </c:pt>
                <c:pt idx="12">
                  <c:v>3.055270789342972</c:v>
                </c:pt>
                <c:pt idx="13">
                  <c:v>4.4139441425518946</c:v>
                </c:pt>
                <c:pt idx="14">
                  <c:v>4.4139441425518946</c:v>
                </c:pt>
                <c:pt idx="15">
                  <c:v>4.4139441425518946</c:v>
                </c:pt>
                <c:pt idx="16">
                  <c:v>4.4139441425518946</c:v>
                </c:pt>
                <c:pt idx="17">
                  <c:v>4.6914048195524209</c:v>
                </c:pt>
                <c:pt idx="18">
                  <c:v>4.8569293787347751</c:v>
                </c:pt>
                <c:pt idx="19">
                  <c:v>4.8569293787347751</c:v>
                </c:pt>
                <c:pt idx="20">
                  <c:v>4.8969725125578529</c:v>
                </c:pt>
                <c:pt idx="21">
                  <c:v>7.8278149572748985</c:v>
                </c:pt>
                <c:pt idx="22">
                  <c:v>7.8278149572748985</c:v>
                </c:pt>
                <c:pt idx="23">
                  <c:v>12.580458640516728</c:v>
                </c:pt>
                <c:pt idx="24">
                  <c:v>12.580458640516728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D8-4CA2-957C-EA87F1573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864472"/>
        <c:axId val="840868736"/>
      </c:barChart>
      <c:catAx>
        <c:axId val="840864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8736"/>
        <c:crosses val="autoZero"/>
        <c:auto val="1"/>
        <c:lblAlgn val="ctr"/>
        <c:lblOffset val="100"/>
        <c:noMultiLvlLbl val="0"/>
      </c:catAx>
      <c:valAx>
        <c:axId val="8408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Indicative MAC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'2030'!$AJ$94:$AJ$118</c:f>
              <c:numCache>
                <c:formatCode>0</c:formatCode>
                <c:ptCount val="25"/>
                <c:pt idx="0">
                  <c:v>0.72229852411813744</c:v>
                </c:pt>
                <c:pt idx="1">
                  <c:v>2.0465124850013896</c:v>
                </c:pt>
                <c:pt idx="2">
                  <c:v>2.7688110091195268</c:v>
                </c:pt>
                <c:pt idx="3">
                  <c:v>3.2503433585316186</c:v>
                </c:pt>
                <c:pt idx="4">
                  <c:v>4.454174232061848</c:v>
                </c:pt>
                <c:pt idx="5">
                  <c:v>5.9589628239746339</c:v>
                </c:pt>
                <c:pt idx="6">
                  <c:v>7.4637514158874207</c:v>
                </c:pt>
                <c:pt idx="7">
                  <c:v>7.5841345032404437</c:v>
                </c:pt>
                <c:pt idx="8">
                  <c:v>7.7045175905934666</c:v>
                </c:pt>
                <c:pt idx="9">
                  <c:v>7.8369389866817922</c:v>
                </c:pt>
                <c:pt idx="10">
                  <c:v>7.8971305303583037</c:v>
                </c:pt>
                <c:pt idx="11">
                  <c:v>8.0716860070201868</c:v>
                </c:pt>
                <c:pt idx="12">
                  <c:v>8.2823564098879761</c:v>
                </c:pt>
                <c:pt idx="13">
                  <c:v>8.3726437254027424</c:v>
                </c:pt>
                <c:pt idx="14">
                  <c:v>8.5231225845940202</c:v>
                </c:pt>
                <c:pt idx="15">
                  <c:v>8.5833141282705316</c:v>
                </c:pt>
                <c:pt idx="16">
                  <c:v>8.6796205981529493</c:v>
                </c:pt>
                <c:pt idx="17">
                  <c:v>8.8120419942412749</c:v>
                </c:pt>
                <c:pt idx="18">
                  <c:v>8.9324250815942978</c:v>
                </c:pt>
                <c:pt idx="19">
                  <c:v>9.0528081689473208</c:v>
                </c:pt>
                <c:pt idx="20">
                  <c:v>9.2333827999768552</c:v>
                </c:pt>
                <c:pt idx="21">
                  <c:v>9.3597850416975295</c:v>
                </c:pt>
                <c:pt idx="22">
                  <c:v>9.4500723572122958</c:v>
                </c:pt>
                <c:pt idx="23">
                  <c:v>9.5704554445653187</c:v>
                </c:pt>
                <c:pt idx="24">
                  <c:v>9.6487044513447842</c:v>
                </c:pt>
              </c:numCache>
            </c:numRef>
          </c:xVal>
          <c:yVal>
            <c:numRef>
              <c:f>'2030'!$AK$94:$AK$118</c:f>
              <c:numCache>
                <c:formatCode>General</c:formatCode>
                <c:ptCount val="25"/>
                <c:pt idx="0">
                  <c:v>-0.95739690044395609</c:v>
                </c:pt>
                <c:pt idx="1">
                  <c:v>-0.29298948905677658</c:v>
                </c:pt>
                <c:pt idx="2">
                  <c:v>-0.25264564478021995</c:v>
                </c:pt>
                <c:pt idx="3">
                  <c:v>-0.25264564478021995</c:v>
                </c:pt>
                <c:pt idx="4">
                  <c:v>-0.17195795622710669</c:v>
                </c:pt>
                <c:pt idx="5">
                  <c:v>-0.15591351986497953</c:v>
                </c:pt>
                <c:pt idx="6">
                  <c:v>9.5315183119666306E-3</c:v>
                </c:pt>
                <c:pt idx="7">
                  <c:v>0.36557785644283125</c:v>
                </c:pt>
                <c:pt idx="8">
                  <c:v>0.36557785644283125</c:v>
                </c:pt>
                <c:pt idx="9">
                  <c:v>0.89129803226173732</c:v>
                </c:pt>
                <c:pt idx="10">
                  <c:v>0.93291866206629326</c:v>
                </c:pt>
                <c:pt idx="11">
                  <c:v>2.0818901646014245</c:v>
                </c:pt>
                <c:pt idx="12">
                  <c:v>3.055270789342972</c:v>
                </c:pt>
                <c:pt idx="13">
                  <c:v>4.4139441425518946</c:v>
                </c:pt>
                <c:pt idx="14">
                  <c:v>4.4139441425518946</c:v>
                </c:pt>
                <c:pt idx="15">
                  <c:v>4.4139441425518946</c:v>
                </c:pt>
                <c:pt idx="16">
                  <c:v>4.4139441425518946</c:v>
                </c:pt>
                <c:pt idx="17">
                  <c:v>4.6914048195524209</c:v>
                </c:pt>
                <c:pt idx="18">
                  <c:v>4.8569293787347751</c:v>
                </c:pt>
                <c:pt idx="19">
                  <c:v>4.8569293787347751</c:v>
                </c:pt>
                <c:pt idx="20">
                  <c:v>4.8969725125578529</c:v>
                </c:pt>
                <c:pt idx="21">
                  <c:v>7.8278149572748985</c:v>
                </c:pt>
                <c:pt idx="22">
                  <c:v>7.8278149572748985</c:v>
                </c:pt>
                <c:pt idx="23">
                  <c:v>12.580458640516728</c:v>
                </c:pt>
                <c:pt idx="24">
                  <c:v>12.580458640516728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B-45D4-A076-32D14D9A0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248344"/>
        <c:axId val="827100512"/>
      </c:scatterChart>
      <c:valAx>
        <c:axId val="837248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100512"/>
        <c:crosses val="autoZero"/>
        <c:crossBetween val="midCat"/>
      </c:valAx>
      <c:valAx>
        <c:axId val="82710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 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248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Build up of abatement cost per tonne avoided: £/tCO2e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3937007874016"/>
          <c:y val="0.17935185185185187"/>
          <c:w val="0.72227559055118107"/>
          <c:h val="0.71324876057159525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'2030'!$AD$139:$AD$163</c:f>
              <c:numCache>
                <c:formatCode>#,##0.00_ ;[Red]\-#,##0.00\ </c:formatCode>
                <c:ptCount val="25"/>
                <c:pt idx="0">
                  <c:v>3.4103099556043799E-2</c:v>
                </c:pt>
                <c:pt idx="1">
                  <c:v>3.2294601852314218E-2</c:v>
                </c:pt>
                <c:pt idx="2">
                  <c:v>6.4589203704628437E-2</c:v>
                </c:pt>
                <c:pt idx="3">
                  <c:v>6.4589203704628437E-2</c:v>
                </c:pt>
                <c:pt idx="4">
                  <c:v>0.12917840740925687</c:v>
                </c:pt>
                <c:pt idx="5">
                  <c:v>9.884838489692524E-2</c:v>
                </c:pt>
                <c:pt idx="6">
                  <c:v>0.37990188868233693</c:v>
                </c:pt>
                <c:pt idx="7">
                  <c:v>0.78554880778633174</c:v>
                </c:pt>
                <c:pt idx="8">
                  <c:v>0.78554880778633174</c:v>
                </c:pt>
                <c:pt idx="9">
                  <c:v>1.2969362163776117</c:v>
                </c:pt>
                <c:pt idx="10">
                  <c:v>1.3528896134097934</c:v>
                </c:pt>
                <c:pt idx="11">
                  <c:v>2.4875283487172992</c:v>
                </c:pt>
                <c:pt idx="12">
                  <c:v>3.4752417406864722</c:v>
                </c:pt>
                <c:pt idx="13">
                  <c:v>4.8195823266677689</c:v>
                </c:pt>
                <c:pt idx="14">
                  <c:v>4.8195823266677689</c:v>
                </c:pt>
                <c:pt idx="15">
                  <c:v>4.8195823266677689</c:v>
                </c:pt>
                <c:pt idx="16">
                  <c:v>4.8195823266677689</c:v>
                </c:pt>
                <c:pt idx="17">
                  <c:v>5.0970430036682961</c:v>
                </c:pt>
                <c:pt idx="18">
                  <c:v>5.1542755437974757</c:v>
                </c:pt>
                <c:pt idx="19">
                  <c:v>5.1542755437974757</c:v>
                </c:pt>
                <c:pt idx="20">
                  <c:v>5.3169434639013531</c:v>
                </c:pt>
                <c:pt idx="21">
                  <c:v>8.2334531413907737</c:v>
                </c:pt>
                <c:pt idx="22">
                  <c:v>8.2334531413907737</c:v>
                </c:pt>
                <c:pt idx="23">
                  <c:v>12.986096824632602</c:v>
                </c:pt>
                <c:pt idx="24">
                  <c:v>12.986096824632602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E7-4569-82E4-B0AFAC83B4A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'2030'!$AE$139:$AE$163</c:f>
              <c:numCache>
                <c:formatCode>General</c:formatCode>
                <c:ptCount val="25"/>
                <c:pt idx="0">
                  <c:v>8.4999999999999989E-3</c:v>
                </c:pt>
                <c:pt idx="1">
                  <c:v>8.049242424242424E-3</c:v>
                </c:pt>
                <c:pt idx="2">
                  <c:v>1.6098484848484848E-2</c:v>
                </c:pt>
                <c:pt idx="3">
                  <c:v>1.6098484848484848E-2</c:v>
                </c:pt>
                <c:pt idx="4">
                  <c:v>3.2196969696969696E-2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E7-4569-82E4-B0AFAC83B4A1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'2030'!$AF$139:$AF$163</c:f>
              <c:numCache>
                <c:formatCode>0.00</c:formatCode>
                <c:ptCount val="25"/>
                <c:pt idx="0">
                  <c:v>0.99999999999999978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1.6666666666666667</c:v>
                </c:pt>
                <c:pt idx="4">
                  <c:v>1.6666666666666667</c:v>
                </c:pt>
                <c:pt idx="5">
                  <c:v>0.31746031746031744</c:v>
                </c:pt>
                <c:pt idx="6">
                  <c:v>0.37037037037037035</c:v>
                </c:pt>
                <c:pt idx="7">
                  <c:v>0.20225127087872183</c:v>
                </c:pt>
                <c:pt idx="8">
                  <c:v>0.20225127087872183</c:v>
                </c:pt>
                <c:pt idx="9">
                  <c:v>0.2165840381063478</c:v>
                </c:pt>
                <c:pt idx="10">
                  <c:v>0.20225127087872183</c:v>
                </c:pt>
                <c:pt idx="11">
                  <c:v>0.2165840381063478</c:v>
                </c:pt>
                <c:pt idx="12">
                  <c:v>0.20225127087872183</c:v>
                </c:pt>
                <c:pt idx="13">
                  <c:v>0.2165840381063478</c:v>
                </c:pt>
                <c:pt idx="14">
                  <c:v>0.2165840381063478</c:v>
                </c:pt>
                <c:pt idx="15">
                  <c:v>0.2165840381063478</c:v>
                </c:pt>
                <c:pt idx="16">
                  <c:v>0.2165840381063478</c:v>
                </c:pt>
                <c:pt idx="17">
                  <c:v>0.2165840381063478</c:v>
                </c:pt>
                <c:pt idx="18">
                  <c:v>0.32487605715952173</c:v>
                </c:pt>
                <c:pt idx="19">
                  <c:v>0.32487605715952173</c:v>
                </c:pt>
                <c:pt idx="20">
                  <c:v>0.20225127087872183</c:v>
                </c:pt>
                <c:pt idx="21">
                  <c:v>0.2165840381063478</c:v>
                </c:pt>
                <c:pt idx="22">
                  <c:v>0.2165840381063478</c:v>
                </c:pt>
                <c:pt idx="23">
                  <c:v>0.2165840381063478</c:v>
                </c:pt>
                <c:pt idx="24">
                  <c:v>0.2165840381063478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E7-4569-82E4-B0AFAC83B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7415288"/>
        <c:axId val="1037413648"/>
      </c:barChart>
      <c:catAx>
        <c:axId val="1037415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3648"/>
        <c:crosses val="autoZero"/>
        <c:auto val="1"/>
        <c:lblAlgn val="ctr"/>
        <c:lblOffset val="100"/>
        <c:noMultiLvlLbl val="0"/>
      </c:catAx>
      <c:valAx>
        <c:axId val="10374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all-in costs £/tonne CO2 avoided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'2030'!$AB$139:$AB$163</c:f>
              <c:numCache>
                <c:formatCode>General</c:formatCode>
                <c:ptCount val="25"/>
                <c:pt idx="0">
                  <c:v>-0.95739690044395609</c:v>
                </c:pt>
                <c:pt idx="1">
                  <c:v>-0.29298948905677658</c:v>
                </c:pt>
                <c:pt idx="2">
                  <c:v>-0.25264564478021995</c:v>
                </c:pt>
                <c:pt idx="3">
                  <c:v>-0.25264564478021995</c:v>
                </c:pt>
                <c:pt idx="4">
                  <c:v>-0.17195795622710669</c:v>
                </c:pt>
                <c:pt idx="5">
                  <c:v>-0.15591351986497953</c:v>
                </c:pt>
                <c:pt idx="6">
                  <c:v>9.5315183119666306E-3</c:v>
                </c:pt>
                <c:pt idx="7">
                  <c:v>0.36557785644283125</c:v>
                </c:pt>
                <c:pt idx="8">
                  <c:v>0.36557785644283125</c:v>
                </c:pt>
                <c:pt idx="9">
                  <c:v>0.89129803226173732</c:v>
                </c:pt>
                <c:pt idx="10">
                  <c:v>0.93291866206629326</c:v>
                </c:pt>
                <c:pt idx="11">
                  <c:v>2.0818901646014245</c:v>
                </c:pt>
                <c:pt idx="12">
                  <c:v>3.055270789342972</c:v>
                </c:pt>
                <c:pt idx="13">
                  <c:v>4.4139441425518946</c:v>
                </c:pt>
                <c:pt idx="14">
                  <c:v>4.4139441425518946</c:v>
                </c:pt>
                <c:pt idx="15">
                  <c:v>4.4139441425518946</c:v>
                </c:pt>
                <c:pt idx="16">
                  <c:v>4.4139441425518946</c:v>
                </c:pt>
                <c:pt idx="17">
                  <c:v>4.6914048195524209</c:v>
                </c:pt>
                <c:pt idx="18">
                  <c:v>4.8569293787347751</c:v>
                </c:pt>
                <c:pt idx="19">
                  <c:v>4.8569293787347751</c:v>
                </c:pt>
                <c:pt idx="20">
                  <c:v>4.8969725125578529</c:v>
                </c:pt>
                <c:pt idx="21">
                  <c:v>7.8278149572748985</c:v>
                </c:pt>
                <c:pt idx="22">
                  <c:v>7.8278149572748985</c:v>
                </c:pt>
                <c:pt idx="23">
                  <c:v>12.580458640516728</c:v>
                </c:pt>
                <c:pt idx="24">
                  <c:v>12.580458640516728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99-464B-880D-56028AE79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864472"/>
        <c:axId val="840868736"/>
      </c:barChart>
      <c:catAx>
        <c:axId val="840864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8736"/>
        <c:crosses val="autoZero"/>
        <c:auto val="1"/>
        <c:lblAlgn val="ctr"/>
        <c:lblOffset val="100"/>
        <c:noMultiLvlLbl val="0"/>
      </c:catAx>
      <c:valAx>
        <c:axId val="8408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Indicative MAC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'2030'!$AJ$139:$AJ$163</c:f>
              <c:numCache>
                <c:formatCode>0.00</c:formatCode>
                <c:ptCount val="25"/>
                <c:pt idx="0">
                  <c:v>8.5031446540880518E-3</c:v>
                </c:pt>
                <c:pt idx="1">
                  <c:v>2.4092243186582811E-2</c:v>
                </c:pt>
                <c:pt idx="2">
                  <c:v>3.2595387840670863E-2</c:v>
                </c:pt>
                <c:pt idx="3">
                  <c:v>3.8264150943396233E-2</c:v>
                </c:pt>
                <c:pt idx="4">
                  <c:v>5.2436058700209648E-2</c:v>
                </c:pt>
                <c:pt idx="5">
                  <c:v>7.015094339622642E-2</c:v>
                </c:pt>
                <c:pt idx="6">
                  <c:v>8.7865828092243192E-2</c:v>
                </c:pt>
                <c:pt idx="7">
                  <c:v>8.928301886792453E-2</c:v>
                </c:pt>
                <c:pt idx="8">
                  <c:v>9.0700209643605867E-2</c:v>
                </c:pt>
                <c:pt idx="9">
                  <c:v>9.2259119496855349E-2</c:v>
                </c:pt>
                <c:pt idx="10">
                  <c:v>9.2967714884696018E-2</c:v>
                </c:pt>
                <c:pt idx="11">
                  <c:v>9.5022641509433958E-2</c:v>
                </c:pt>
                <c:pt idx="12">
                  <c:v>9.7502725366876306E-2</c:v>
                </c:pt>
                <c:pt idx="13">
                  <c:v>9.8565618448637315E-2</c:v>
                </c:pt>
                <c:pt idx="14">
                  <c:v>0.10033710691823899</c:v>
                </c:pt>
                <c:pt idx="15">
                  <c:v>0.10104570230607966</c:v>
                </c:pt>
                <c:pt idx="16">
                  <c:v>0.10217945492662474</c:v>
                </c:pt>
                <c:pt idx="17">
                  <c:v>0.10373836477987422</c:v>
                </c:pt>
                <c:pt idx="18">
                  <c:v>0.10515555555555556</c:v>
                </c:pt>
                <c:pt idx="19">
                  <c:v>0.1065727463312369</c:v>
                </c:pt>
                <c:pt idx="20">
                  <c:v>0.10869853249475891</c:v>
                </c:pt>
                <c:pt idx="21">
                  <c:v>0.11018658280922432</c:v>
                </c:pt>
                <c:pt idx="22">
                  <c:v>0.11124947589098533</c:v>
                </c:pt>
                <c:pt idx="23">
                  <c:v>0.11266666666666666</c:v>
                </c:pt>
                <c:pt idx="24">
                  <c:v>0.11358784067085954</c:v>
                </c:pt>
              </c:numCache>
            </c:numRef>
          </c:xVal>
          <c:yVal>
            <c:numRef>
              <c:f>'2030'!$AK$139:$AK$163</c:f>
              <c:numCache>
                <c:formatCode>General</c:formatCode>
                <c:ptCount val="25"/>
                <c:pt idx="0">
                  <c:v>-0.95739690044395609</c:v>
                </c:pt>
                <c:pt idx="1">
                  <c:v>-0.29298948905677658</c:v>
                </c:pt>
                <c:pt idx="2">
                  <c:v>-0.25264564478021995</c:v>
                </c:pt>
                <c:pt idx="3">
                  <c:v>-0.25264564478021995</c:v>
                </c:pt>
                <c:pt idx="4">
                  <c:v>-0.17195795622710669</c:v>
                </c:pt>
                <c:pt idx="5">
                  <c:v>-0.15591351986497953</c:v>
                </c:pt>
                <c:pt idx="6">
                  <c:v>9.5315183119666306E-3</c:v>
                </c:pt>
                <c:pt idx="7">
                  <c:v>0.36557785644283125</c:v>
                </c:pt>
                <c:pt idx="8">
                  <c:v>0.36557785644283125</c:v>
                </c:pt>
                <c:pt idx="9">
                  <c:v>0.89129803226173732</c:v>
                </c:pt>
                <c:pt idx="10">
                  <c:v>0.93291866206629326</c:v>
                </c:pt>
                <c:pt idx="11">
                  <c:v>2.0818901646014245</c:v>
                </c:pt>
                <c:pt idx="12">
                  <c:v>3.055270789342972</c:v>
                </c:pt>
                <c:pt idx="13">
                  <c:v>4.4139441425518946</c:v>
                </c:pt>
                <c:pt idx="14">
                  <c:v>4.4139441425518946</c:v>
                </c:pt>
                <c:pt idx="15">
                  <c:v>4.4139441425518946</c:v>
                </c:pt>
                <c:pt idx="16">
                  <c:v>4.4139441425518946</c:v>
                </c:pt>
                <c:pt idx="17">
                  <c:v>4.6914048195524209</c:v>
                </c:pt>
                <c:pt idx="18">
                  <c:v>4.8569293787347751</c:v>
                </c:pt>
                <c:pt idx="19">
                  <c:v>4.8569293787347751</c:v>
                </c:pt>
                <c:pt idx="20">
                  <c:v>4.8969725125578529</c:v>
                </c:pt>
                <c:pt idx="21">
                  <c:v>7.8278149572748985</c:v>
                </c:pt>
                <c:pt idx="22">
                  <c:v>7.8278149572748985</c:v>
                </c:pt>
                <c:pt idx="23">
                  <c:v>12.580458640516728</c:v>
                </c:pt>
                <c:pt idx="24">
                  <c:v>12.580458640516728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BE-4F2F-ADA4-51349345D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248344"/>
        <c:axId val="827100512"/>
      </c:scatterChart>
      <c:valAx>
        <c:axId val="837248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100512"/>
        <c:crosses val="autoZero"/>
        <c:crossBetween val="midCat"/>
      </c:valAx>
      <c:valAx>
        <c:axId val="82710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 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248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Build up of abatement cost per tonne avoided: £/tCO2e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3937007874016"/>
          <c:y val="0.17935185185185187"/>
          <c:w val="0.72227559055118107"/>
          <c:h val="0.71324876057159525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'2035'!$AD$4:$AD$28</c:f>
              <c:numCache>
                <c:formatCode>#,##0.00_ ;[Red]\-#,##0.00\ </c:formatCode>
                <c:ptCount val="25"/>
                <c:pt idx="0">
                  <c:v>3.0090970196509234E-2</c:v>
                </c:pt>
                <c:pt idx="1">
                  <c:v>2.8495236928512541E-2</c:v>
                </c:pt>
                <c:pt idx="2">
                  <c:v>5.6990473857025083E-2</c:v>
                </c:pt>
                <c:pt idx="3">
                  <c:v>5.6990473857025083E-2</c:v>
                </c:pt>
                <c:pt idx="4">
                  <c:v>0.11398094771405017</c:v>
                </c:pt>
                <c:pt idx="5">
                  <c:v>8.7219163144345788E-2</c:v>
                </c:pt>
                <c:pt idx="6">
                  <c:v>0.33520754883735621</c:v>
                </c:pt>
                <c:pt idx="7">
                  <c:v>0.69313130098793974</c:v>
                </c:pt>
                <c:pt idx="8">
                  <c:v>0.69313130098793974</c:v>
                </c:pt>
                <c:pt idx="9">
                  <c:v>1.1443554850390691</c:v>
                </c:pt>
                <c:pt idx="10">
                  <c:v>1.1937261294792296</c:v>
                </c:pt>
                <c:pt idx="11">
                  <c:v>2.1948779547505581</c:v>
                </c:pt>
                <c:pt idx="12">
                  <c:v>3.0663897711939456</c:v>
                </c:pt>
                <c:pt idx="13">
                  <c:v>4.2525726411774443</c:v>
                </c:pt>
                <c:pt idx="14">
                  <c:v>4.2525726411774443</c:v>
                </c:pt>
                <c:pt idx="15">
                  <c:v>4.2525726411774443</c:v>
                </c:pt>
                <c:pt idx="16">
                  <c:v>4.2525726411774443</c:v>
                </c:pt>
                <c:pt idx="17">
                  <c:v>4.4973908855896729</c:v>
                </c:pt>
                <c:pt idx="18">
                  <c:v>4.5478901857036558</c:v>
                </c:pt>
                <c:pt idx="19">
                  <c:v>4.5478901857036558</c:v>
                </c:pt>
                <c:pt idx="20">
                  <c:v>4.6914207034423701</c:v>
                </c:pt>
                <c:pt idx="21">
                  <c:v>7.2648115953448</c:v>
                </c:pt>
                <c:pt idx="22">
                  <c:v>7.2648115953448</c:v>
                </c:pt>
                <c:pt idx="23">
                  <c:v>11.458320727617002</c:v>
                </c:pt>
                <c:pt idx="24">
                  <c:v>11.458320727617002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DF-439D-97B4-6FE69235352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'2035'!$AE$4:$AE$28</c:f>
              <c:numCache>
                <c:formatCode>General</c:formatCode>
                <c:ptCount val="25"/>
                <c:pt idx="0">
                  <c:v>7.499999999999998E-3</c:v>
                </c:pt>
                <c:pt idx="1">
                  <c:v>7.102272727272727E-3</c:v>
                </c:pt>
                <c:pt idx="2">
                  <c:v>1.4204545454545454E-2</c:v>
                </c:pt>
                <c:pt idx="3">
                  <c:v>1.4204545454545454E-2</c:v>
                </c:pt>
                <c:pt idx="4">
                  <c:v>2.8409090909090908E-2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DF-439D-97B4-6FE69235352D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'2035'!$AF$4:$AF$28</c:f>
              <c:numCache>
                <c:formatCode>0.00</c:formatCode>
                <c:ptCount val="25"/>
                <c:pt idx="0">
                  <c:v>0.99999999999999978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1.6666666666666667</c:v>
                </c:pt>
                <c:pt idx="4">
                  <c:v>1.6666666666666667</c:v>
                </c:pt>
                <c:pt idx="5">
                  <c:v>0.31746031746031744</c:v>
                </c:pt>
                <c:pt idx="6">
                  <c:v>0.37037037037037035</c:v>
                </c:pt>
                <c:pt idx="7">
                  <c:v>0.20225127087872183</c:v>
                </c:pt>
                <c:pt idx="8">
                  <c:v>0.20225127087872183</c:v>
                </c:pt>
                <c:pt idx="9">
                  <c:v>0.2165840381063478</c:v>
                </c:pt>
                <c:pt idx="10">
                  <c:v>0.20225127087872183</c:v>
                </c:pt>
                <c:pt idx="11">
                  <c:v>0.2165840381063478</c:v>
                </c:pt>
                <c:pt idx="12">
                  <c:v>0.20225127087872183</c:v>
                </c:pt>
                <c:pt idx="13">
                  <c:v>0.2165840381063478</c:v>
                </c:pt>
                <c:pt idx="14">
                  <c:v>0.2165840381063478</c:v>
                </c:pt>
                <c:pt idx="15">
                  <c:v>0.2165840381063478</c:v>
                </c:pt>
                <c:pt idx="16">
                  <c:v>0.2165840381063478</c:v>
                </c:pt>
                <c:pt idx="17">
                  <c:v>0.2165840381063478</c:v>
                </c:pt>
                <c:pt idx="18">
                  <c:v>0.27073004763293473</c:v>
                </c:pt>
                <c:pt idx="19">
                  <c:v>0.27073004763293473</c:v>
                </c:pt>
                <c:pt idx="20">
                  <c:v>0.20225127087872183</c:v>
                </c:pt>
                <c:pt idx="21">
                  <c:v>0.2165840381063478</c:v>
                </c:pt>
                <c:pt idx="22">
                  <c:v>0.2165840381063478</c:v>
                </c:pt>
                <c:pt idx="23">
                  <c:v>0.2165840381063478</c:v>
                </c:pt>
                <c:pt idx="24">
                  <c:v>0.2165840381063478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DF-439D-97B4-6FE692353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7415288"/>
        <c:axId val="1037413648"/>
      </c:barChart>
      <c:catAx>
        <c:axId val="1037415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3648"/>
        <c:crosses val="autoZero"/>
        <c:auto val="1"/>
        <c:lblAlgn val="ctr"/>
        <c:lblOffset val="100"/>
        <c:noMultiLvlLbl val="0"/>
      </c:catAx>
      <c:valAx>
        <c:axId val="10374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all-in costs £/tonne CO2 avoided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'2035'!$AB$4:$AB$28</c:f>
              <c:numCache>
                <c:formatCode>General</c:formatCode>
                <c:ptCount val="25"/>
                <c:pt idx="0">
                  <c:v>-0.96240902980349063</c:v>
                </c:pt>
                <c:pt idx="1">
                  <c:v>-0.29773582367754803</c:v>
                </c:pt>
                <c:pt idx="2">
                  <c:v>-0.26213831402176263</c:v>
                </c:pt>
                <c:pt idx="3">
                  <c:v>-0.26213831402176263</c:v>
                </c:pt>
                <c:pt idx="4">
                  <c:v>-0.19094329471019209</c:v>
                </c:pt>
                <c:pt idx="5">
                  <c:v>-0.167542741617559</c:v>
                </c:pt>
                <c:pt idx="6">
                  <c:v>-3.5162821533014185E-2</c:v>
                </c:pt>
                <c:pt idx="7">
                  <c:v>0.27316034964443925</c:v>
                </c:pt>
                <c:pt idx="8">
                  <c:v>0.27316034964443925</c:v>
                </c:pt>
                <c:pt idx="9">
                  <c:v>0.73871730092319465</c:v>
                </c:pt>
                <c:pt idx="10">
                  <c:v>0.77375517813572914</c:v>
                </c:pt>
                <c:pt idx="11">
                  <c:v>1.7892397706346841</c:v>
                </c:pt>
                <c:pt idx="12">
                  <c:v>2.6464188198504455</c:v>
                </c:pt>
                <c:pt idx="13">
                  <c:v>3.8469344570615696</c:v>
                </c:pt>
                <c:pt idx="14">
                  <c:v>3.8469344570615696</c:v>
                </c:pt>
                <c:pt idx="15">
                  <c:v>3.8469344570615696</c:v>
                </c:pt>
                <c:pt idx="16">
                  <c:v>3.8469344570615696</c:v>
                </c:pt>
                <c:pt idx="17">
                  <c:v>4.0917527014737987</c:v>
                </c:pt>
                <c:pt idx="18">
                  <c:v>4.1963980111143675</c:v>
                </c:pt>
                <c:pt idx="19">
                  <c:v>4.1963980111143675</c:v>
                </c:pt>
                <c:pt idx="20">
                  <c:v>4.2714497520988699</c:v>
                </c:pt>
                <c:pt idx="21">
                  <c:v>6.8591734112289249</c:v>
                </c:pt>
                <c:pt idx="22">
                  <c:v>6.8591734112289249</c:v>
                </c:pt>
                <c:pt idx="23">
                  <c:v>11.052682543501128</c:v>
                </c:pt>
                <c:pt idx="24">
                  <c:v>11.052682543501128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6F-4CA1-ABFA-9CB93E59A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864472"/>
        <c:axId val="840868736"/>
      </c:barChart>
      <c:catAx>
        <c:axId val="840864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8736"/>
        <c:crosses val="autoZero"/>
        <c:auto val="1"/>
        <c:lblAlgn val="ctr"/>
        <c:lblOffset val="100"/>
        <c:noMultiLvlLbl val="0"/>
      </c:catAx>
      <c:valAx>
        <c:axId val="8408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Indicative MAC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'2035'!$AK$3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'2035'!$AJ$4:$AJ$28</c:f>
              <c:numCache>
                <c:formatCode>0</c:formatCode>
                <c:ptCount val="25"/>
                <c:pt idx="0">
                  <c:v>9.401093480777666</c:v>
                </c:pt>
                <c:pt idx="1">
                  <c:v>26.636431528870055</c:v>
                </c:pt>
                <c:pt idx="2">
                  <c:v>36.037525009647723</c:v>
                </c:pt>
                <c:pt idx="3">
                  <c:v>42.304920663499502</c:v>
                </c:pt>
                <c:pt idx="4">
                  <c:v>57.973409798128948</c:v>
                </c:pt>
                <c:pt idx="5">
                  <c:v>77.559021216415758</c:v>
                </c:pt>
                <c:pt idx="6">
                  <c:v>97.14463263470256</c:v>
                </c:pt>
                <c:pt idx="7">
                  <c:v>98.711481548165509</c:v>
                </c:pt>
                <c:pt idx="8">
                  <c:v>100.27833046162846</c:v>
                </c:pt>
                <c:pt idx="9">
                  <c:v>102.00186426643769</c:v>
                </c:pt>
                <c:pt idx="10">
                  <c:v>102.78528872316916</c:v>
                </c:pt>
                <c:pt idx="11">
                  <c:v>105.05721964769043</c:v>
                </c:pt>
                <c:pt idx="12">
                  <c:v>107.79920524625058</c:v>
                </c:pt>
                <c:pt idx="13">
                  <c:v>108.97434193134779</c:v>
                </c:pt>
                <c:pt idx="14">
                  <c:v>110.93290307317648</c:v>
                </c:pt>
                <c:pt idx="15">
                  <c:v>111.71632752990794</c:v>
                </c:pt>
                <c:pt idx="16">
                  <c:v>112.9698066606783</c:v>
                </c:pt>
                <c:pt idx="17">
                  <c:v>114.69334046548754</c:v>
                </c:pt>
                <c:pt idx="18">
                  <c:v>116.26018937895049</c:v>
                </c:pt>
                <c:pt idx="19">
                  <c:v>117.82703829241343</c:v>
                </c:pt>
                <c:pt idx="20">
                  <c:v>120.17731166260785</c:v>
                </c:pt>
                <c:pt idx="21">
                  <c:v>121.82250302174394</c:v>
                </c:pt>
                <c:pt idx="22">
                  <c:v>122.99763970684116</c:v>
                </c:pt>
                <c:pt idx="23">
                  <c:v>124.5644886203041</c:v>
                </c:pt>
                <c:pt idx="24">
                  <c:v>125.58294041405502</c:v>
                </c:pt>
              </c:numCache>
            </c:numRef>
          </c:xVal>
          <c:yVal>
            <c:numRef>
              <c:f>'2035'!$AK$4:$AK$28</c:f>
              <c:numCache>
                <c:formatCode>General</c:formatCode>
                <c:ptCount val="25"/>
                <c:pt idx="0">
                  <c:v>-0.96240902980349063</c:v>
                </c:pt>
                <c:pt idx="1">
                  <c:v>-0.29773582367754803</c:v>
                </c:pt>
                <c:pt idx="2">
                  <c:v>-0.26213831402176263</c:v>
                </c:pt>
                <c:pt idx="3">
                  <c:v>-0.26213831402176263</c:v>
                </c:pt>
                <c:pt idx="4">
                  <c:v>-0.19094329471019209</c:v>
                </c:pt>
                <c:pt idx="5">
                  <c:v>-0.167542741617559</c:v>
                </c:pt>
                <c:pt idx="6">
                  <c:v>-3.5162821533014185E-2</c:v>
                </c:pt>
                <c:pt idx="7">
                  <c:v>0.27316034964443925</c:v>
                </c:pt>
                <c:pt idx="8">
                  <c:v>0.27316034964443925</c:v>
                </c:pt>
                <c:pt idx="9">
                  <c:v>0.73871730092319465</c:v>
                </c:pt>
                <c:pt idx="10">
                  <c:v>0.77375517813572914</c:v>
                </c:pt>
                <c:pt idx="11">
                  <c:v>1.7892397706346841</c:v>
                </c:pt>
                <c:pt idx="12">
                  <c:v>2.6464188198504455</c:v>
                </c:pt>
                <c:pt idx="13">
                  <c:v>3.8469344570615696</c:v>
                </c:pt>
                <c:pt idx="14">
                  <c:v>3.8469344570615696</c:v>
                </c:pt>
                <c:pt idx="15">
                  <c:v>3.8469344570615696</c:v>
                </c:pt>
                <c:pt idx="16">
                  <c:v>3.8469344570615696</c:v>
                </c:pt>
                <c:pt idx="17">
                  <c:v>4.0917527014737987</c:v>
                </c:pt>
                <c:pt idx="18">
                  <c:v>4.1963980111143675</c:v>
                </c:pt>
                <c:pt idx="19">
                  <c:v>4.1963980111143675</c:v>
                </c:pt>
                <c:pt idx="20">
                  <c:v>4.2714497520988699</c:v>
                </c:pt>
                <c:pt idx="21">
                  <c:v>6.8591734112289249</c:v>
                </c:pt>
                <c:pt idx="22">
                  <c:v>6.8591734112289249</c:v>
                </c:pt>
                <c:pt idx="23">
                  <c:v>11.052682543501128</c:v>
                </c:pt>
                <c:pt idx="24">
                  <c:v>11.052682543501128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01-46AE-AE6F-22555D1A2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248344"/>
        <c:axId val="827100512"/>
      </c:scatterChart>
      <c:valAx>
        <c:axId val="837248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100512"/>
        <c:crosses val="autoZero"/>
        <c:crossBetween val="midCat"/>
      </c:valAx>
      <c:valAx>
        <c:axId val="82710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 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248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Build up of abatement cost per tonne avoided: £/tCO2e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3937007874016"/>
          <c:y val="0.17935185185185187"/>
          <c:w val="0.72227559055118107"/>
          <c:h val="0.71324876057159525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'2035'!$AD$49:$AD$73</c:f>
              <c:numCache>
                <c:formatCode>#,##0.00_ ;[Red]\-#,##0.00\ </c:formatCode>
                <c:ptCount val="25"/>
                <c:pt idx="0">
                  <c:v>3.0090970196509234E-2</c:v>
                </c:pt>
                <c:pt idx="1">
                  <c:v>2.8495236928512541E-2</c:v>
                </c:pt>
                <c:pt idx="2">
                  <c:v>5.6990473857025083E-2</c:v>
                </c:pt>
                <c:pt idx="3">
                  <c:v>5.6990473857025083E-2</c:v>
                </c:pt>
                <c:pt idx="4">
                  <c:v>0.11398094771405017</c:v>
                </c:pt>
                <c:pt idx="5">
                  <c:v>8.7219163144345788E-2</c:v>
                </c:pt>
                <c:pt idx="6">
                  <c:v>0.33520754883735621</c:v>
                </c:pt>
                <c:pt idx="7">
                  <c:v>0.69313130098793974</c:v>
                </c:pt>
                <c:pt idx="8">
                  <c:v>0.69313130098793974</c:v>
                </c:pt>
                <c:pt idx="9">
                  <c:v>1.1443554850390691</c:v>
                </c:pt>
                <c:pt idx="10">
                  <c:v>1.1937261294792296</c:v>
                </c:pt>
                <c:pt idx="11">
                  <c:v>2.1948779547505581</c:v>
                </c:pt>
                <c:pt idx="12">
                  <c:v>3.0663897711939456</c:v>
                </c:pt>
                <c:pt idx="13">
                  <c:v>4.2525726411774443</c:v>
                </c:pt>
                <c:pt idx="14">
                  <c:v>4.2525726411774443</c:v>
                </c:pt>
                <c:pt idx="15">
                  <c:v>4.2525726411774443</c:v>
                </c:pt>
                <c:pt idx="16">
                  <c:v>4.2525726411774443</c:v>
                </c:pt>
                <c:pt idx="17">
                  <c:v>4.4973908855896729</c:v>
                </c:pt>
                <c:pt idx="18">
                  <c:v>4.5478901857036558</c:v>
                </c:pt>
                <c:pt idx="19">
                  <c:v>4.5478901857036558</c:v>
                </c:pt>
                <c:pt idx="20">
                  <c:v>4.6914207034423701</c:v>
                </c:pt>
                <c:pt idx="21">
                  <c:v>7.2648115953448</c:v>
                </c:pt>
                <c:pt idx="22">
                  <c:v>7.2648115953448</c:v>
                </c:pt>
                <c:pt idx="23">
                  <c:v>11.458320727617002</c:v>
                </c:pt>
                <c:pt idx="24">
                  <c:v>11.458320727617002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5-4AD8-AA1D-46180863526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'2035'!$AE$49:$AE$73</c:f>
              <c:numCache>
                <c:formatCode>General</c:formatCode>
                <c:ptCount val="25"/>
                <c:pt idx="0">
                  <c:v>7.499999999999998E-3</c:v>
                </c:pt>
                <c:pt idx="1">
                  <c:v>7.102272727272727E-3</c:v>
                </c:pt>
                <c:pt idx="2">
                  <c:v>1.4204545454545454E-2</c:v>
                </c:pt>
                <c:pt idx="3">
                  <c:v>1.4204545454545454E-2</c:v>
                </c:pt>
                <c:pt idx="4">
                  <c:v>2.8409090909090908E-2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B5-4AD8-AA1D-461808635269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'2035'!$AF$49:$AF$73</c:f>
              <c:numCache>
                <c:formatCode>0.00</c:formatCode>
                <c:ptCount val="25"/>
                <c:pt idx="0">
                  <c:v>0.99999999999999978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1.6666666666666667</c:v>
                </c:pt>
                <c:pt idx="4">
                  <c:v>1.6666666666666667</c:v>
                </c:pt>
                <c:pt idx="5">
                  <c:v>0.31746031746031744</c:v>
                </c:pt>
                <c:pt idx="6">
                  <c:v>0.37037037037037035</c:v>
                </c:pt>
                <c:pt idx="7">
                  <c:v>0.20225127087872183</c:v>
                </c:pt>
                <c:pt idx="8">
                  <c:v>0.20225127087872183</c:v>
                </c:pt>
                <c:pt idx="9">
                  <c:v>0.2165840381063478</c:v>
                </c:pt>
                <c:pt idx="10">
                  <c:v>0.20225127087872183</c:v>
                </c:pt>
                <c:pt idx="11">
                  <c:v>0.2165840381063478</c:v>
                </c:pt>
                <c:pt idx="12">
                  <c:v>0.20225127087872183</c:v>
                </c:pt>
                <c:pt idx="13">
                  <c:v>0.2165840381063478</c:v>
                </c:pt>
                <c:pt idx="14">
                  <c:v>0.2165840381063478</c:v>
                </c:pt>
                <c:pt idx="15">
                  <c:v>0.2165840381063478</c:v>
                </c:pt>
                <c:pt idx="16">
                  <c:v>0.2165840381063478</c:v>
                </c:pt>
                <c:pt idx="17">
                  <c:v>0.2165840381063478</c:v>
                </c:pt>
                <c:pt idx="18">
                  <c:v>0.32487605715952173</c:v>
                </c:pt>
                <c:pt idx="19">
                  <c:v>0.32487605715952173</c:v>
                </c:pt>
                <c:pt idx="20">
                  <c:v>0.20225127087872183</c:v>
                </c:pt>
                <c:pt idx="21">
                  <c:v>0.2165840381063478</c:v>
                </c:pt>
                <c:pt idx="22">
                  <c:v>0.2165840381063478</c:v>
                </c:pt>
                <c:pt idx="23">
                  <c:v>0.2165840381063478</c:v>
                </c:pt>
                <c:pt idx="24">
                  <c:v>0.2165840381063478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B5-4AD8-AA1D-461808635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7415288"/>
        <c:axId val="1037413648"/>
      </c:barChart>
      <c:catAx>
        <c:axId val="1037415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3648"/>
        <c:crosses val="autoZero"/>
        <c:auto val="1"/>
        <c:lblAlgn val="ctr"/>
        <c:lblOffset val="100"/>
        <c:noMultiLvlLbl val="0"/>
      </c:catAx>
      <c:valAx>
        <c:axId val="10374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all-in costs £/tonne CO2 avoided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'2035'!$AB$49:$AB$73</c:f>
              <c:numCache>
                <c:formatCode>General</c:formatCode>
                <c:ptCount val="25"/>
                <c:pt idx="0">
                  <c:v>-0.96240902980349063</c:v>
                </c:pt>
                <c:pt idx="1">
                  <c:v>-0.29773582367754803</c:v>
                </c:pt>
                <c:pt idx="2">
                  <c:v>-0.26213831402176263</c:v>
                </c:pt>
                <c:pt idx="3">
                  <c:v>-0.26213831402176263</c:v>
                </c:pt>
                <c:pt idx="4">
                  <c:v>-0.19094329471019209</c:v>
                </c:pt>
                <c:pt idx="5">
                  <c:v>-0.167542741617559</c:v>
                </c:pt>
                <c:pt idx="6">
                  <c:v>-3.5162821533014185E-2</c:v>
                </c:pt>
                <c:pt idx="7">
                  <c:v>0.27316034964443925</c:v>
                </c:pt>
                <c:pt idx="8">
                  <c:v>0.27316034964443925</c:v>
                </c:pt>
                <c:pt idx="9">
                  <c:v>0.73871730092319465</c:v>
                </c:pt>
                <c:pt idx="10">
                  <c:v>0.77375517813572914</c:v>
                </c:pt>
                <c:pt idx="11">
                  <c:v>1.7892397706346841</c:v>
                </c:pt>
                <c:pt idx="12">
                  <c:v>2.6464188198504455</c:v>
                </c:pt>
                <c:pt idx="13">
                  <c:v>3.8469344570615696</c:v>
                </c:pt>
                <c:pt idx="14">
                  <c:v>3.8469344570615696</c:v>
                </c:pt>
                <c:pt idx="15">
                  <c:v>3.8469344570615696</c:v>
                </c:pt>
                <c:pt idx="16">
                  <c:v>3.8469344570615696</c:v>
                </c:pt>
                <c:pt idx="17">
                  <c:v>4.0917527014737987</c:v>
                </c:pt>
                <c:pt idx="18">
                  <c:v>4.2505440206409544</c:v>
                </c:pt>
                <c:pt idx="19">
                  <c:v>4.2505440206409544</c:v>
                </c:pt>
                <c:pt idx="20">
                  <c:v>4.2714497520988699</c:v>
                </c:pt>
                <c:pt idx="21">
                  <c:v>6.8591734112289249</c:v>
                </c:pt>
                <c:pt idx="22">
                  <c:v>6.8591734112289249</c:v>
                </c:pt>
                <c:pt idx="23">
                  <c:v>11.052682543501128</c:v>
                </c:pt>
                <c:pt idx="24">
                  <c:v>11.052682543501128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8D-4473-B1A6-69117B4B2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864472"/>
        <c:axId val="840868736"/>
      </c:barChart>
      <c:catAx>
        <c:axId val="840864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8736"/>
        <c:crosses val="autoZero"/>
        <c:auto val="1"/>
        <c:lblAlgn val="ctr"/>
        <c:lblOffset val="100"/>
        <c:noMultiLvlLbl val="0"/>
      </c:catAx>
      <c:valAx>
        <c:axId val="8408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Indicative MAC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'2035'!$AJ$49:$AJ$73</c:f>
              <c:numCache>
                <c:formatCode>0</c:formatCode>
                <c:ptCount val="25"/>
                <c:pt idx="0">
                  <c:v>2.6729079139746772</c:v>
                </c:pt>
                <c:pt idx="1">
                  <c:v>7.5732390895949191</c:v>
                </c:pt>
                <c:pt idx="2">
                  <c:v>10.246147003569597</c:v>
                </c:pt>
                <c:pt idx="3">
                  <c:v>12.028085612886048</c:v>
                </c:pt>
                <c:pt idx="4">
                  <c:v>16.482932136177176</c:v>
                </c:pt>
                <c:pt idx="5">
                  <c:v>22.051490290291088</c:v>
                </c:pt>
                <c:pt idx="6">
                  <c:v>27.620048444405001</c:v>
                </c:pt>
                <c:pt idx="7">
                  <c:v>28.065533096734114</c:v>
                </c:pt>
                <c:pt idx="8">
                  <c:v>28.511017749063228</c:v>
                </c:pt>
                <c:pt idx="9">
                  <c:v>29.001050866625253</c:v>
                </c:pt>
                <c:pt idx="10">
                  <c:v>29.22379319278981</c:v>
                </c:pt>
                <c:pt idx="11">
                  <c:v>29.869745938667023</c:v>
                </c:pt>
                <c:pt idx="12">
                  <c:v>30.649344080242972</c:v>
                </c:pt>
                <c:pt idx="13">
                  <c:v>30.983457569489808</c:v>
                </c:pt>
                <c:pt idx="14">
                  <c:v>31.5403133849012</c:v>
                </c:pt>
                <c:pt idx="15">
                  <c:v>31.763055711065757</c:v>
                </c:pt>
                <c:pt idx="16">
                  <c:v>32.119443432929046</c:v>
                </c:pt>
                <c:pt idx="17">
                  <c:v>32.609476550491067</c:v>
                </c:pt>
                <c:pt idx="18">
                  <c:v>33.054961202820181</c:v>
                </c:pt>
                <c:pt idx="19">
                  <c:v>33.500445855149295</c:v>
                </c:pt>
                <c:pt idx="20">
                  <c:v>34.168672833642965</c:v>
                </c:pt>
                <c:pt idx="21">
                  <c:v>34.636431718588533</c:v>
                </c:pt>
                <c:pt idx="22">
                  <c:v>34.970545207835364</c:v>
                </c:pt>
                <c:pt idx="23">
                  <c:v>35.416029860164478</c:v>
                </c:pt>
                <c:pt idx="24">
                  <c:v>35.705594884178403</c:v>
                </c:pt>
              </c:numCache>
            </c:numRef>
          </c:xVal>
          <c:yVal>
            <c:numRef>
              <c:f>'2035'!$AK$49:$AK$73</c:f>
              <c:numCache>
                <c:formatCode>General</c:formatCode>
                <c:ptCount val="25"/>
                <c:pt idx="0">
                  <c:v>-0.96240902980349063</c:v>
                </c:pt>
                <c:pt idx="1">
                  <c:v>-0.29773582367754803</c:v>
                </c:pt>
                <c:pt idx="2">
                  <c:v>-0.26213831402176263</c:v>
                </c:pt>
                <c:pt idx="3">
                  <c:v>-0.26213831402176263</c:v>
                </c:pt>
                <c:pt idx="4">
                  <c:v>-0.19094329471019209</c:v>
                </c:pt>
                <c:pt idx="5">
                  <c:v>-0.167542741617559</c:v>
                </c:pt>
                <c:pt idx="6">
                  <c:v>-3.5162821533014185E-2</c:v>
                </c:pt>
                <c:pt idx="7">
                  <c:v>0.27316034964443925</c:v>
                </c:pt>
                <c:pt idx="8">
                  <c:v>0.27316034964443925</c:v>
                </c:pt>
                <c:pt idx="9">
                  <c:v>0.73871730092319465</c:v>
                </c:pt>
                <c:pt idx="10">
                  <c:v>0.77375517813572914</c:v>
                </c:pt>
                <c:pt idx="11">
                  <c:v>1.7892397706346841</c:v>
                </c:pt>
                <c:pt idx="12">
                  <c:v>2.6464188198504455</c:v>
                </c:pt>
                <c:pt idx="13">
                  <c:v>3.8469344570615696</c:v>
                </c:pt>
                <c:pt idx="14">
                  <c:v>3.8469344570615696</c:v>
                </c:pt>
                <c:pt idx="15">
                  <c:v>3.8469344570615696</c:v>
                </c:pt>
                <c:pt idx="16">
                  <c:v>3.8469344570615696</c:v>
                </c:pt>
                <c:pt idx="17">
                  <c:v>4.0917527014737987</c:v>
                </c:pt>
                <c:pt idx="18">
                  <c:v>4.2505440206409544</c:v>
                </c:pt>
                <c:pt idx="19">
                  <c:v>4.2505440206409544</c:v>
                </c:pt>
                <c:pt idx="20">
                  <c:v>4.2714497520988699</c:v>
                </c:pt>
                <c:pt idx="21">
                  <c:v>6.8591734112289249</c:v>
                </c:pt>
                <c:pt idx="22">
                  <c:v>6.8591734112289249</c:v>
                </c:pt>
                <c:pt idx="23">
                  <c:v>11.052682543501128</c:v>
                </c:pt>
                <c:pt idx="24">
                  <c:v>11.052682543501128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53-4F7A-9F1D-BB1AD2ABD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248344"/>
        <c:axId val="827100512"/>
      </c:scatterChart>
      <c:valAx>
        <c:axId val="837248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100512"/>
        <c:crosses val="autoZero"/>
        <c:crossBetween val="midCat"/>
      </c:valAx>
      <c:valAx>
        <c:axId val="82710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 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248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Build up of abatement cost per tonne avoided: £/tCO2e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3937007874016"/>
          <c:y val="0.17935185185185187"/>
          <c:w val="0.72227559055118107"/>
          <c:h val="0.71324876057159525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'2035'!$AD$94:$AD$118</c:f>
              <c:numCache>
                <c:formatCode>#,##0.00_ ;[Red]\-#,##0.00\ </c:formatCode>
                <c:ptCount val="25"/>
                <c:pt idx="0">
                  <c:v>3.0090970196509234E-2</c:v>
                </c:pt>
                <c:pt idx="1">
                  <c:v>2.8495236928512541E-2</c:v>
                </c:pt>
                <c:pt idx="2">
                  <c:v>5.6990473857025083E-2</c:v>
                </c:pt>
                <c:pt idx="3">
                  <c:v>5.6990473857025083E-2</c:v>
                </c:pt>
                <c:pt idx="4">
                  <c:v>0.11398094771405017</c:v>
                </c:pt>
                <c:pt idx="5">
                  <c:v>8.7219163144345788E-2</c:v>
                </c:pt>
                <c:pt idx="6">
                  <c:v>0.33520754883735621</c:v>
                </c:pt>
                <c:pt idx="7">
                  <c:v>0.69313130098793974</c:v>
                </c:pt>
                <c:pt idx="8">
                  <c:v>0.69313130098793974</c:v>
                </c:pt>
                <c:pt idx="9">
                  <c:v>1.1443554850390691</c:v>
                </c:pt>
                <c:pt idx="10">
                  <c:v>1.1937261294792296</c:v>
                </c:pt>
                <c:pt idx="11">
                  <c:v>2.1948779547505581</c:v>
                </c:pt>
                <c:pt idx="12">
                  <c:v>3.0663897711939456</c:v>
                </c:pt>
                <c:pt idx="13">
                  <c:v>4.2525726411774443</c:v>
                </c:pt>
                <c:pt idx="14">
                  <c:v>4.2525726411774443</c:v>
                </c:pt>
                <c:pt idx="15">
                  <c:v>4.2525726411774443</c:v>
                </c:pt>
                <c:pt idx="16">
                  <c:v>4.2525726411774443</c:v>
                </c:pt>
                <c:pt idx="17">
                  <c:v>4.4973908855896729</c:v>
                </c:pt>
                <c:pt idx="18">
                  <c:v>4.5478901857036558</c:v>
                </c:pt>
                <c:pt idx="19">
                  <c:v>4.5478901857036558</c:v>
                </c:pt>
                <c:pt idx="20">
                  <c:v>4.6914207034423701</c:v>
                </c:pt>
                <c:pt idx="21">
                  <c:v>7.2648115953448</c:v>
                </c:pt>
                <c:pt idx="22">
                  <c:v>7.2648115953448</c:v>
                </c:pt>
                <c:pt idx="23">
                  <c:v>11.458320727617002</c:v>
                </c:pt>
                <c:pt idx="24">
                  <c:v>11.458320727617002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6E-4D41-B0D5-B95DE857579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'2035'!$AE$94:$AE$118</c:f>
              <c:numCache>
                <c:formatCode>General</c:formatCode>
                <c:ptCount val="25"/>
                <c:pt idx="0">
                  <c:v>7.499999999999998E-3</c:v>
                </c:pt>
                <c:pt idx="1">
                  <c:v>7.102272727272727E-3</c:v>
                </c:pt>
                <c:pt idx="2">
                  <c:v>1.4204545454545454E-2</c:v>
                </c:pt>
                <c:pt idx="3">
                  <c:v>1.4204545454545454E-2</c:v>
                </c:pt>
                <c:pt idx="4">
                  <c:v>2.8409090909090908E-2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6E-4D41-B0D5-B95DE8575794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'2035'!$AF$94:$AF$118</c:f>
              <c:numCache>
                <c:formatCode>0.00</c:formatCode>
                <c:ptCount val="25"/>
                <c:pt idx="0">
                  <c:v>0.99999999999999978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1.6666666666666667</c:v>
                </c:pt>
                <c:pt idx="4">
                  <c:v>1.6666666666666667</c:v>
                </c:pt>
                <c:pt idx="5">
                  <c:v>0.31746031746031744</c:v>
                </c:pt>
                <c:pt idx="6">
                  <c:v>0.37037037037037035</c:v>
                </c:pt>
                <c:pt idx="7">
                  <c:v>0.20225127087872183</c:v>
                </c:pt>
                <c:pt idx="8">
                  <c:v>0.20225127087872183</c:v>
                </c:pt>
                <c:pt idx="9">
                  <c:v>0.2165840381063478</c:v>
                </c:pt>
                <c:pt idx="10">
                  <c:v>0.20225127087872183</c:v>
                </c:pt>
                <c:pt idx="11">
                  <c:v>0.2165840381063478</c:v>
                </c:pt>
                <c:pt idx="12">
                  <c:v>0.20225127087872183</c:v>
                </c:pt>
                <c:pt idx="13">
                  <c:v>0.2165840381063478</c:v>
                </c:pt>
                <c:pt idx="14">
                  <c:v>0.2165840381063478</c:v>
                </c:pt>
                <c:pt idx="15">
                  <c:v>0.2165840381063478</c:v>
                </c:pt>
                <c:pt idx="16">
                  <c:v>0.2165840381063478</c:v>
                </c:pt>
                <c:pt idx="17">
                  <c:v>0.2165840381063478</c:v>
                </c:pt>
                <c:pt idx="18">
                  <c:v>0.32487605715952173</c:v>
                </c:pt>
                <c:pt idx="19">
                  <c:v>0.32487605715952173</c:v>
                </c:pt>
                <c:pt idx="20">
                  <c:v>0.20225127087872183</c:v>
                </c:pt>
                <c:pt idx="21">
                  <c:v>0.2165840381063478</c:v>
                </c:pt>
                <c:pt idx="22">
                  <c:v>0.2165840381063478</c:v>
                </c:pt>
                <c:pt idx="23">
                  <c:v>0.2165840381063478</c:v>
                </c:pt>
                <c:pt idx="24">
                  <c:v>0.2165840381063478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6E-4D41-B0D5-B95DE8575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7415288"/>
        <c:axId val="1037413648"/>
      </c:barChart>
      <c:catAx>
        <c:axId val="1037415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3648"/>
        <c:crosses val="autoZero"/>
        <c:auto val="1"/>
        <c:lblAlgn val="ctr"/>
        <c:lblOffset val="100"/>
        <c:noMultiLvlLbl val="0"/>
      </c:catAx>
      <c:valAx>
        <c:axId val="10374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all-in costs £/tonne CO2 avoided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'2035'!$AB$94:$AB$118</c:f>
              <c:numCache>
                <c:formatCode>General</c:formatCode>
                <c:ptCount val="25"/>
                <c:pt idx="0">
                  <c:v>-0.96240902980349063</c:v>
                </c:pt>
                <c:pt idx="1">
                  <c:v>-0.29773582367754803</c:v>
                </c:pt>
                <c:pt idx="2">
                  <c:v>-0.26213831402176263</c:v>
                </c:pt>
                <c:pt idx="3">
                  <c:v>-0.26213831402176263</c:v>
                </c:pt>
                <c:pt idx="4">
                  <c:v>-0.19094329471019209</c:v>
                </c:pt>
                <c:pt idx="5">
                  <c:v>-0.167542741617559</c:v>
                </c:pt>
                <c:pt idx="6">
                  <c:v>-3.5162821533014185E-2</c:v>
                </c:pt>
                <c:pt idx="7">
                  <c:v>0.27316034964443925</c:v>
                </c:pt>
                <c:pt idx="8">
                  <c:v>0.27316034964443925</c:v>
                </c:pt>
                <c:pt idx="9">
                  <c:v>0.73871730092319465</c:v>
                </c:pt>
                <c:pt idx="10">
                  <c:v>0.77375517813572914</c:v>
                </c:pt>
                <c:pt idx="11">
                  <c:v>1.7892397706346841</c:v>
                </c:pt>
                <c:pt idx="12">
                  <c:v>2.6464188198504455</c:v>
                </c:pt>
                <c:pt idx="13">
                  <c:v>3.8469344570615696</c:v>
                </c:pt>
                <c:pt idx="14">
                  <c:v>3.8469344570615696</c:v>
                </c:pt>
                <c:pt idx="15">
                  <c:v>3.8469344570615696</c:v>
                </c:pt>
                <c:pt idx="16">
                  <c:v>3.8469344570615696</c:v>
                </c:pt>
                <c:pt idx="17">
                  <c:v>4.0917527014737987</c:v>
                </c:pt>
                <c:pt idx="18">
                  <c:v>4.2505440206409544</c:v>
                </c:pt>
                <c:pt idx="19">
                  <c:v>4.2505440206409544</c:v>
                </c:pt>
                <c:pt idx="20">
                  <c:v>4.2714497520988699</c:v>
                </c:pt>
                <c:pt idx="21">
                  <c:v>6.8591734112289249</c:v>
                </c:pt>
                <c:pt idx="22">
                  <c:v>6.8591734112289249</c:v>
                </c:pt>
                <c:pt idx="23">
                  <c:v>11.052682543501128</c:v>
                </c:pt>
                <c:pt idx="24">
                  <c:v>11.052682543501128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A6-4AEF-99A7-CFBB845B2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864472"/>
        <c:axId val="840868736"/>
      </c:barChart>
      <c:catAx>
        <c:axId val="840864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8736"/>
        <c:crosses val="autoZero"/>
        <c:auto val="1"/>
        <c:lblAlgn val="ctr"/>
        <c:lblOffset val="100"/>
        <c:noMultiLvlLbl val="0"/>
      </c:catAx>
      <c:valAx>
        <c:axId val="8408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Indicative MAC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'2035'!$AJ$94:$AJ$118</c:f>
              <c:numCache>
                <c:formatCode>0</c:formatCode>
                <c:ptCount val="25"/>
                <c:pt idx="0">
                  <c:v>0.70400068671706317</c:v>
                </c:pt>
                <c:pt idx="1">
                  <c:v>1.9946686123650124</c:v>
                </c:pt>
                <c:pt idx="2">
                  <c:v>2.6986692990820753</c:v>
                </c:pt>
                <c:pt idx="3">
                  <c:v>3.1680030902267839</c:v>
                </c:pt>
                <c:pt idx="4">
                  <c:v>4.341337568088556</c:v>
                </c:pt>
                <c:pt idx="5">
                  <c:v>5.808005665415771</c:v>
                </c:pt>
                <c:pt idx="6">
                  <c:v>7.274673762742986</c:v>
                </c:pt>
                <c:pt idx="7">
                  <c:v>7.3920072105291634</c:v>
                </c:pt>
                <c:pt idx="8">
                  <c:v>7.5093406583153408</c:v>
                </c:pt>
                <c:pt idx="9">
                  <c:v>7.6384074508801358</c:v>
                </c:pt>
                <c:pt idx="10">
                  <c:v>7.6970741747732241</c:v>
                </c:pt>
                <c:pt idx="11">
                  <c:v>7.8672076740631809</c:v>
                </c:pt>
                <c:pt idx="12">
                  <c:v>8.0725412076889906</c:v>
                </c:pt>
                <c:pt idx="13">
                  <c:v>8.1605412935286239</c:v>
                </c:pt>
                <c:pt idx="14">
                  <c:v>8.3072081032613454</c:v>
                </c:pt>
                <c:pt idx="15">
                  <c:v>8.3658748271544336</c:v>
                </c:pt>
                <c:pt idx="16">
                  <c:v>8.4597415853833748</c:v>
                </c:pt>
                <c:pt idx="17">
                  <c:v>8.588808377948169</c:v>
                </c:pt>
                <c:pt idx="18">
                  <c:v>8.7061418257343455</c:v>
                </c:pt>
                <c:pt idx="19">
                  <c:v>8.823475273520522</c:v>
                </c:pt>
                <c:pt idx="20">
                  <c:v>8.9994754451997885</c:v>
                </c:pt>
                <c:pt idx="21">
                  <c:v>9.1226755653752747</c:v>
                </c:pt>
                <c:pt idx="22">
                  <c:v>9.2106756512149079</c:v>
                </c:pt>
                <c:pt idx="23">
                  <c:v>9.3280090990010844</c:v>
                </c:pt>
                <c:pt idx="24">
                  <c:v>9.4042758400621</c:v>
                </c:pt>
              </c:numCache>
            </c:numRef>
          </c:xVal>
          <c:yVal>
            <c:numRef>
              <c:f>'2035'!$AK$94:$AK$118</c:f>
              <c:numCache>
                <c:formatCode>General</c:formatCode>
                <c:ptCount val="25"/>
                <c:pt idx="0">
                  <c:v>-0.96240902980349063</c:v>
                </c:pt>
                <c:pt idx="1">
                  <c:v>-0.29773582367754803</c:v>
                </c:pt>
                <c:pt idx="2">
                  <c:v>-0.26213831402176263</c:v>
                </c:pt>
                <c:pt idx="3">
                  <c:v>-0.26213831402176263</c:v>
                </c:pt>
                <c:pt idx="4">
                  <c:v>-0.19094329471019209</c:v>
                </c:pt>
                <c:pt idx="5">
                  <c:v>-0.167542741617559</c:v>
                </c:pt>
                <c:pt idx="6">
                  <c:v>-3.5162821533014185E-2</c:v>
                </c:pt>
                <c:pt idx="7">
                  <c:v>0.27316034964443925</c:v>
                </c:pt>
                <c:pt idx="8">
                  <c:v>0.27316034964443925</c:v>
                </c:pt>
                <c:pt idx="9">
                  <c:v>0.73871730092319465</c:v>
                </c:pt>
                <c:pt idx="10">
                  <c:v>0.77375517813572914</c:v>
                </c:pt>
                <c:pt idx="11">
                  <c:v>1.7892397706346841</c:v>
                </c:pt>
                <c:pt idx="12">
                  <c:v>2.6464188198504455</c:v>
                </c:pt>
                <c:pt idx="13">
                  <c:v>3.8469344570615696</c:v>
                </c:pt>
                <c:pt idx="14">
                  <c:v>3.8469344570615696</c:v>
                </c:pt>
                <c:pt idx="15">
                  <c:v>3.8469344570615696</c:v>
                </c:pt>
                <c:pt idx="16">
                  <c:v>3.8469344570615696</c:v>
                </c:pt>
                <c:pt idx="17">
                  <c:v>4.0917527014737987</c:v>
                </c:pt>
                <c:pt idx="18">
                  <c:v>4.2505440206409544</c:v>
                </c:pt>
                <c:pt idx="19">
                  <c:v>4.2505440206409544</c:v>
                </c:pt>
                <c:pt idx="20">
                  <c:v>4.2714497520988699</c:v>
                </c:pt>
                <c:pt idx="21">
                  <c:v>6.8591734112289249</c:v>
                </c:pt>
                <c:pt idx="22">
                  <c:v>6.8591734112289249</c:v>
                </c:pt>
                <c:pt idx="23">
                  <c:v>11.052682543501128</c:v>
                </c:pt>
                <c:pt idx="24">
                  <c:v>11.052682543501128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D1-42F1-AE14-F10FCDC35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248344"/>
        <c:axId val="827100512"/>
      </c:scatterChart>
      <c:valAx>
        <c:axId val="837248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100512"/>
        <c:crosses val="autoZero"/>
        <c:crossBetween val="midCat"/>
      </c:valAx>
      <c:valAx>
        <c:axId val="82710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 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248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Build up of abatement cost per tonne avoided: £/tCO2e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3937007874016"/>
          <c:y val="0.17935185185185187"/>
          <c:w val="0.72227559055118107"/>
          <c:h val="0.71324876057159525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'2035'!$AD$139:$AD$163</c:f>
              <c:numCache>
                <c:formatCode>#,##0.00_ ;[Red]\-#,##0.00\ </c:formatCode>
                <c:ptCount val="25"/>
                <c:pt idx="0">
                  <c:v>3.0090970196509234E-2</c:v>
                </c:pt>
                <c:pt idx="1">
                  <c:v>2.8495236928512541E-2</c:v>
                </c:pt>
                <c:pt idx="2">
                  <c:v>5.6990473857025083E-2</c:v>
                </c:pt>
                <c:pt idx="3">
                  <c:v>5.6990473857025083E-2</c:v>
                </c:pt>
                <c:pt idx="4">
                  <c:v>0.11398094771405017</c:v>
                </c:pt>
                <c:pt idx="5">
                  <c:v>8.7219163144345788E-2</c:v>
                </c:pt>
                <c:pt idx="6">
                  <c:v>0.33520754883735621</c:v>
                </c:pt>
                <c:pt idx="7">
                  <c:v>0.69313130098793974</c:v>
                </c:pt>
                <c:pt idx="8">
                  <c:v>0.69313130098793974</c:v>
                </c:pt>
                <c:pt idx="9">
                  <c:v>1.1443554850390691</c:v>
                </c:pt>
                <c:pt idx="10">
                  <c:v>1.1937261294792296</c:v>
                </c:pt>
                <c:pt idx="11">
                  <c:v>2.1948779547505581</c:v>
                </c:pt>
                <c:pt idx="12">
                  <c:v>3.0663897711939456</c:v>
                </c:pt>
                <c:pt idx="13">
                  <c:v>4.2525726411774443</c:v>
                </c:pt>
                <c:pt idx="14">
                  <c:v>4.2525726411774443</c:v>
                </c:pt>
                <c:pt idx="15">
                  <c:v>4.2525726411774443</c:v>
                </c:pt>
                <c:pt idx="16">
                  <c:v>4.2525726411774443</c:v>
                </c:pt>
                <c:pt idx="17">
                  <c:v>4.4973908855896729</c:v>
                </c:pt>
                <c:pt idx="18">
                  <c:v>4.5478901857036558</c:v>
                </c:pt>
                <c:pt idx="19">
                  <c:v>4.5478901857036558</c:v>
                </c:pt>
                <c:pt idx="20">
                  <c:v>4.6914207034423701</c:v>
                </c:pt>
                <c:pt idx="21">
                  <c:v>7.2648115953448</c:v>
                </c:pt>
                <c:pt idx="22">
                  <c:v>7.2648115953448</c:v>
                </c:pt>
                <c:pt idx="23">
                  <c:v>11.458320727617002</c:v>
                </c:pt>
                <c:pt idx="24">
                  <c:v>11.458320727617002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83-46EC-A8BD-5BA600F5BBF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'2035'!$AE$139:$AE$163</c:f>
              <c:numCache>
                <c:formatCode>General</c:formatCode>
                <c:ptCount val="25"/>
                <c:pt idx="0">
                  <c:v>7.499999999999998E-3</c:v>
                </c:pt>
                <c:pt idx="1">
                  <c:v>7.102272727272727E-3</c:v>
                </c:pt>
                <c:pt idx="2">
                  <c:v>1.4204545454545454E-2</c:v>
                </c:pt>
                <c:pt idx="3">
                  <c:v>1.4204545454545454E-2</c:v>
                </c:pt>
                <c:pt idx="4">
                  <c:v>2.8409090909090908E-2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83-46EC-A8BD-5BA600F5BBFD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'2035'!$AF$139:$AF$163</c:f>
              <c:numCache>
                <c:formatCode>0.00</c:formatCode>
                <c:ptCount val="25"/>
                <c:pt idx="0">
                  <c:v>0.99999999999999978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1.6666666666666667</c:v>
                </c:pt>
                <c:pt idx="4">
                  <c:v>1.6666666666666667</c:v>
                </c:pt>
                <c:pt idx="5">
                  <c:v>0.31746031746031744</c:v>
                </c:pt>
                <c:pt idx="6">
                  <c:v>0.37037037037037035</c:v>
                </c:pt>
                <c:pt idx="7">
                  <c:v>0.20225127087872183</c:v>
                </c:pt>
                <c:pt idx="8">
                  <c:v>0.20225127087872183</c:v>
                </c:pt>
                <c:pt idx="9">
                  <c:v>0.2165840381063478</c:v>
                </c:pt>
                <c:pt idx="10">
                  <c:v>0.20225127087872183</c:v>
                </c:pt>
                <c:pt idx="11">
                  <c:v>0.2165840381063478</c:v>
                </c:pt>
                <c:pt idx="12">
                  <c:v>0.20225127087872183</c:v>
                </c:pt>
                <c:pt idx="13">
                  <c:v>0.2165840381063478</c:v>
                </c:pt>
                <c:pt idx="14">
                  <c:v>0.2165840381063478</c:v>
                </c:pt>
                <c:pt idx="15">
                  <c:v>0.2165840381063478</c:v>
                </c:pt>
                <c:pt idx="16">
                  <c:v>0.2165840381063478</c:v>
                </c:pt>
                <c:pt idx="17">
                  <c:v>0.2165840381063478</c:v>
                </c:pt>
                <c:pt idx="18">
                  <c:v>0.32487605715952173</c:v>
                </c:pt>
                <c:pt idx="19">
                  <c:v>0.32487605715952173</c:v>
                </c:pt>
                <c:pt idx="20">
                  <c:v>0.20225127087872183</c:v>
                </c:pt>
                <c:pt idx="21">
                  <c:v>0.2165840381063478</c:v>
                </c:pt>
                <c:pt idx="22">
                  <c:v>0.2165840381063478</c:v>
                </c:pt>
                <c:pt idx="23">
                  <c:v>0.2165840381063478</c:v>
                </c:pt>
                <c:pt idx="24">
                  <c:v>0.2165840381063478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83-46EC-A8BD-5BA600F5B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7415288"/>
        <c:axId val="1037413648"/>
      </c:barChart>
      <c:catAx>
        <c:axId val="1037415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3648"/>
        <c:crosses val="autoZero"/>
        <c:auto val="1"/>
        <c:lblAlgn val="ctr"/>
        <c:lblOffset val="100"/>
        <c:noMultiLvlLbl val="0"/>
      </c:catAx>
      <c:valAx>
        <c:axId val="10374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all-in costs £/tonne CO2 avoided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'2035'!$AB$139:$AB$163</c:f>
              <c:numCache>
                <c:formatCode>General</c:formatCode>
                <c:ptCount val="25"/>
                <c:pt idx="0">
                  <c:v>-0.96240902980349063</c:v>
                </c:pt>
                <c:pt idx="1">
                  <c:v>-0.29773582367754803</c:v>
                </c:pt>
                <c:pt idx="2">
                  <c:v>-0.26213831402176263</c:v>
                </c:pt>
                <c:pt idx="3">
                  <c:v>-0.26213831402176263</c:v>
                </c:pt>
                <c:pt idx="4">
                  <c:v>-0.19094329471019209</c:v>
                </c:pt>
                <c:pt idx="5">
                  <c:v>-0.167542741617559</c:v>
                </c:pt>
                <c:pt idx="6">
                  <c:v>-3.5162821533014185E-2</c:v>
                </c:pt>
                <c:pt idx="7">
                  <c:v>0.27316034964443925</c:v>
                </c:pt>
                <c:pt idx="8">
                  <c:v>0.27316034964443925</c:v>
                </c:pt>
                <c:pt idx="9">
                  <c:v>0.73871730092319465</c:v>
                </c:pt>
                <c:pt idx="10">
                  <c:v>0.77375517813572914</c:v>
                </c:pt>
                <c:pt idx="11">
                  <c:v>1.7892397706346841</c:v>
                </c:pt>
                <c:pt idx="12">
                  <c:v>2.6464188198504455</c:v>
                </c:pt>
                <c:pt idx="13">
                  <c:v>3.8469344570615696</c:v>
                </c:pt>
                <c:pt idx="14">
                  <c:v>3.8469344570615696</c:v>
                </c:pt>
                <c:pt idx="15">
                  <c:v>3.8469344570615696</c:v>
                </c:pt>
                <c:pt idx="16">
                  <c:v>3.8469344570615696</c:v>
                </c:pt>
                <c:pt idx="17">
                  <c:v>4.0917527014737987</c:v>
                </c:pt>
                <c:pt idx="18">
                  <c:v>4.2505440206409544</c:v>
                </c:pt>
                <c:pt idx="19">
                  <c:v>4.2505440206409544</c:v>
                </c:pt>
                <c:pt idx="20">
                  <c:v>4.2714497520988699</c:v>
                </c:pt>
                <c:pt idx="21">
                  <c:v>6.8591734112289249</c:v>
                </c:pt>
                <c:pt idx="22">
                  <c:v>6.8591734112289249</c:v>
                </c:pt>
                <c:pt idx="23">
                  <c:v>11.052682543501128</c:v>
                </c:pt>
                <c:pt idx="24">
                  <c:v>11.052682543501128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FC-4EE4-A81F-F890C07D8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864472"/>
        <c:axId val="840868736"/>
      </c:barChart>
      <c:catAx>
        <c:axId val="840864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8736"/>
        <c:crosses val="autoZero"/>
        <c:auto val="1"/>
        <c:lblAlgn val="ctr"/>
        <c:lblOffset val="100"/>
        <c:noMultiLvlLbl val="0"/>
      </c:catAx>
      <c:valAx>
        <c:axId val="8408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Indicative MAC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'2035'!$AJ$139:$AJ$163</c:f>
              <c:numCache>
                <c:formatCode>0</c:formatCode>
                <c:ptCount val="25"/>
                <c:pt idx="0">
                  <c:v>1.0490566037735849E-2</c:v>
                </c:pt>
                <c:pt idx="1">
                  <c:v>2.9723270440251571E-2</c:v>
                </c:pt>
                <c:pt idx="2">
                  <c:v>4.0213836477987416E-2</c:v>
                </c:pt>
                <c:pt idx="3">
                  <c:v>4.7207547169811313E-2</c:v>
                </c:pt>
                <c:pt idx="4">
                  <c:v>6.4691823899371059E-2</c:v>
                </c:pt>
                <c:pt idx="5">
                  <c:v>8.654716981132074E-2</c:v>
                </c:pt>
                <c:pt idx="6">
                  <c:v>0.10840251572327042</c:v>
                </c:pt>
                <c:pt idx="7">
                  <c:v>0.1101509433962264</c:v>
                </c:pt>
                <c:pt idx="8">
                  <c:v>0.11189937106918238</c:v>
                </c:pt>
                <c:pt idx="9">
                  <c:v>0.11382264150943396</c:v>
                </c:pt>
                <c:pt idx="10">
                  <c:v>0.11469685534591194</c:v>
                </c:pt>
                <c:pt idx="11">
                  <c:v>0.1172320754716981</c:v>
                </c:pt>
                <c:pt idx="12">
                  <c:v>0.12029182389937106</c:v>
                </c:pt>
                <c:pt idx="13">
                  <c:v>0.12160314465408803</c:v>
                </c:pt>
                <c:pt idx="14">
                  <c:v>0.123788679245283</c:v>
                </c:pt>
                <c:pt idx="15">
                  <c:v>0.12466289308176098</c:v>
                </c:pt>
                <c:pt idx="16">
                  <c:v>0.12606163522012576</c:v>
                </c:pt>
                <c:pt idx="17">
                  <c:v>0.12798490566037732</c:v>
                </c:pt>
                <c:pt idx="18">
                  <c:v>0.12973333333333328</c:v>
                </c:pt>
                <c:pt idx="19">
                  <c:v>0.13148176100628925</c:v>
                </c:pt>
                <c:pt idx="20">
                  <c:v>0.1341044025157232</c:v>
                </c:pt>
                <c:pt idx="21">
                  <c:v>0.13594025157232698</c:v>
                </c:pt>
                <c:pt idx="22">
                  <c:v>0.13725157232704396</c:v>
                </c:pt>
                <c:pt idx="23">
                  <c:v>0.13899999999999993</c:v>
                </c:pt>
                <c:pt idx="24">
                  <c:v>0.14013647798742132</c:v>
                </c:pt>
              </c:numCache>
            </c:numRef>
          </c:xVal>
          <c:yVal>
            <c:numRef>
              <c:f>'2035'!$AK$139:$AK$163</c:f>
              <c:numCache>
                <c:formatCode>General</c:formatCode>
                <c:ptCount val="25"/>
                <c:pt idx="0">
                  <c:v>-0.96240902980349063</c:v>
                </c:pt>
                <c:pt idx="1">
                  <c:v>-0.29773582367754803</c:v>
                </c:pt>
                <c:pt idx="2">
                  <c:v>-0.26213831402176263</c:v>
                </c:pt>
                <c:pt idx="3">
                  <c:v>-0.26213831402176263</c:v>
                </c:pt>
                <c:pt idx="4">
                  <c:v>-0.19094329471019209</c:v>
                </c:pt>
                <c:pt idx="5">
                  <c:v>-0.167542741617559</c:v>
                </c:pt>
                <c:pt idx="6">
                  <c:v>-3.5162821533014185E-2</c:v>
                </c:pt>
                <c:pt idx="7">
                  <c:v>0.27316034964443925</c:v>
                </c:pt>
                <c:pt idx="8">
                  <c:v>0.27316034964443925</c:v>
                </c:pt>
                <c:pt idx="9">
                  <c:v>0.73871730092319465</c:v>
                </c:pt>
                <c:pt idx="10">
                  <c:v>0.77375517813572914</c:v>
                </c:pt>
                <c:pt idx="11">
                  <c:v>1.7892397706346841</c:v>
                </c:pt>
                <c:pt idx="12">
                  <c:v>2.6464188198504455</c:v>
                </c:pt>
                <c:pt idx="13">
                  <c:v>3.8469344570615696</c:v>
                </c:pt>
                <c:pt idx="14">
                  <c:v>3.8469344570615696</c:v>
                </c:pt>
                <c:pt idx="15">
                  <c:v>3.8469344570615696</c:v>
                </c:pt>
                <c:pt idx="16">
                  <c:v>3.8469344570615696</c:v>
                </c:pt>
                <c:pt idx="17">
                  <c:v>4.0917527014737987</c:v>
                </c:pt>
                <c:pt idx="18">
                  <c:v>4.2505440206409544</c:v>
                </c:pt>
                <c:pt idx="19">
                  <c:v>4.2505440206409544</c:v>
                </c:pt>
                <c:pt idx="20">
                  <c:v>4.2714497520988699</c:v>
                </c:pt>
                <c:pt idx="21">
                  <c:v>6.8591734112289249</c:v>
                </c:pt>
                <c:pt idx="22">
                  <c:v>6.8591734112289249</c:v>
                </c:pt>
                <c:pt idx="23">
                  <c:v>11.052682543501128</c:v>
                </c:pt>
                <c:pt idx="24">
                  <c:v>11.052682543501128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D5-4593-B0FA-A3B5A1C5F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248344"/>
        <c:axId val="827100512"/>
      </c:scatterChart>
      <c:valAx>
        <c:axId val="837248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100512"/>
        <c:crosses val="autoZero"/>
        <c:crossBetween val="midCat"/>
      </c:valAx>
      <c:valAx>
        <c:axId val="82710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 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248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Build up of abatement cost per tonne avoided: £/tCO2e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3937007874016"/>
          <c:y val="0.17935185185185187"/>
          <c:w val="0.72227559055118107"/>
          <c:h val="0.713248760571595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'2040'!$AD$3</c:f>
              <c:strCache>
                <c:ptCount val="1"/>
                <c:pt idx="0">
                  <c:v>cap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'2040'!$AD$4:$AD$28</c:f>
              <c:numCache>
                <c:formatCode>#,##0.00_ ;[Red]\-#,##0.00\ </c:formatCode>
                <c:ptCount val="25"/>
                <c:pt idx="0">
                  <c:v>2.4072776157207394E-2</c:v>
                </c:pt>
                <c:pt idx="1">
                  <c:v>2.2796189542810031E-2</c:v>
                </c:pt>
                <c:pt idx="2">
                  <c:v>4.5592379085620062E-2</c:v>
                </c:pt>
                <c:pt idx="3">
                  <c:v>4.5592379085620062E-2</c:v>
                </c:pt>
                <c:pt idx="4">
                  <c:v>9.1184758171240124E-2</c:v>
                </c:pt>
                <c:pt idx="5">
                  <c:v>6.9775330515476644E-2</c:v>
                </c:pt>
                <c:pt idx="6">
                  <c:v>0.2681660390698849</c:v>
                </c:pt>
                <c:pt idx="7">
                  <c:v>0.55450504079035179</c:v>
                </c:pt>
                <c:pt idx="8">
                  <c:v>0.55450504079035179</c:v>
                </c:pt>
                <c:pt idx="9">
                  <c:v>0.9154843880312552</c:v>
                </c:pt>
                <c:pt idx="10">
                  <c:v>0.9549809035833835</c:v>
                </c:pt>
                <c:pt idx="11">
                  <c:v>1.7559023638004463</c:v>
                </c:pt>
                <c:pt idx="12">
                  <c:v>2.4531118169551562</c:v>
                </c:pt>
                <c:pt idx="13">
                  <c:v>3.4020581129419551</c:v>
                </c:pt>
                <c:pt idx="14">
                  <c:v>3.4020581129419551</c:v>
                </c:pt>
                <c:pt idx="15">
                  <c:v>3.4020581129419551</c:v>
                </c:pt>
                <c:pt idx="16">
                  <c:v>3.4020581129419551</c:v>
                </c:pt>
                <c:pt idx="17">
                  <c:v>3.5979127084717382</c:v>
                </c:pt>
                <c:pt idx="18">
                  <c:v>3.6383121485629237</c:v>
                </c:pt>
                <c:pt idx="19">
                  <c:v>3.6383121485629237</c:v>
                </c:pt>
                <c:pt idx="20">
                  <c:v>3.7531365627538964</c:v>
                </c:pt>
                <c:pt idx="21">
                  <c:v>5.81184927627584</c:v>
                </c:pt>
                <c:pt idx="22">
                  <c:v>5.81184927627584</c:v>
                </c:pt>
                <c:pt idx="23">
                  <c:v>9.1666565820935997</c:v>
                </c:pt>
                <c:pt idx="24">
                  <c:v>9.1666565820935997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71-4F5E-A23F-259E48DC4B92}"/>
            </c:ext>
          </c:extLst>
        </c:ser>
        <c:ser>
          <c:idx val="1"/>
          <c:order val="1"/>
          <c:tx>
            <c:strRef>
              <c:f>'2040'!$AE$3</c:f>
              <c:strCache>
                <c:ptCount val="1"/>
                <c:pt idx="0">
                  <c:v>opex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'2040'!$AE$4:$AE$28</c:f>
              <c:numCache>
                <c:formatCode>General</c:formatCode>
                <c:ptCount val="25"/>
                <c:pt idx="0">
                  <c:v>5.9999999999999993E-3</c:v>
                </c:pt>
                <c:pt idx="1">
                  <c:v>5.681818181818182E-3</c:v>
                </c:pt>
                <c:pt idx="2">
                  <c:v>1.1363636363636364E-2</c:v>
                </c:pt>
                <c:pt idx="3">
                  <c:v>1.1363636363636364E-2</c:v>
                </c:pt>
                <c:pt idx="4">
                  <c:v>2.2727272727272728E-2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71-4F5E-A23F-259E48DC4B92}"/>
            </c:ext>
          </c:extLst>
        </c:ser>
        <c:ser>
          <c:idx val="2"/>
          <c:order val="2"/>
          <c:tx>
            <c:strRef>
              <c:f>'2040'!$AF$3</c:f>
              <c:strCache>
                <c:ptCount val="1"/>
                <c:pt idx="0">
                  <c:v>energy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'2040'!$AF$4:$AF$28</c:f>
              <c:numCache>
                <c:formatCode>0.00</c:formatCode>
                <c:ptCount val="25"/>
                <c:pt idx="0">
                  <c:v>0.99999999999999978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1.6666666666666667</c:v>
                </c:pt>
                <c:pt idx="4">
                  <c:v>1.6666666666666667</c:v>
                </c:pt>
                <c:pt idx="5">
                  <c:v>0.31746031746031744</c:v>
                </c:pt>
                <c:pt idx="6">
                  <c:v>0.37037037037037035</c:v>
                </c:pt>
                <c:pt idx="7">
                  <c:v>0.20225127087872183</c:v>
                </c:pt>
                <c:pt idx="8">
                  <c:v>0.20225127087872183</c:v>
                </c:pt>
                <c:pt idx="9">
                  <c:v>0.2165840381063478</c:v>
                </c:pt>
                <c:pt idx="10">
                  <c:v>0.20225127087872183</c:v>
                </c:pt>
                <c:pt idx="11">
                  <c:v>0.2165840381063478</c:v>
                </c:pt>
                <c:pt idx="12">
                  <c:v>0.20225127087872183</c:v>
                </c:pt>
                <c:pt idx="13">
                  <c:v>0.2165840381063478</c:v>
                </c:pt>
                <c:pt idx="14">
                  <c:v>0.2165840381063478</c:v>
                </c:pt>
                <c:pt idx="15">
                  <c:v>0.2165840381063478</c:v>
                </c:pt>
                <c:pt idx="16">
                  <c:v>0.2165840381063478</c:v>
                </c:pt>
                <c:pt idx="17">
                  <c:v>0.2165840381063478</c:v>
                </c:pt>
                <c:pt idx="18">
                  <c:v>0.27073004763293473</c:v>
                </c:pt>
                <c:pt idx="19">
                  <c:v>0.27073004763293473</c:v>
                </c:pt>
                <c:pt idx="20">
                  <c:v>0.20225127087872183</c:v>
                </c:pt>
                <c:pt idx="21">
                  <c:v>0.2165840381063478</c:v>
                </c:pt>
                <c:pt idx="22">
                  <c:v>0.2165840381063478</c:v>
                </c:pt>
                <c:pt idx="23">
                  <c:v>0.2165840381063478</c:v>
                </c:pt>
                <c:pt idx="24">
                  <c:v>0.2165840381063478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71-4F5E-A23F-259E48DC4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7415288"/>
        <c:axId val="1037413648"/>
      </c:barChart>
      <c:catAx>
        <c:axId val="1037415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3648"/>
        <c:crosses val="autoZero"/>
        <c:auto val="1"/>
        <c:lblAlgn val="ctr"/>
        <c:lblOffset val="100"/>
        <c:noMultiLvlLbl val="0"/>
      </c:catAx>
      <c:valAx>
        <c:axId val="10374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all-in costs £/tonne CO2 avoided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'2040'!$AB$4:$AB$28</c:f>
              <c:numCache>
                <c:formatCode>General</c:formatCode>
                <c:ptCount val="25"/>
                <c:pt idx="0">
                  <c:v>-0.9699272238427924</c:v>
                </c:pt>
                <c:pt idx="1">
                  <c:v>-0.30485532560870487</c:v>
                </c:pt>
                <c:pt idx="2">
                  <c:v>-0.27637731788407677</c:v>
                </c:pt>
                <c:pt idx="3">
                  <c:v>-0.27637731788407677</c:v>
                </c:pt>
                <c:pt idx="4">
                  <c:v>-0.21942130243482039</c:v>
                </c:pt>
                <c:pt idx="5">
                  <c:v>-0.18498657424642811</c:v>
                </c:pt>
                <c:pt idx="6">
                  <c:v>-0.1022043313004854</c:v>
                </c:pt>
                <c:pt idx="7">
                  <c:v>0.13453408944685141</c:v>
                </c:pt>
                <c:pt idx="8">
                  <c:v>0.13453408944685141</c:v>
                </c:pt>
                <c:pt idx="9">
                  <c:v>0.50984620391538082</c:v>
                </c:pt>
                <c:pt idx="10">
                  <c:v>0.53500995223988312</c:v>
                </c:pt>
                <c:pt idx="11">
                  <c:v>1.350264179684572</c:v>
                </c:pt>
                <c:pt idx="12">
                  <c:v>2.0331408656116561</c:v>
                </c:pt>
                <c:pt idx="13">
                  <c:v>2.9964199288260804</c:v>
                </c:pt>
                <c:pt idx="14">
                  <c:v>2.9964199288260804</c:v>
                </c:pt>
                <c:pt idx="15">
                  <c:v>2.9964199288260804</c:v>
                </c:pt>
                <c:pt idx="16">
                  <c:v>2.9964199288260804</c:v>
                </c:pt>
                <c:pt idx="17">
                  <c:v>3.1922745243558639</c:v>
                </c:pt>
                <c:pt idx="18">
                  <c:v>3.2868199739736359</c:v>
                </c:pt>
                <c:pt idx="19">
                  <c:v>3.2868199739736359</c:v>
                </c:pt>
                <c:pt idx="20">
                  <c:v>3.3331656114103958</c:v>
                </c:pt>
                <c:pt idx="21">
                  <c:v>5.4062110921599649</c:v>
                </c:pt>
                <c:pt idx="22">
                  <c:v>5.4062110921599649</c:v>
                </c:pt>
                <c:pt idx="23">
                  <c:v>8.7610183979777254</c:v>
                </c:pt>
                <c:pt idx="24">
                  <c:v>8.7610183979777254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24-48FB-B637-AFE5DE028F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864472"/>
        <c:axId val="840868736"/>
      </c:barChart>
      <c:catAx>
        <c:axId val="840864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8736"/>
        <c:crosses val="autoZero"/>
        <c:auto val="1"/>
        <c:lblAlgn val="ctr"/>
        <c:lblOffset val="100"/>
        <c:noMultiLvlLbl val="0"/>
      </c:catAx>
      <c:valAx>
        <c:axId val="8408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Indicative MAC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'2040'!$AK$3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'2040'!$AJ$4:$AJ$28</c:f>
              <c:numCache>
                <c:formatCode>0</c:formatCode>
                <c:ptCount val="25"/>
                <c:pt idx="0">
                  <c:v>10.206880910688891</c:v>
                </c:pt>
                <c:pt idx="1">
                  <c:v>28.919495913618526</c:v>
                </c:pt>
                <c:pt idx="2">
                  <c:v>39.126376824307414</c:v>
                </c:pt>
                <c:pt idx="3">
                  <c:v>45.930964098100006</c:v>
                </c:pt>
                <c:pt idx="4">
                  <c:v>62.942432282581493</c:v>
                </c:pt>
                <c:pt idx="5">
                  <c:v>84.206767513183351</c:v>
                </c:pt>
                <c:pt idx="6">
                  <c:v>105.47110274378521</c:v>
                </c:pt>
                <c:pt idx="7">
                  <c:v>107.17224956223336</c:v>
                </c:pt>
                <c:pt idx="8">
                  <c:v>108.87339638068151</c:v>
                </c:pt>
                <c:pt idx="9">
                  <c:v>110.74465788097447</c:v>
                </c:pt>
                <c:pt idx="10">
                  <c:v>111.59523129019854</c:v>
                </c:pt>
                <c:pt idx="11">
                  <c:v>114.06189417694836</c:v>
                </c:pt>
                <c:pt idx="12">
                  <c:v>117.03890110923261</c:v>
                </c:pt>
                <c:pt idx="13">
                  <c:v>118.31476122306873</c:v>
                </c:pt>
                <c:pt idx="14">
                  <c:v>120.44119474612891</c:v>
                </c:pt>
                <c:pt idx="15">
                  <c:v>121.29176815535298</c:v>
                </c:pt>
                <c:pt idx="16">
                  <c:v>122.6526856101115</c:v>
                </c:pt>
                <c:pt idx="17">
                  <c:v>124.52394711040446</c:v>
                </c:pt>
                <c:pt idx="18">
                  <c:v>126.22509392885262</c:v>
                </c:pt>
                <c:pt idx="19">
                  <c:v>127.92624074730077</c:v>
                </c:pt>
                <c:pt idx="20">
                  <c:v>130.477960974973</c:v>
                </c:pt>
                <c:pt idx="21">
                  <c:v>132.26416513434356</c:v>
                </c:pt>
                <c:pt idx="22">
                  <c:v>133.54002524817966</c:v>
                </c:pt>
                <c:pt idx="23">
                  <c:v>135.2411720666278</c:v>
                </c:pt>
                <c:pt idx="24">
                  <c:v>136.34691749861909</c:v>
                </c:pt>
              </c:numCache>
            </c:numRef>
          </c:xVal>
          <c:yVal>
            <c:numRef>
              <c:f>'2040'!$AK$4:$AK$28</c:f>
              <c:numCache>
                <c:formatCode>General</c:formatCode>
                <c:ptCount val="25"/>
                <c:pt idx="0">
                  <c:v>-0.9699272238427924</c:v>
                </c:pt>
                <c:pt idx="1">
                  <c:v>-0.30485532560870487</c:v>
                </c:pt>
                <c:pt idx="2">
                  <c:v>-0.27637731788407677</c:v>
                </c:pt>
                <c:pt idx="3">
                  <c:v>-0.27637731788407677</c:v>
                </c:pt>
                <c:pt idx="4">
                  <c:v>-0.21942130243482039</c:v>
                </c:pt>
                <c:pt idx="5">
                  <c:v>-0.18498657424642811</c:v>
                </c:pt>
                <c:pt idx="6">
                  <c:v>-0.1022043313004854</c:v>
                </c:pt>
                <c:pt idx="7">
                  <c:v>0.13453408944685141</c:v>
                </c:pt>
                <c:pt idx="8">
                  <c:v>0.13453408944685141</c:v>
                </c:pt>
                <c:pt idx="9">
                  <c:v>0.50984620391538082</c:v>
                </c:pt>
                <c:pt idx="10">
                  <c:v>0.53500995223988312</c:v>
                </c:pt>
                <c:pt idx="11">
                  <c:v>1.350264179684572</c:v>
                </c:pt>
                <c:pt idx="12">
                  <c:v>2.0331408656116561</c:v>
                </c:pt>
                <c:pt idx="13">
                  <c:v>2.9964199288260804</c:v>
                </c:pt>
                <c:pt idx="14">
                  <c:v>2.9964199288260804</c:v>
                </c:pt>
                <c:pt idx="15">
                  <c:v>2.9964199288260804</c:v>
                </c:pt>
                <c:pt idx="16">
                  <c:v>2.9964199288260804</c:v>
                </c:pt>
                <c:pt idx="17">
                  <c:v>3.1922745243558639</c:v>
                </c:pt>
                <c:pt idx="18">
                  <c:v>3.2868199739736359</c:v>
                </c:pt>
                <c:pt idx="19">
                  <c:v>3.2868199739736359</c:v>
                </c:pt>
                <c:pt idx="20">
                  <c:v>3.3331656114103958</c:v>
                </c:pt>
                <c:pt idx="21">
                  <c:v>5.4062110921599649</c:v>
                </c:pt>
                <c:pt idx="22">
                  <c:v>5.4062110921599649</c:v>
                </c:pt>
                <c:pt idx="23">
                  <c:v>8.7610183979777254</c:v>
                </c:pt>
                <c:pt idx="24">
                  <c:v>8.7610183979777254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84-4003-9C58-D96846B07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248344"/>
        <c:axId val="827100512"/>
      </c:scatterChart>
      <c:valAx>
        <c:axId val="837248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100512"/>
        <c:crosses val="autoZero"/>
        <c:crossBetween val="midCat"/>
      </c:valAx>
      <c:valAx>
        <c:axId val="82710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 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248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Build up of abatement cost per tonne avoided: £/tCO2e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3937007874016"/>
          <c:y val="0.17935185185185187"/>
          <c:w val="0.72227559055118107"/>
          <c:h val="0.71324876057159525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'2040'!$AD$49:$AD$73</c:f>
              <c:numCache>
                <c:formatCode>#,##0.00_ ;[Red]\-#,##0.00\ </c:formatCode>
                <c:ptCount val="25"/>
                <c:pt idx="0">
                  <c:v>2.4072776157207394E-2</c:v>
                </c:pt>
                <c:pt idx="1">
                  <c:v>2.2796189542810031E-2</c:v>
                </c:pt>
                <c:pt idx="2">
                  <c:v>4.5592379085620062E-2</c:v>
                </c:pt>
                <c:pt idx="3">
                  <c:v>4.5592379085620062E-2</c:v>
                </c:pt>
                <c:pt idx="4">
                  <c:v>9.1184758171240124E-2</c:v>
                </c:pt>
                <c:pt idx="5">
                  <c:v>6.9775330515476644E-2</c:v>
                </c:pt>
                <c:pt idx="6">
                  <c:v>0.2681660390698849</c:v>
                </c:pt>
                <c:pt idx="7">
                  <c:v>0.55450504079035179</c:v>
                </c:pt>
                <c:pt idx="8">
                  <c:v>0.55450504079035179</c:v>
                </c:pt>
                <c:pt idx="9">
                  <c:v>0.9154843880312552</c:v>
                </c:pt>
                <c:pt idx="10">
                  <c:v>0.9549809035833835</c:v>
                </c:pt>
                <c:pt idx="11">
                  <c:v>1.7559023638004463</c:v>
                </c:pt>
                <c:pt idx="12">
                  <c:v>2.4531118169551562</c:v>
                </c:pt>
                <c:pt idx="13">
                  <c:v>3.4020581129419551</c:v>
                </c:pt>
                <c:pt idx="14">
                  <c:v>3.4020581129419551</c:v>
                </c:pt>
                <c:pt idx="15">
                  <c:v>3.4020581129419551</c:v>
                </c:pt>
                <c:pt idx="16">
                  <c:v>3.4020581129419551</c:v>
                </c:pt>
                <c:pt idx="17">
                  <c:v>3.5979127084717382</c:v>
                </c:pt>
                <c:pt idx="18">
                  <c:v>3.7531365627538964</c:v>
                </c:pt>
                <c:pt idx="19">
                  <c:v>3.6383121485629237</c:v>
                </c:pt>
                <c:pt idx="20">
                  <c:v>3.6383121485629237</c:v>
                </c:pt>
                <c:pt idx="21">
                  <c:v>5.81184927627584</c:v>
                </c:pt>
                <c:pt idx="22">
                  <c:v>5.81184927627584</c:v>
                </c:pt>
                <c:pt idx="23">
                  <c:v>9.1666565820935997</c:v>
                </c:pt>
                <c:pt idx="24">
                  <c:v>9.1666565820935997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CB-4820-A3DA-7E4920EBADA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'2040'!$AE$49:$AE$73</c:f>
              <c:numCache>
                <c:formatCode>General</c:formatCode>
                <c:ptCount val="25"/>
                <c:pt idx="0">
                  <c:v>5.9999999999999993E-3</c:v>
                </c:pt>
                <c:pt idx="1">
                  <c:v>5.681818181818182E-3</c:v>
                </c:pt>
                <c:pt idx="2">
                  <c:v>1.1363636363636364E-2</c:v>
                </c:pt>
                <c:pt idx="3">
                  <c:v>1.1363636363636364E-2</c:v>
                </c:pt>
                <c:pt idx="4">
                  <c:v>2.2727272727272728E-2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CB-4820-A3DA-7E4920EBADA2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'2040'!$AF$49:$AF$73</c:f>
              <c:numCache>
                <c:formatCode>0.00</c:formatCode>
                <c:ptCount val="25"/>
                <c:pt idx="0">
                  <c:v>0.99999999999999978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1.6666666666666667</c:v>
                </c:pt>
                <c:pt idx="4">
                  <c:v>1.6666666666666667</c:v>
                </c:pt>
                <c:pt idx="5">
                  <c:v>0.31746031746031744</c:v>
                </c:pt>
                <c:pt idx="6">
                  <c:v>0.37037037037037035</c:v>
                </c:pt>
                <c:pt idx="7">
                  <c:v>0.20225127087872183</c:v>
                </c:pt>
                <c:pt idx="8">
                  <c:v>0.20225127087872183</c:v>
                </c:pt>
                <c:pt idx="9">
                  <c:v>0.2165840381063478</c:v>
                </c:pt>
                <c:pt idx="10">
                  <c:v>0.20225127087872183</c:v>
                </c:pt>
                <c:pt idx="11">
                  <c:v>0.2165840381063478</c:v>
                </c:pt>
                <c:pt idx="12">
                  <c:v>0.20225127087872183</c:v>
                </c:pt>
                <c:pt idx="13">
                  <c:v>0.2165840381063478</c:v>
                </c:pt>
                <c:pt idx="14">
                  <c:v>0.2165840381063478</c:v>
                </c:pt>
                <c:pt idx="15">
                  <c:v>0.2165840381063478</c:v>
                </c:pt>
                <c:pt idx="16">
                  <c:v>0.2165840381063478</c:v>
                </c:pt>
                <c:pt idx="17">
                  <c:v>0.2165840381063478</c:v>
                </c:pt>
                <c:pt idx="18">
                  <c:v>0.20225127087872183</c:v>
                </c:pt>
                <c:pt idx="19">
                  <c:v>0.32487605715952173</c:v>
                </c:pt>
                <c:pt idx="20">
                  <c:v>0.32487605715952173</c:v>
                </c:pt>
                <c:pt idx="21">
                  <c:v>0.2165840381063478</c:v>
                </c:pt>
                <c:pt idx="22">
                  <c:v>0.2165840381063478</c:v>
                </c:pt>
                <c:pt idx="23">
                  <c:v>0.2165840381063478</c:v>
                </c:pt>
                <c:pt idx="24">
                  <c:v>0.2165840381063478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CB-4820-A3DA-7E4920EBA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7415288"/>
        <c:axId val="1037413648"/>
      </c:barChart>
      <c:catAx>
        <c:axId val="1037415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3648"/>
        <c:crosses val="autoZero"/>
        <c:auto val="1"/>
        <c:lblAlgn val="ctr"/>
        <c:lblOffset val="100"/>
        <c:noMultiLvlLbl val="0"/>
      </c:catAx>
      <c:valAx>
        <c:axId val="10374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all-in costs £/tonne CO2 avoided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'2040'!$AB$49:$AB$73</c:f>
              <c:numCache>
                <c:formatCode>General</c:formatCode>
                <c:ptCount val="25"/>
                <c:pt idx="0">
                  <c:v>-0.9699272238427924</c:v>
                </c:pt>
                <c:pt idx="1">
                  <c:v>-0.30485532560870487</c:v>
                </c:pt>
                <c:pt idx="2">
                  <c:v>-0.27637731788407677</c:v>
                </c:pt>
                <c:pt idx="3">
                  <c:v>-0.27637731788407677</c:v>
                </c:pt>
                <c:pt idx="4">
                  <c:v>-0.21942130243482039</c:v>
                </c:pt>
                <c:pt idx="5">
                  <c:v>-0.18498657424642811</c:v>
                </c:pt>
                <c:pt idx="6">
                  <c:v>-0.1022043313004854</c:v>
                </c:pt>
                <c:pt idx="7">
                  <c:v>0.13453408944685141</c:v>
                </c:pt>
                <c:pt idx="8">
                  <c:v>0.13453408944685141</c:v>
                </c:pt>
                <c:pt idx="9">
                  <c:v>0.50984620391538082</c:v>
                </c:pt>
                <c:pt idx="10">
                  <c:v>0.53500995223988312</c:v>
                </c:pt>
                <c:pt idx="11">
                  <c:v>1.350264179684572</c:v>
                </c:pt>
                <c:pt idx="12">
                  <c:v>2.0331408656116561</c:v>
                </c:pt>
                <c:pt idx="13">
                  <c:v>2.9964199288260804</c:v>
                </c:pt>
                <c:pt idx="14">
                  <c:v>2.9964199288260804</c:v>
                </c:pt>
                <c:pt idx="15">
                  <c:v>2.9964199288260804</c:v>
                </c:pt>
                <c:pt idx="16">
                  <c:v>2.9964199288260804</c:v>
                </c:pt>
                <c:pt idx="17">
                  <c:v>3.1922745243558639</c:v>
                </c:pt>
                <c:pt idx="18">
                  <c:v>3.3331656114103958</c:v>
                </c:pt>
                <c:pt idx="19">
                  <c:v>3.3409659835002232</c:v>
                </c:pt>
                <c:pt idx="20">
                  <c:v>3.3409659835002232</c:v>
                </c:pt>
                <c:pt idx="21">
                  <c:v>5.4062110921599649</c:v>
                </c:pt>
                <c:pt idx="22">
                  <c:v>5.4062110921599649</c:v>
                </c:pt>
                <c:pt idx="23">
                  <c:v>8.7610183979777254</c:v>
                </c:pt>
                <c:pt idx="24">
                  <c:v>8.7610183979777254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AA-4C32-9638-A891CE204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864472"/>
        <c:axId val="840868736"/>
      </c:barChart>
      <c:catAx>
        <c:axId val="840864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8736"/>
        <c:crosses val="autoZero"/>
        <c:auto val="1"/>
        <c:lblAlgn val="ctr"/>
        <c:lblOffset val="100"/>
        <c:noMultiLvlLbl val="0"/>
      </c:catAx>
      <c:valAx>
        <c:axId val="8408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Indicative MAC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'2040'!$AJ$49:$AJ$73</c:f>
              <c:numCache>
                <c:formatCode>0</c:formatCode>
                <c:ptCount val="25"/>
                <c:pt idx="0">
                  <c:v>2.7727693419193811</c:v>
                </c:pt>
                <c:pt idx="1">
                  <c:v>7.8561798021049132</c:v>
                </c:pt>
                <c:pt idx="2">
                  <c:v>10.628949144024293</c:v>
                </c:pt>
                <c:pt idx="3">
                  <c:v>12.477462038637213</c:v>
                </c:pt>
                <c:pt idx="4">
                  <c:v>17.098744275169516</c:v>
                </c:pt>
                <c:pt idx="5">
                  <c:v>22.875347070834891</c:v>
                </c:pt>
                <c:pt idx="6">
                  <c:v>28.651949866500267</c:v>
                </c:pt>
                <c:pt idx="7">
                  <c:v>29.114078090153498</c:v>
                </c:pt>
                <c:pt idx="8">
                  <c:v>29.576206313806729</c:v>
                </c:pt>
                <c:pt idx="9">
                  <c:v>30.084547359825283</c:v>
                </c:pt>
                <c:pt idx="10">
                  <c:v>30.315611471651899</c:v>
                </c:pt>
                <c:pt idx="11">
                  <c:v>30.985697395949082</c:v>
                </c:pt>
                <c:pt idx="12">
                  <c:v>31.794421787342234</c:v>
                </c:pt>
                <c:pt idx="13">
                  <c:v>32.141017955082155</c:v>
                </c:pt>
                <c:pt idx="14">
                  <c:v>32.718678234648692</c:v>
                </c:pt>
                <c:pt idx="15">
                  <c:v>32.949742346475304</c:v>
                </c:pt>
                <c:pt idx="16">
                  <c:v>33.319444925397889</c:v>
                </c:pt>
                <c:pt idx="17">
                  <c:v>33.827785971416439</c:v>
                </c:pt>
                <c:pt idx="18">
                  <c:v>34.520978306896282</c:v>
                </c:pt>
                <c:pt idx="19">
                  <c:v>34.983106530549513</c:v>
                </c:pt>
                <c:pt idx="20">
                  <c:v>35.445234754202744</c:v>
                </c:pt>
                <c:pt idx="21">
                  <c:v>35.930469389038635</c:v>
                </c:pt>
                <c:pt idx="22">
                  <c:v>36.27706555677856</c:v>
                </c:pt>
                <c:pt idx="23">
                  <c:v>36.739193780431791</c:v>
                </c:pt>
                <c:pt idx="24">
                  <c:v>37.039577125806389</c:v>
                </c:pt>
              </c:numCache>
            </c:numRef>
          </c:xVal>
          <c:yVal>
            <c:numRef>
              <c:f>'2040'!$AK$49:$AK$73</c:f>
              <c:numCache>
                <c:formatCode>General</c:formatCode>
                <c:ptCount val="25"/>
                <c:pt idx="0">
                  <c:v>-0.9699272238427924</c:v>
                </c:pt>
                <c:pt idx="1">
                  <c:v>-0.30485532560870487</c:v>
                </c:pt>
                <c:pt idx="2">
                  <c:v>-0.27637731788407677</c:v>
                </c:pt>
                <c:pt idx="3">
                  <c:v>-0.27637731788407677</c:v>
                </c:pt>
                <c:pt idx="4">
                  <c:v>-0.21942130243482039</c:v>
                </c:pt>
                <c:pt idx="5">
                  <c:v>-0.18498657424642811</c:v>
                </c:pt>
                <c:pt idx="6">
                  <c:v>-0.1022043313004854</c:v>
                </c:pt>
                <c:pt idx="7">
                  <c:v>0.13453408944685141</c:v>
                </c:pt>
                <c:pt idx="8">
                  <c:v>0.13453408944685141</c:v>
                </c:pt>
                <c:pt idx="9">
                  <c:v>0.50984620391538082</c:v>
                </c:pt>
                <c:pt idx="10">
                  <c:v>0.53500995223988312</c:v>
                </c:pt>
                <c:pt idx="11">
                  <c:v>1.350264179684572</c:v>
                </c:pt>
                <c:pt idx="12">
                  <c:v>2.0331408656116561</c:v>
                </c:pt>
                <c:pt idx="13">
                  <c:v>2.9964199288260804</c:v>
                </c:pt>
                <c:pt idx="14">
                  <c:v>2.9964199288260804</c:v>
                </c:pt>
                <c:pt idx="15">
                  <c:v>2.9964199288260804</c:v>
                </c:pt>
                <c:pt idx="16">
                  <c:v>2.9964199288260804</c:v>
                </c:pt>
                <c:pt idx="17">
                  <c:v>3.1922745243558639</c:v>
                </c:pt>
                <c:pt idx="18">
                  <c:v>3.3331656114103958</c:v>
                </c:pt>
                <c:pt idx="19">
                  <c:v>3.3409659835002232</c:v>
                </c:pt>
                <c:pt idx="20">
                  <c:v>3.3409659835002232</c:v>
                </c:pt>
                <c:pt idx="21">
                  <c:v>5.4062110921599649</c:v>
                </c:pt>
                <c:pt idx="22">
                  <c:v>5.4062110921599649</c:v>
                </c:pt>
                <c:pt idx="23">
                  <c:v>8.7610183979777254</c:v>
                </c:pt>
                <c:pt idx="24">
                  <c:v>8.7610183979777254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7-4F54-9865-A84948A0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248344"/>
        <c:axId val="827100512"/>
      </c:scatterChart>
      <c:valAx>
        <c:axId val="837248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100512"/>
        <c:crosses val="autoZero"/>
        <c:crossBetween val="midCat"/>
      </c:valAx>
      <c:valAx>
        <c:axId val="82710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 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248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Build up of abatement cost per tonne avoided: £/tCO2e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3937007874016"/>
          <c:y val="0.17935185185185187"/>
          <c:w val="0.72227559055118107"/>
          <c:h val="0.71324876057159525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'2040'!$AD$94:$AD$118</c:f>
              <c:numCache>
                <c:formatCode>#,##0.00_ ;[Red]\-#,##0.00\ </c:formatCode>
                <c:ptCount val="25"/>
                <c:pt idx="0">
                  <c:v>2.4072776157207394E-2</c:v>
                </c:pt>
                <c:pt idx="1">
                  <c:v>2.2796189542810031E-2</c:v>
                </c:pt>
                <c:pt idx="2">
                  <c:v>4.5592379085620062E-2</c:v>
                </c:pt>
                <c:pt idx="3">
                  <c:v>4.5592379085620062E-2</c:v>
                </c:pt>
                <c:pt idx="4">
                  <c:v>9.1184758171240124E-2</c:v>
                </c:pt>
                <c:pt idx="5">
                  <c:v>6.9775330515476644E-2</c:v>
                </c:pt>
                <c:pt idx="6">
                  <c:v>0.2681660390698849</c:v>
                </c:pt>
                <c:pt idx="7">
                  <c:v>0.55450504079035179</c:v>
                </c:pt>
                <c:pt idx="8">
                  <c:v>0.55450504079035179</c:v>
                </c:pt>
                <c:pt idx="9">
                  <c:v>0.9154843880312552</c:v>
                </c:pt>
                <c:pt idx="10">
                  <c:v>0.9549809035833835</c:v>
                </c:pt>
                <c:pt idx="11">
                  <c:v>1.7559023638004463</c:v>
                </c:pt>
                <c:pt idx="12">
                  <c:v>2.4531118169551562</c:v>
                </c:pt>
                <c:pt idx="13">
                  <c:v>3.4020581129419551</c:v>
                </c:pt>
                <c:pt idx="14">
                  <c:v>3.4020581129419551</c:v>
                </c:pt>
                <c:pt idx="15">
                  <c:v>3.4020581129419551</c:v>
                </c:pt>
                <c:pt idx="16">
                  <c:v>3.4020581129419551</c:v>
                </c:pt>
                <c:pt idx="17">
                  <c:v>3.5979127084717382</c:v>
                </c:pt>
                <c:pt idx="18">
                  <c:v>3.7531365627538964</c:v>
                </c:pt>
                <c:pt idx="19">
                  <c:v>3.6383121485629237</c:v>
                </c:pt>
                <c:pt idx="20">
                  <c:v>3.6383121485629237</c:v>
                </c:pt>
                <c:pt idx="21">
                  <c:v>5.81184927627584</c:v>
                </c:pt>
                <c:pt idx="22">
                  <c:v>5.81184927627584</c:v>
                </c:pt>
                <c:pt idx="23">
                  <c:v>9.1666565820935997</c:v>
                </c:pt>
                <c:pt idx="24">
                  <c:v>9.1666565820935997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19-416F-A63B-A2D860B6037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'2040'!$AE$94:$AE$118</c:f>
              <c:numCache>
                <c:formatCode>General</c:formatCode>
                <c:ptCount val="25"/>
                <c:pt idx="0">
                  <c:v>5.9999999999999993E-3</c:v>
                </c:pt>
                <c:pt idx="1">
                  <c:v>5.681818181818182E-3</c:v>
                </c:pt>
                <c:pt idx="2">
                  <c:v>1.1363636363636364E-2</c:v>
                </c:pt>
                <c:pt idx="3">
                  <c:v>1.1363636363636364E-2</c:v>
                </c:pt>
                <c:pt idx="4">
                  <c:v>2.2727272727272728E-2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19-416F-A63B-A2D860B6037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'2040'!$AF$94:$AF$118</c:f>
              <c:numCache>
                <c:formatCode>0.00</c:formatCode>
                <c:ptCount val="25"/>
                <c:pt idx="0">
                  <c:v>0.99999999999999978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1.6666666666666667</c:v>
                </c:pt>
                <c:pt idx="4">
                  <c:v>1.6666666666666667</c:v>
                </c:pt>
                <c:pt idx="5">
                  <c:v>0.31746031746031744</c:v>
                </c:pt>
                <c:pt idx="6">
                  <c:v>0.37037037037037035</c:v>
                </c:pt>
                <c:pt idx="7">
                  <c:v>0.20225127087872183</c:v>
                </c:pt>
                <c:pt idx="8">
                  <c:v>0.20225127087872183</c:v>
                </c:pt>
                <c:pt idx="9">
                  <c:v>0.2165840381063478</c:v>
                </c:pt>
                <c:pt idx="10">
                  <c:v>0.20225127087872183</c:v>
                </c:pt>
                <c:pt idx="11">
                  <c:v>0.2165840381063478</c:v>
                </c:pt>
                <c:pt idx="12">
                  <c:v>0.20225127087872183</c:v>
                </c:pt>
                <c:pt idx="13">
                  <c:v>0.2165840381063478</c:v>
                </c:pt>
                <c:pt idx="14">
                  <c:v>0.2165840381063478</c:v>
                </c:pt>
                <c:pt idx="15">
                  <c:v>0.2165840381063478</c:v>
                </c:pt>
                <c:pt idx="16">
                  <c:v>0.2165840381063478</c:v>
                </c:pt>
                <c:pt idx="17">
                  <c:v>0.2165840381063478</c:v>
                </c:pt>
                <c:pt idx="18">
                  <c:v>0.20225127087872183</c:v>
                </c:pt>
                <c:pt idx="19">
                  <c:v>0.32487605715952173</c:v>
                </c:pt>
                <c:pt idx="20">
                  <c:v>0.32487605715952173</c:v>
                </c:pt>
                <c:pt idx="21">
                  <c:v>0.2165840381063478</c:v>
                </c:pt>
                <c:pt idx="22">
                  <c:v>0.2165840381063478</c:v>
                </c:pt>
                <c:pt idx="23">
                  <c:v>0.2165840381063478</c:v>
                </c:pt>
                <c:pt idx="24">
                  <c:v>0.2165840381063478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19-416F-A63B-A2D860B60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7415288"/>
        <c:axId val="1037413648"/>
      </c:barChart>
      <c:catAx>
        <c:axId val="1037415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3648"/>
        <c:crosses val="autoZero"/>
        <c:auto val="1"/>
        <c:lblAlgn val="ctr"/>
        <c:lblOffset val="100"/>
        <c:noMultiLvlLbl val="0"/>
      </c:catAx>
      <c:valAx>
        <c:axId val="10374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all-in costs £/tonne CO2 avoided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'2040'!$AB$94:$AB$118</c:f>
              <c:numCache>
                <c:formatCode>General</c:formatCode>
                <c:ptCount val="25"/>
                <c:pt idx="0">
                  <c:v>-0.9699272238427924</c:v>
                </c:pt>
                <c:pt idx="1">
                  <c:v>-0.30485532560870487</c:v>
                </c:pt>
                <c:pt idx="2">
                  <c:v>-0.27637731788407677</c:v>
                </c:pt>
                <c:pt idx="3">
                  <c:v>-0.27637731788407677</c:v>
                </c:pt>
                <c:pt idx="4">
                  <c:v>-0.21942130243482039</c:v>
                </c:pt>
                <c:pt idx="5">
                  <c:v>-0.18498657424642811</c:v>
                </c:pt>
                <c:pt idx="6">
                  <c:v>-0.1022043313004854</c:v>
                </c:pt>
                <c:pt idx="7">
                  <c:v>0.13453408944685141</c:v>
                </c:pt>
                <c:pt idx="8">
                  <c:v>0.13453408944685141</c:v>
                </c:pt>
                <c:pt idx="9">
                  <c:v>0.50984620391538082</c:v>
                </c:pt>
                <c:pt idx="10">
                  <c:v>0.53500995223988312</c:v>
                </c:pt>
                <c:pt idx="11">
                  <c:v>1.350264179684572</c:v>
                </c:pt>
                <c:pt idx="12">
                  <c:v>2.0331408656116561</c:v>
                </c:pt>
                <c:pt idx="13">
                  <c:v>2.9964199288260804</c:v>
                </c:pt>
                <c:pt idx="14">
                  <c:v>2.9964199288260804</c:v>
                </c:pt>
                <c:pt idx="15">
                  <c:v>2.9964199288260804</c:v>
                </c:pt>
                <c:pt idx="16">
                  <c:v>2.9964199288260804</c:v>
                </c:pt>
                <c:pt idx="17">
                  <c:v>3.1922745243558639</c:v>
                </c:pt>
                <c:pt idx="18">
                  <c:v>3.3331656114103958</c:v>
                </c:pt>
                <c:pt idx="19">
                  <c:v>3.3409659835002232</c:v>
                </c:pt>
                <c:pt idx="20">
                  <c:v>3.3409659835002232</c:v>
                </c:pt>
                <c:pt idx="21">
                  <c:v>5.4062110921599649</c:v>
                </c:pt>
                <c:pt idx="22">
                  <c:v>5.4062110921599649</c:v>
                </c:pt>
                <c:pt idx="23">
                  <c:v>8.7610183979777254</c:v>
                </c:pt>
                <c:pt idx="24">
                  <c:v>8.7610183979777254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4-4C5E-9736-74CF06CF0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864472"/>
        <c:axId val="840868736"/>
      </c:barChart>
      <c:catAx>
        <c:axId val="840864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8736"/>
        <c:crosses val="autoZero"/>
        <c:auto val="1"/>
        <c:lblAlgn val="ctr"/>
        <c:lblOffset val="100"/>
        <c:noMultiLvlLbl val="0"/>
      </c:catAx>
      <c:valAx>
        <c:axId val="8408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Indicative MAC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'2040'!$AJ$94:$AJ$118</c:f>
              <c:numCache>
                <c:formatCode>0</c:formatCode>
                <c:ptCount val="25"/>
                <c:pt idx="0">
                  <c:v>0.78218846278012188</c:v>
                </c:pt>
                <c:pt idx="1">
                  <c:v>2.2162006445436786</c:v>
                </c:pt>
                <c:pt idx="2">
                  <c:v>2.9983891073238005</c:v>
                </c:pt>
                <c:pt idx="3">
                  <c:v>3.5198480825105483</c:v>
                </c:pt>
                <c:pt idx="4">
                  <c:v>4.8234955204774179</c:v>
                </c:pt>
                <c:pt idx="5">
                  <c:v>6.453054817936005</c:v>
                </c:pt>
                <c:pt idx="6">
                  <c:v>8.0826141153945912</c:v>
                </c:pt>
                <c:pt idx="7">
                  <c:v>8.2129788591912778</c:v>
                </c:pt>
                <c:pt idx="8">
                  <c:v>8.3433436029879644</c:v>
                </c:pt>
                <c:pt idx="9">
                  <c:v>8.4867448211643204</c:v>
                </c:pt>
                <c:pt idx="10">
                  <c:v>8.5519271930626637</c:v>
                </c:pt>
                <c:pt idx="11">
                  <c:v>8.7409560715678598</c:v>
                </c:pt>
                <c:pt idx="12">
                  <c:v>8.9690943732120623</c:v>
                </c:pt>
                <c:pt idx="13">
                  <c:v>9.0668679310595781</c:v>
                </c:pt>
                <c:pt idx="14">
                  <c:v>9.2298238608054373</c:v>
                </c:pt>
                <c:pt idx="15">
                  <c:v>9.2950062327037806</c:v>
                </c:pt>
                <c:pt idx="16">
                  <c:v>9.3992980277411302</c:v>
                </c:pt>
                <c:pt idx="17">
                  <c:v>9.5426992459174862</c:v>
                </c:pt>
                <c:pt idx="18">
                  <c:v>9.7382463616125161</c:v>
                </c:pt>
                <c:pt idx="19">
                  <c:v>9.8686111054092027</c:v>
                </c:pt>
                <c:pt idx="20">
                  <c:v>9.9989758492058893</c:v>
                </c:pt>
                <c:pt idx="21">
                  <c:v>10.135858830192412</c:v>
                </c:pt>
                <c:pt idx="22">
                  <c:v>10.233632388039927</c:v>
                </c:pt>
                <c:pt idx="23">
                  <c:v>10.363997131836614</c:v>
                </c:pt>
                <c:pt idx="24">
                  <c:v>10.44873421530446</c:v>
                </c:pt>
              </c:numCache>
            </c:numRef>
          </c:xVal>
          <c:yVal>
            <c:numRef>
              <c:f>'2040'!$AK$94:$AK$118</c:f>
              <c:numCache>
                <c:formatCode>General</c:formatCode>
                <c:ptCount val="25"/>
                <c:pt idx="0">
                  <c:v>-0.9699272238427924</c:v>
                </c:pt>
                <c:pt idx="1">
                  <c:v>-0.30485532560870487</c:v>
                </c:pt>
                <c:pt idx="2">
                  <c:v>-0.27637731788407677</c:v>
                </c:pt>
                <c:pt idx="3">
                  <c:v>-0.27637731788407677</c:v>
                </c:pt>
                <c:pt idx="4">
                  <c:v>-0.21942130243482039</c:v>
                </c:pt>
                <c:pt idx="5">
                  <c:v>-0.18498657424642811</c:v>
                </c:pt>
                <c:pt idx="6">
                  <c:v>-0.1022043313004854</c:v>
                </c:pt>
                <c:pt idx="7">
                  <c:v>0.13453408944685141</c:v>
                </c:pt>
                <c:pt idx="8">
                  <c:v>0.13453408944685141</c:v>
                </c:pt>
                <c:pt idx="9">
                  <c:v>0.50984620391538082</c:v>
                </c:pt>
                <c:pt idx="10">
                  <c:v>0.53500995223988312</c:v>
                </c:pt>
                <c:pt idx="11">
                  <c:v>1.350264179684572</c:v>
                </c:pt>
                <c:pt idx="12">
                  <c:v>2.0331408656116561</c:v>
                </c:pt>
                <c:pt idx="13">
                  <c:v>2.9964199288260804</c:v>
                </c:pt>
                <c:pt idx="14">
                  <c:v>2.9964199288260804</c:v>
                </c:pt>
                <c:pt idx="15">
                  <c:v>2.9964199288260804</c:v>
                </c:pt>
                <c:pt idx="16">
                  <c:v>2.9964199288260804</c:v>
                </c:pt>
                <c:pt idx="17">
                  <c:v>3.1922745243558639</c:v>
                </c:pt>
                <c:pt idx="18">
                  <c:v>3.3331656114103958</c:v>
                </c:pt>
                <c:pt idx="19">
                  <c:v>3.3409659835002232</c:v>
                </c:pt>
                <c:pt idx="20">
                  <c:v>3.3409659835002232</c:v>
                </c:pt>
                <c:pt idx="21">
                  <c:v>5.4062110921599649</c:v>
                </c:pt>
                <c:pt idx="22">
                  <c:v>5.4062110921599649</c:v>
                </c:pt>
                <c:pt idx="23">
                  <c:v>8.7610183979777254</c:v>
                </c:pt>
                <c:pt idx="24">
                  <c:v>8.7610183979777254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C3-4ED1-BAB4-BF8A39B5FC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248344"/>
        <c:axId val="827100512"/>
      </c:scatterChart>
      <c:valAx>
        <c:axId val="837248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100512"/>
        <c:crosses val="autoZero"/>
        <c:crossBetween val="midCat"/>
      </c:valAx>
      <c:valAx>
        <c:axId val="82710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 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248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Build up of abatement cost per tonne avoided: £/tCO2e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3937007874016"/>
          <c:y val="0.17935185185185187"/>
          <c:w val="0.72227559055118107"/>
          <c:h val="0.71324876057159525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'2040'!$AD$139:$AD$163</c:f>
              <c:numCache>
                <c:formatCode>#,##0.00_ ;[Red]\-#,##0.00\ </c:formatCode>
                <c:ptCount val="25"/>
                <c:pt idx="0">
                  <c:v>2.4072776157207394E-2</c:v>
                </c:pt>
                <c:pt idx="1">
                  <c:v>2.2796189542810031E-2</c:v>
                </c:pt>
                <c:pt idx="2">
                  <c:v>4.5592379085620062E-2</c:v>
                </c:pt>
                <c:pt idx="3">
                  <c:v>4.5592379085620062E-2</c:v>
                </c:pt>
                <c:pt idx="4">
                  <c:v>9.1184758171240124E-2</c:v>
                </c:pt>
                <c:pt idx="5">
                  <c:v>6.9775330515476644E-2</c:v>
                </c:pt>
                <c:pt idx="6">
                  <c:v>0.2681660390698849</c:v>
                </c:pt>
                <c:pt idx="7">
                  <c:v>0.55450504079035179</c:v>
                </c:pt>
                <c:pt idx="8">
                  <c:v>0.55450504079035179</c:v>
                </c:pt>
                <c:pt idx="9">
                  <c:v>0.9154843880312552</c:v>
                </c:pt>
                <c:pt idx="10">
                  <c:v>0.9549809035833835</c:v>
                </c:pt>
                <c:pt idx="11">
                  <c:v>1.7559023638004463</c:v>
                </c:pt>
                <c:pt idx="12">
                  <c:v>2.4531118169551562</c:v>
                </c:pt>
                <c:pt idx="13">
                  <c:v>3.4020581129419551</c:v>
                </c:pt>
                <c:pt idx="14">
                  <c:v>3.4020581129419551</c:v>
                </c:pt>
                <c:pt idx="15">
                  <c:v>3.4020581129419551</c:v>
                </c:pt>
                <c:pt idx="16">
                  <c:v>3.4020581129419551</c:v>
                </c:pt>
                <c:pt idx="17">
                  <c:v>3.5979127084717382</c:v>
                </c:pt>
                <c:pt idx="18">
                  <c:v>3.7531365627538964</c:v>
                </c:pt>
                <c:pt idx="19">
                  <c:v>3.6383121485629237</c:v>
                </c:pt>
                <c:pt idx="20">
                  <c:v>3.6383121485629237</c:v>
                </c:pt>
                <c:pt idx="21">
                  <c:v>5.81184927627584</c:v>
                </c:pt>
                <c:pt idx="22">
                  <c:v>5.81184927627584</c:v>
                </c:pt>
                <c:pt idx="23">
                  <c:v>9.1666565820935997</c:v>
                </c:pt>
                <c:pt idx="24">
                  <c:v>9.1666565820935997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96-4EB1-8BBC-1C9662ABC8D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'2040'!$AE$139:$AE$163</c:f>
              <c:numCache>
                <c:formatCode>General</c:formatCode>
                <c:ptCount val="25"/>
                <c:pt idx="0">
                  <c:v>5.9999999999999993E-3</c:v>
                </c:pt>
                <c:pt idx="1">
                  <c:v>5.681818181818182E-3</c:v>
                </c:pt>
                <c:pt idx="2">
                  <c:v>1.1363636363636364E-2</c:v>
                </c:pt>
                <c:pt idx="3">
                  <c:v>1.1363636363636364E-2</c:v>
                </c:pt>
                <c:pt idx="4">
                  <c:v>2.2727272727272728E-2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96-4EB1-8BBC-1C9662ABC8D4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'2040'!$AF$139:$AF$163</c:f>
              <c:numCache>
                <c:formatCode>0.00</c:formatCode>
                <c:ptCount val="25"/>
                <c:pt idx="0">
                  <c:v>0.99999999999999978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1.6666666666666667</c:v>
                </c:pt>
                <c:pt idx="4">
                  <c:v>1.6666666666666667</c:v>
                </c:pt>
                <c:pt idx="5">
                  <c:v>0.31746031746031744</c:v>
                </c:pt>
                <c:pt idx="6">
                  <c:v>0.37037037037037035</c:v>
                </c:pt>
                <c:pt idx="7">
                  <c:v>0.20225127087872183</c:v>
                </c:pt>
                <c:pt idx="8">
                  <c:v>0.20225127087872183</c:v>
                </c:pt>
                <c:pt idx="9">
                  <c:v>0.2165840381063478</c:v>
                </c:pt>
                <c:pt idx="10">
                  <c:v>0.20225127087872183</c:v>
                </c:pt>
                <c:pt idx="11">
                  <c:v>0.2165840381063478</c:v>
                </c:pt>
                <c:pt idx="12">
                  <c:v>0.20225127087872183</c:v>
                </c:pt>
                <c:pt idx="13">
                  <c:v>0.2165840381063478</c:v>
                </c:pt>
                <c:pt idx="14">
                  <c:v>0.2165840381063478</c:v>
                </c:pt>
                <c:pt idx="15">
                  <c:v>0.2165840381063478</c:v>
                </c:pt>
                <c:pt idx="16">
                  <c:v>0.2165840381063478</c:v>
                </c:pt>
                <c:pt idx="17">
                  <c:v>0.2165840381063478</c:v>
                </c:pt>
                <c:pt idx="18">
                  <c:v>0.20225127087872183</c:v>
                </c:pt>
                <c:pt idx="19">
                  <c:v>0.32487605715952173</c:v>
                </c:pt>
                <c:pt idx="20">
                  <c:v>0.32487605715952173</c:v>
                </c:pt>
                <c:pt idx="21">
                  <c:v>0.2165840381063478</c:v>
                </c:pt>
                <c:pt idx="22">
                  <c:v>0.2165840381063478</c:v>
                </c:pt>
                <c:pt idx="23">
                  <c:v>0.2165840381063478</c:v>
                </c:pt>
                <c:pt idx="24">
                  <c:v>0.2165840381063478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96-4EB1-8BBC-1C9662ABC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7415288"/>
        <c:axId val="1037413648"/>
      </c:barChart>
      <c:catAx>
        <c:axId val="1037415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3648"/>
        <c:crosses val="autoZero"/>
        <c:auto val="1"/>
        <c:lblAlgn val="ctr"/>
        <c:lblOffset val="100"/>
        <c:noMultiLvlLbl val="0"/>
      </c:catAx>
      <c:valAx>
        <c:axId val="10374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41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all-in costs £/tonne CO2 avoided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'2040'!$AB$139:$AB$163</c:f>
              <c:numCache>
                <c:formatCode>General</c:formatCode>
                <c:ptCount val="25"/>
                <c:pt idx="0">
                  <c:v>-0.9699272238427924</c:v>
                </c:pt>
                <c:pt idx="1">
                  <c:v>-0.30485532560870487</c:v>
                </c:pt>
                <c:pt idx="2">
                  <c:v>-0.27637731788407677</c:v>
                </c:pt>
                <c:pt idx="3">
                  <c:v>-0.27637731788407677</c:v>
                </c:pt>
                <c:pt idx="4">
                  <c:v>-0.21942130243482039</c:v>
                </c:pt>
                <c:pt idx="5">
                  <c:v>-0.18498657424642811</c:v>
                </c:pt>
                <c:pt idx="6">
                  <c:v>-0.1022043313004854</c:v>
                </c:pt>
                <c:pt idx="7">
                  <c:v>0.13453408944685141</c:v>
                </c:pt>
                <c:pt idx="8">
                  <c:v>0.13453408944685141</c:v>
                </c:pt>
                <c:pt idx="9">
                  <c:v>0.50984620391538082</c:v>
                </c:pt>
                <c:pt idx="10">
                  <c:v>0.53500995223988312</c:v>
                </c:pt>
                <c:pt idx="11">
                  <c:v>1.350264179684572</c:v>
                </c:pt>
                <c:pt idx="12">
                  <c:v>2.0331408656116561</c:v>
                </c:pt>
                <c:pt idx="13">
                  <c:v>2.9964199288260804</c:v>
                </c:pt>
                <c:pt idx="14">
                  <c:v>2.9964199288260804</c:v>
                </c:pt>
                <c:pt idx="15">
                  <c:v>2.9964199288260804</c:v>
                </c:pt>
                <c:pt idx="16">
                  <c:v>2.9964199288260804</c:v>
                </c:pt>
                <c:pt idx="17">
                  <c:v>3.1922745243558639</c:v>
                </c:pt>
                <c:pt idx="18">
                  <c:v>3.3331656114103958</c:v>
                </c:pt>
                <c:pt idx="19">
                  <c:v>3.3409659835002232</c:v>
                </c:pt>
                <c:pt idx="20">
                  <c:v>3.3409659835002232</c:v>
                </c:pt>
                <c:pt idx="21">
                  <c:v>5.4062110921599649</c:v>
                </c:pt>
                <c:pt idx="22">
                  <c:v>5.4062110921599649</c:v>
                </c:pt>
                <c:pt idx="23">
                  <c:v>8.7610183979777254</c:v>
                </c:pt>
                <c:pt idx="24">
                  <c:v>8.7610183979777254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76-4D38-9E82-D6A3DD672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864472"/>
        <c:axId val="840868736"/>
      </c:barChart>
      <c:catAx>
        <c:axId val="840864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8736"/>
        <c:crosses val="autoZero"/>
        <c:auto val="1"/>
        <c:lblAlgn val="ctr"/>
        <c:lblOffset val="100"/>
        <c:noMultiLvlLbl val="0"/>
      </c:catAx>
      <c:valAx>
        <c:axId val="8408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86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Indicative MAC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'2040'!$AJ$139:$AJ$163</c:f>
              <c:numCache>
                <c:formatCode>0</c:formatCode>
                <c:ptCount val="25"/>
                <c:pt idx="0">
                  <c:v>1.4088050314465408E-2</c:v>
                </c:pt>
                <c:pt idx="1">
                  <c:v>3.9916142557651989E-2</c:v>
                </c:pt>
                <c:pt idx="2">
                  <c:v>5.4004192872117399E-2</c:v>
                </c:pt>
                <c:pt idx="3">
                  <c:v>6.3396226415094334E-2</c:v>
                </c:pt>
                <c:pt idx="4">
                  <c:v>8.6876310272536672E-2</c:v>
                </c:pt>
                <c:pt idx="5">
                  <c:v>0.11622641509433961</c:v>
                </c:pt>
                <c:pt idx="6">
                  <c:v>0.14557651991614254</c:v>
                </c:pt>
                <c:pt idx="7">
                  <c:v>0.14792452830188677</c:v>
                </c:pt>
                <c:pt idx="8">
                  <c:v>0.15027253668763099</c:v>
                </c:pt>
                <c:pt idx="9">
                  <c:v>0.15285534591194966</c:v>
                </c:pt>
                <c:pt idx="10">
                  <c:v>0.15402935010482177</c:v>
                </c:pt>
                <c:pt idx="11">
                  <c:v>0.15743396226415091</c:v>
                </c:pt>
                <c:pt idx="12">
                  <c:v>0.16154297693920333</c:v>
                </c:pt>
                <c:pt idx="13">
                  <c:v>0.1633039832285115</c:v>
                </c:pt>
                <c:pt idx="14">
                  <c:v>0.16623899371069178</c:v>
                </c:pt>
                <c:pt idx="15">
                  <c:v>0.1674129979035639</c:v>
                </c:pt>
                <c:pt idx="16">
                  <c:v>0.16929140461215927</c:v>
                </c:pt>
                <c:pt idx="17">
                  <c:v>0.17187421383647794</c:v>
                </c:pt>
                <c:pt idx="18">
                  <c:v>0.17539622641509428</c:v>
                </c:pt>
                <c:pt idx="19">
                  <c:v>0.17774423480083851</c:v>
                </c:pt>
                <c:pt idx="20">
                  <c:v>0.18009224318658273</c:v>
                </c:pt>
                <c:pt idx="21">
                  <c:v>0.18255765199161417</c:v>
                </c:pt>
                <c:pt idx="22">
                  <c:v>0.18431865828092234</c:v>
                </c:pt>
                <c:pt idx="23">
                  <c:v>0.18666666666666656</c:v>
                </c:pt>
                <c:pt idx="24">
                  <c:v>0.18819287211740032</c:v>
                </c:pt>
              </c:numCache>
            </c:numRef>
          </c:xVal>
          <c:yVal>
            <c:numRef>
              <c:f>'2040'!$AK$139:$AK$163</c:f>
              <c:numCache>
                <c:formatCode>General</c:formatCode>
                <c:ptCount val="25"/>
                <c:pt idx="0">
                  <c:v>-0.9699272238427924</c:v>
                </c:pt>
                <c:pt idx="1">
                  <c:v>-0.30485532560870487</c:v>
                </c:pt>
                <c:pt idx="2">
                  <c:v>-0.27637731788407677</c:v>
                </c:pt>
                <c:pt idx="3">
                  <c:v>-0.27637731788407677</c:v>
                </c:pt>
                <c:pt idx="4">
                  <c:v>-0.21942130243482039</c:v>
                </c:pt>
                <c:pt idx="5">
                  <c:v>-0.18498657424642811</c:v>
                </c:pt>
                <c:pt idx="6">
                  <c:v>-0.1022043313004854</c:v>
                </c:pt>
                <c:pt idx="7">
                  <c:v>0.13453408944685141</c:v>
                </c:pt>
                <c:pt idx="8">
                  <c:v>0.13453408944685141</c:v>
                </c:pt>
                <c:pt idx="9">
                  <c:v>0.50984620391538082</c:v>
                </c:pt>
                <c:pt idx="10">
                  <c:v>0.53500995223988312</c:v>
                </c:pt>
                <c:pt idx="11">
                  <c:v>1.350264179684572</c:v>
                </c:pt>
                <c:pt idx="12">
                  <c:v>2.0331408656116561</c:v>
                </c:pt>
                <c:pt idx="13">
                  <c:v>2.9964199288260804</c:v>
                </c:pt>
                <c:pt idx="14">
                  <c:v>2.9964199288260804</c:v>
                </c:pt>
                <c:pt idx="15">
                  <c:v>2.9964199288260804</c:v>
                </c:pt>
                <c:pt idx="16">
                  <c:v>2.9964199288260804</c:v>
                </c:pt>
                <c:pt idx="17">
                  <c:v>3.1922745243558639</c:v>
                </c:pt>
                <c:pt idx="18">
                  <c:v>3.3331656114103958</c:v>
                </c:pt>
                <c:pt idx="19">
                  <c:v>3.3409659835002232</c:v>
                </c:pt>
                <c:pt idx="20">
                  <c:v>3.3409659835002232</c:v>
                </c:pt>
                <c:pt idx="21">
                  <c:v>5.4062110921599649</c:v>
                </c:pt>
                <c:pt idx="22">
                  <c:v>5.4062110921599649</c:v>
                </c:pt>
                <c:pt idx="23">
                  <c:v>8.7610183979777254</c:v>
                </c:pt>
                <c:pt idx="24">
                  <c:v>8.7610183979777254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47-4D8F-8602-212C208B4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248344"/>
        <c:axId val="827100512"/>
      </c:scatterChart>
      <c:valAx>
        <c:axId val="837248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100512"/>
        <c:crosses val="autoZero"/>
        <c:crossBetween val="midCat"/>
      </c:valAx>
      <c:valAx>
        <c:axId val="82710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 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248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Large airport's MACC evolution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58255733252114"/>
          <c:y val="0.16708333333333336"/>
          <c:w val="0.80151129174801139"/>
          <c:h val="0.70696741032370958"/>
        </c:manualLayout>
      </c:layout>
      <c:scatterChart>
        <c:scatterStyle val="lineMarker"/>
        <c:varyColors val="0"/>
        <c:ser>
          <c:idx val="0"/>
          <c:order val="0"/>
          <c:tx>
            <c:v>2019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Summary!$C$4:$C$28</c:f>
              <c:numCache>
                <c:formatCode>General</c:formatCode>
                <c:ptCount val="25"/>
                <c:pt idx="0">
                  <c:v>8.10062893081761</c:v>
                </c:pt>
                <c:pt idx="1">
                  <c:v>22.951781970649897</c:v>
                </c:pt>
                <c:pt idx="2">
                  <c:v>31.052410901467507</c:v>
                </c:pt>
                <c:pt idx="3">
                  <c:v>36.452830188679243</c:v>
                </c:pt>
                <c:pt idx="4">
                  <c:v>49.953878406708597</c:v>
                </c:pt>
                <c:pt idx="5">
                  <c:v>66.830188679245282</c:v>
                </c:pt>
                <c:pt idx="6">
                  <c:v>83.706498951781967</c:v>
                </c:pt>
                <c:pt idx="7">
                  <c:v>85.056603773584897</c:v>
                </c:pt>
                <c:pt idx="8">
                  <c:v>86.406708595387826</c:v>
                </c:pt>
                <c:pt idx="9">
                  <c:v>87.891823899371062</c:v>
                </c:pt>
                <c:pt idx="10">
                  <c:v>88.566876310272534</c:v>
                </c:pt>
                <c:pt idx="11">
                  <c:v>90.524528301886789</c:v>
                </c:pt>
                <c:pt idx="12">
                  <c:v>92.88721174004192</c:v>
                </c:pt>
                <c:pt idx="13">
                  <c:v>93.899790356394121</c:v>
                </c:pt>
                <c:pt idx="14">
                  <c:v>95.587421383647794</c:v>
                </c:pt>
                <c:pt idx="15">
                  <c:v>96.262473794549265</c:v>
                </c:pt>
                <c:pt idx="16">
                  <c:v>97.342557651991612</c:v>
                </c:pt>
                <c:pt idx="17">
                  <c:v>98.827672955974847</c:v>
                </c:pt>
                <c:pt idx="18">
                  <c:v>100.17777777777778</c:v>
                </c:pt>
                <c:pt idx="19">
                  <c:v>101.52788259958071</c:v>
                </c:pt>
                <c:pt idx="20">
                  <c:v>103.55303983228511</c:v>
                </c:pt>
                <c:pt idx="21">
                  <c:v>104.97064989517818</c:v>
                </c:pt>
                <c:pt idx="22">
                  <c:v>105.98322851153038</c:v>
                </c:pt>
                <c:pt idx="23">
                  <c:v>107.33333333333331</c:v>
                </c:pt>
                <c:pt idx="24">
                  <c:v>108.21090146750522</c:v>
                </c:pt>
              </c:numCache>
            </c:numRef>
          </c:xVal>
          <c:yVal>
            <c:numRef>
              <c:f>Summary!$D$4:$D$28</c:f>
              <c:numCache>
                <c:formatCode>General</c:formatCode>
                <c:ptCount val="25"/>
                <c:pt idx="0">
                  <c:v>-0.94987870640465422</c:v>
                </c:pt>
                <c:pt idx="1">
                  <c:v>-0.28586998712561951</c:v>
                </c:pt>
                <c:pt idx="2">
                  <c:v>-0.23840664091790578</c:v>
                </c:pt>
                <c:pt idx="3">
                  <c:v>-0.23840664091790578</c:v>
                </c:pt>
                <c:pt idx="4">
                  <c:v>-0.14347994850247839</c:v>
                </c:pt>
                <c:pt idx="5">
                  <c:v>-0.13846968723611039</c:v>
                </c:pt>
                <c:pt idx="6">
                  <c:v>7.6573028079437847E-2</c:v>
                </c:pt>
                <c:pt idx="7">
                  <c:v>0.50420411664041909</c:v>
                </c:pt>
                <c:pt idx="8">
                  <c:v>0.50420411664041909</c:v>
                </c:pt>
                <c:pt idx="9">
                  <c:v>1.120169129269551</c:v>
                </c:pt>
                <c:pt idx="10">
                  <c:v>1.1716638879621391</c:v>
                </c:pt>
                <c:pt idx="11">
                  <c:v>2.5208657555515366</c:v>
                </c:pt>
                <c:pt idx="12">
                  <c:v>3.6685487435817601</c:v>
                </c:pt>
                <c:pt idx="13">
                  <c:v>5.2644586707873833</c:v>
                </c:pt>
                <c:pt idx="14">
                  <c:v>5.2644586707873833</c:v>
                </c:pt>
                <c:pt idx="15">
                  <c:v>5.2644586707873833</c:v>
                </c:pt>
                <c:pt idx="16">
                  <c:v>5.2644586707873833</c:v>
                </c:pt>
                <c:pt idx="17">
                  <c:v>5.5908829966703557</c:v>
                </c:pt>
                <c:pt idx="18">
                  <c:v>5.7123614063489203</c:v>
                </c:pt>
                <c:pt idx="19">
                  <c:v>5.7123614063489203</c:v>
                </c:pt>
                <c:pt idx="20">
                  <c:v>5.8352566532463275</c:v>
                </c:pt>
                <c:pt idx="21">
                  <c:v>9.2807772763438585</c:v>
                </c:pt>
                <c:pt idx="22">
                  <c:v>9.2807772763438585</c:v>
                </c:pt>
                <c:pt idx="23">
                  <c:v>14.872122786040128</c:v>
                </c:pt>
                <c:pt idx="24">
                  <c:v>14.872122786040128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6-41D4-A21F-62A58A44B21A}"/>
            </c:ext>
          </c:extLst>
        </c:ser>
        <c:ser>
          <c:idx val="1"/>
          <c:order val="1"/>
          <c:tx>
            <c:v>2030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Summary!$E$4:$E$28</c:f>
              <c:numCache>
                <c:formatCode>General</c:formatCode>
                <c:ptCount val="25"/>
                <c:pt idx="0">
                  <c:v>8.5274380990488581</c:v>
                </c:pt>
                <c:pt idx="1">
                  <c:v>24.161074613971763</c:v>
                </c:pt>
                <c:pt idx="2">
                  <c:v>32.688512713020621</c:v>
                </c:pt>
                <c:pt idx="3">
                  <c:v>38.373471445719858</c:v>
                </c:pt>
                <c:pt idx="4">
                  <c:v>52.585868277467952</c:v>
                </c:pt>
                <c:pt idx="5">
                  <c:v>70.35136431715307</c:v>
                </c:pt>
                <c:pt idx="6">
                  <c:v>88.116860356838188</c:v>
                </c:pt>
                <c:pt idx="7">
                  <c:v>89.538100040012992</c:v>
                </c:pt>
                <c:pt idx="8">
                  <c:v>90.959339723187796</c:v>
                </c:pt>
                <c:pt idx="9">
                  <c:v>92.522703374680091</c:v>
                </c:pt>
                <c:pt idx="10">
                  <c:v>93.233323216267493</c:v>
                </c:pt>
                <c:pt idx="11">
                  <c:v>95.294120756870967</c:v>
                </c:pt>
                <c:pt idx="12">
                  <c:v>97.781290202426888</c:v>
                </c:pt>
                <c:pt idx="13">
                  <c:v>98.847219964807991</c:v>
                </c:pt>
                <c:pt idx="14">
                  <c:v>100.62376956877651</c:v>
                </c:pt>
                <c:pt idx="15">
                  <c:v>101.33438941036391</c:v>
                </c:pt>
                <c:pt idx="16">
                  <c:v>102.47138115690376</c:v>
                </c:pt>
                <c:pt idx="17">
                  <c:v>104.03474480839606</c:v>
                </c:pt>
                <c:pt idx="18">
                  <c:v>105.45598449157086</c:v>
                </c:pt>
                <c:pt idx="19">
                  <c:v>106.87722417474566</c:v>
                </c:pt>
                <c:pt idx="20">
                  <c:v>109.00908369950788</c:v>
                </c:pt>
                <c:pt idx="21">
                  <c:v>110.50138536684143</c:v>
                </c:pt>
                <c:pt idx="22">
                  <c:v>111.56731512922254</c:v>
                </c:pt>
                <c:pt idx="23">
                  <c:v>112.98855481239734</c:v>
                </c:pt>
                <c:pt idx="24">
                  <c:v>113.91236060646096</c:v>
                </c:pt>
              </c:numCache>
            </c:numRef>
          </c:xVal>
          <c:yVal>
            <c:numRef>
              <c:f>Summary!$F$4:$F$28</c:f>
              <c:numCache>
                <c:formatCode>General</c:formatCode>
                <c:ptCount val="25"/>
                <c:pt idx="0">
                  <c:v>-0.95739690044395609</c:v>
                </c:pt>
                <c:pt idx="1">
                  <c:v>-0.29298948905677658</c:v>
                </c:pt>
                <c:pt idx="2">
                  <c:v>-0.25264564478021995</c:v>
                </c:pt>
                <c:pt idx="3">
                  <c:v>-0.25264564478021995</c:v>
                </c:pt>
                <c:pt idx="4">
                  <c:v>-0.17195795622710669</c:v>
                </c:pt>
                <c:pt idx="5">
                  <c:v>-0.15591351986497953</c:v>
                </c:pt>
                <c:pt idx="6">
                  <c:v>9.5315183119666306E-3</c:v>
                </c:pt>
                <c:pt idx="7">
                  <c:v>0.36557785644283125</c:v>
                </c:pt>
                <c:pt idx="8">
                  <c:v>0.36557785644283125</c:v>
                </c:pt>
                <c:pt idx="9">
                  <c:v>0.89129803226173732</c:v>
                </c:pt>
                <c:pt idx="10">
                  <c:v>0.93291866206629326</c:v>
                </c:pt>
                <c:pt idx="11">
                  <c:v>2.0818901646014245</c:v>
                </c:pt>
                <c:pt idx="12">
                  <c:v>3.055270789342972</c:v>
                </c:pt>
                <c:pt idx="13">
                  <c:v>4.4139441425518946</c:v>
                </c:pt>
                <c:pt idx="14">
                  <c:v>4.4139441425518946</c:v>
                </c:pt>
                <c:pt idx="15">
                  <c:v>4.4139441425518946</c:v>
                </c:pt>
                <c:pt idx="16">
                  <c:v>4.4139441425518946</c:v>
                </c:pt>
                <c:pt idx="17">
                  <c:v>4.6914048195524209</c:v>
                </c:pt>
                <c:pt idx="18">
                  <c:v>4.8027833692081883</c:v>
                </c:pt>
                <c:pt idx="19">
                  <c:v>4.8027833692081883</c:v>
                </c:pt>
                <c:pt idx="20">
                  <c:v>4.8969725125578529</c:v>
                </c:pt>
                <c:pt idx="21">
                  <c:v>7.8278149572748985</c:v>
                </c:pt>
                <c:pt idx="22">
                  <c:v>7.8278149572748985</c:v>
                </c:pt>
                <c:pt idx="23">
                  <c:v>12.580458640516728</c:v>
                </c:pt>
                <c:pt idx="24">
                  <c:v>12.580458640516728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76-41D4-A21F-62A58A44B21A}"/>
            </c:ext>
          </c:extLst>
        </c:ser>
        <c:ser>
          <c:idx val="2"/>
          <c:order val="2"/>
          <c:tx>
            <c:v>2040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Summary!$G$4:$G$28</c:f>
              <c:numCache>
                <c:formatCode>General</c:formatCode>
                <c:ptCount val="25"/>
                <c:pt idx="0">
                  <c:v>10.206880910688891</c:v>
                </c:pt>
                <c:pt idx="1">
                  <c:v>28.919495913618526</c:v>
                </c:pt>
                <c:pt idx="2">
                  <c:v>39.126376824307414</c:v>
                </c:pt>
                <c:pt idx="3">
                  <c:v>45.930964098100006</c:v>
                </c:pt>
                <c:pt idx="4">
                  <c:v>62.942432282581493</c:v>
                </c:pt>
                <c:pt idx="5">
                  <c:v>84.206767513183351</c:v>
                </c:pt>
                <c:pt idx="6">
                  <c:v>105.47110274378521</c:v>
                </c:pt>
                <c:pt idx="7">
                  <c:v>107.17224956223336</c:v>
                </c:pt>
                <c:pt idx="8">
                  <c:v>108.87339638068151</c:v>
                </c:pt>
                <c:pt idx="9">
                  <c:v>110.74465788097447</c:v>
                </c:pt>
                <c:pt idx="10">
                  <c:v>111.59523129019854</c:v>
                </c:pt>
                <c:pt idx="11">
                  <c:v>114.06189417694836</c:v>
                </c:pt>
                <c:pt idx="12">
                  <c:v>117.03890110923261</c:v>
                </c:pt>
                <c:pt idx="13">
                  <c:v>118.31476122306873</c:v>
                </c:pt>
                <c:pt idx="14">
                  <c:v>120.44119474612891</c:v>
                </c:pt>
                <c:pt idx="15">
                  <c:v>121.29176815535298</c:v>
                </c:pt>
                <c:pt idx="16">
                  <c:v>122.6526856101115</c:v>
                </c:pt>
                <c:pt idx="17">
                  <c:v>124.52394711040446</c:v>
                </c:pt>
                <c:pt idx="18">
                  <c:v>126.22509392885262</c:v>
                </c:pt>
                <c:pt idx="19">
                  <c:v>127.92624074730077</c:v>
                </c:pt>
                <c:pt idx="20">
                  <c:v>130.477960974973</c:v>
                </c:pt>
                <c:pt idx="21">
                  <c:v>132.26416513434356</c:v>
                </c:pt>
                <c:pt idx="22">
                  <c:v>133.54002524817966</c:v>
                </c:pt>
                <c:pt idx="23">
                  <c:v>135.2411720666278</c:v>
                </c:pt>
                <c:pt idx="24">
                  <c:v>136.34691749861909</c:v>
                </c:pt>
              </c:numCache>
            </c:numRef>
          </c:xVal>
          <c:yVal>
            <c:numRef>
              <c:f>Summary!$H$4:$H$28</c:f>
              <c:numCache>
                <c:formatCode>General</c:formatCode>
                <c:ptCount val="25"/>
                <c:pt idx="0">
                  <c:v>-0.9699272238427924</c:v>
                </c:pt>
                <c:pt idx="1">
                  <c:v>-0.30485532560870487</c:v>
                </c:pt>
                <c:pt idx="2">
                  <c:v>-0.27637731788407677</c:v>
                </c:pt>
                <c:pt idx="3">
                  <c:v>-0.27637731788407677</c:v>
                </c:pt>
                <c:pt idx="4">
                  <c:v>-0.21942130243482039</c:v>
                </c:pt>
                <c:pt idx="5">
                  <c:v>-0.18498657424642811</c:v>
                </c:pt>
                <c:pt idx="6">
                  <c:v>-0.1022043313004854</c:v>
                </c:pt>
                <c:pt idx="7">
                  <c:v>0.13453408944685141</c:v>
                </c:pt>
                <c:pt idx="8">
                  <c:v>0.13453408944685141</c:v>
                </c:pt>
                <c:pt idx="9">
                  <c:v>0.50984620391538082</c:v>
                </c:pt>
                <c:pt idx="10">
                  <c:v>0.53500995223988312</c:v>
                </c:pt>
                <c:pt idx="11">
                  <c:v>1.350264179684572</c:v>
                </c:pt>
                <c:pt idx="12">
                  <c:v>2.0331408656116561</c:v>
                </c:pt>
                <c:pt idx="13">
                  <c:v>2.9964199288260804</c:v>
                </c:pt>
                <c:pt idx="14">
                  <c:v>2.9964199288260804</c:v>
                </c:pt>
                <c:pt idx="15">
                  <c:v>2.9964199288260804</c:v>
                </c:pt>
                <c:pt idx="16">
                  <c:v>2.9964199288260804</c:v>
                </c:pt>
                <c:pt idx="17">
                  <c:v>3.1922745243558639</c:v>
                </c:pt>
                <c:pt idx="18">
                  <c:v>3.2868199739736359</c:v>
                </c:pt>
                <c:pt idx="19">
                  <c:v>3.2868199739736359</c:v>
                </c:pt>
                <c:pt idx="20">
                  <c:v>3.3331656114103958</c:v>
                </c:pt>
                <c:pt idx="21">
                  <c:v>5.4062110921599649</c:v>
                </c:pt>
                <c:pt idx="22">
                  <c:v>5.4062110921599649</c:v>
                </c:pt>
                <c:pt idx="23">
                  <c:v>8.7610183979777254</c:v>
                </c:pt>
                <c:pt idx="24">
                  <c:v>8.7610183979777254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76-41D4-A21F-62A58A44B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842952"/>
        <c:axId val="970841640"/>
      </c:scatterChart>
      <c:valAx>
        <c:axId val="970842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Carbon abated: ktCO2e/yr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0841640"/>
        <c:crosses val="autoZero"/>
        <c:crossBetween val="midCat"/>
      </c:valAx>
      <c:valAx>
        <c:axId val="970841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0842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743183259353206"/>
          <c:y val="0.21172353455818019"/>
          <c:w val="0.12235890932149651"/>
          <c:h val="0.23437664041994752"/>
        </c:manualLayout>
      </c:layout>
      <c:overlay val="0"/>
      <c:spPr>
        <a:solidFill>
          <a:schemeClr val="bg1"/>
        </a:solidFill>
        <a:ln>
          <a:solidFill>
            <a:schemeClr val="bg1">
              <a:lumMod val="9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Medium airport's MACC evolution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48381452318461"/>
          <c:y val="0.17171296296296296"/>
          <c:w val="0.79968263342082235"/>
          <c:h val="0.706967410323709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Summary!$I$4:$I$28</c:f>
              <c:numCache>
                <c:formatCode>0.0</c:formatCode>
                <c:ptCount val="25"/>
                <c:pt idx="0">
                  <c:v>2.2893081761006289</c:v>
                </c:pt>
                <c:pt idx="1">
                  <c:v>6.4863731656184491</c:v>
                </c:pt>
                <c:pt idx="2">
                  <c:v>8.7756813417190784</c:v>
                </c:pt>
                <c:pt idx="3">
                  <c:v>10.30188679245283</c:v>
                </c:pt>
                <c:pt idx="4">
                  <c:v>14.117400419287211</c:v>
                </c:pt>
                <c:pt idx="5">
                  <c:v>18.886792452830189</c:v>
                </c:pt>
                <c:pt idx="6">
                  <c:v>23.656184486373167</c:v>
                </c:pt>
                <c:pt idx="7">
                  <c:v>24.037735849056606</c:v>
                </c:pt>
                <c:pt idx="8">
                  <c:v>24.419287211740045</c:v>
                </c:pt>
                <c:pt idx="9">
                  <c:v>24.838993710691827</c:v>
                </c:pt>
                <c:pt idx="10">
                  <c:v>25.029769392033547</c:v>
                </c:pt>
                <c:pt idx="11">
                  <c:v>25.583018867924533</c:v>
                </c:pt>
                <c:pt idx="12">
                  <c:v>26.250733752620551</c:v>
                </c:pt>
                <c:pt idx="13">
                  <c:v>26.53689727463313</c:v>
                </c:pt>
                <c:pt idx="14">
                  <c:v>27.013836477987429</c:v>
                </c:pt>
                <c:pt idx="15">
                  <c:v>27.204612159329148</c:v>
                </c:pt>
                <c:pt idx="16">
                  <c:v>27.509853249475899</c:v>
                </c:pt>
                <c:pt idx="17">
                  <c:v>27.929559748427682</c:v>
                </c:pt>
                <c:pt idx="18">
                  <c:v>28.311111111111121</c:v>
                </c:pt>
                <c:pt idx="19">
                  <c:v>28.692662473794559</c:v>
                </c:pt>
                <c:pt idx="20">
                  <c:v>29.264989517819718</c:v>
                </c:pt>
                <c:pt idx="21">
                  <c:v>29.665618448637328</c:v>
                </c:pt>
                <c:pt idx="22">
                  <c:v>29.951781970649908</c:v>
                </c:pt>
                <c:pt idx="23">
                  <c:v>30.333333333333346</c:v>
                </c:pt>
                <c:pt idx="24">
                  <c:v>30.581341719077582</c:v>
                </c:pt>
              </c:numCache>
            </c:numRef>
          </c:xVal>
          <c:yVal>
            <c:numRef>
              <c:f>Summary!$J$4:$J$28</c:f>
              <c:numCache>
                <c:formatCode>0.0</c:formatCode>
                <c:ptCount val="25"/>
                <c:pt idx="0">
                  <c:v>-0.94987870640465422</c:v>
                </c:pt>
                <c:pt idx="1">
                  <c:v>-0.28586998712561951</c:v>
                </c:pt>
                <c:pt idx="2">
                  <c:v>-0.23840664091790578</c:v>
                </c:pt>
                <c:pt idx="3">
                  <c:v>-0.23840664091790578</c:v>
                </c:pt>
                <c:pt idx="4">
                  <c:v>-0.14347994850247839</c:v>
                </c:pt>
                <c:pt idx="5">
                  <c:v>-0.13846968723611039</c:v>
                </c:pt>
                <c:pt idx="6">
                  <c:v>7.6573028079437847E-2</c:v>
                </c:pt>
                <c:pt idx="7">
                  <c:v>0.50420411664041909</c:v>
                </c:pt>
                <c:pt idx="8">
                  <c:v>0.50420411664041909</c:v>
                </c:pt>
                <c:pt idx="9">
                  <c:v>1.120169129269551</c:v>
                </c:pt>
                <c:pt idx="10">
                  <c:v>1.1716638879621391</c:v>
                </c:pt>
                <c:pt idx="11">
                  <c:v>2.5208657555515366</c:v>
                </c:pt>
                <c:pt idx="12">
                  <c:v>3.6685487435817601</c:v>
                </c:pt>
                <c:pt idx="13">
                  <c:v>5.2644586707873833</c:v>
                </c:pt>
                <c:pt idx="14">
                  <c:v>5.2644586707873833</c:v>
                </c:pt>
                <c:pt idx="15">
                  <c:v>5.2644586707873833</c:v>
                </c:pt>
                <c:pt idx="16">
                  <c:v>5.2644586707873833</c:v>
                </c:pt>
                <c:pt idx="17">
                  <c:v>5.5908829966703557</c:v>
                </c:pt>
                <c:pt idx="18">
                  <c:v>5.7665074158755081</c:v>
                </c:pt>
                <c:pt idx="19">
                  <c:v>5.7665074158755081</c:v>
                </c:pt>
                <c:pt idx="20">
                  <c:v>5.8352566532463275</c:v>
                </c:pt>
                <c:pt idx="21">
                  <c:v>9.2807772763438585</c:v>
                </c:pt>
                <c:pt idx="22">
                  <c:v>9.2807772763438585</c:v>
                </c:pt>
                <c:pt idx="23">
                  <c:v>14.872122786040128</c:v>
                </c:pt>
                <c:pt idx="24">
                  <c:v>14.872122786040128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4D-4134-9AFA-61F0D33F02A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Summary!$K$4:$K$28</c:f>
              <c:numCache>
                <c:formatCode>General</c:formatCode>
                <c:ptCount val="25"/>
                <c:pt idx="0">
                  <c:v>2.3928591893103803</c:v>
                </c:pt>
                <c:pt idx="1">
                  <c:v>6.779767703046077</c:v>
                </c:pt>
                <c:pt idx="2">
                  <c:v>9.1726268923564582</c:v>
                </c:pt>
                <c:pt idx="3">
                  <c:v>10.767866351896712</c:v>
                </c:pt>
                <c:pt idx="4">
                  <c:v>14.755965000747345</c:v>
                </c:pt>
                <c:pt idx="5">
                  <c:v>19.741088311810636</c:v>
                </c:pt>
                <c:pt idx="6">
                  <c:v>24.726211622873926</c:v>
                </c:pt>
                <c:pt idx="7">
                  <c:v>25.125021487758989</c:v>
                </c:pt>
                <c:pt idx="8">
                  <c:v>25.523831352644052</c:v>
                </c:pt>
                <c:pt idx="9">
                  <c:v>25.96252220401762</c:v>
                </c:pt>
                <c:pt idx="10">
                  <c:v>26.161927136460154</c:v>
                </c:pt>
                <c:pt idx="11">
                  <c:v>26.740201440543494</c:v>
                </c:pt>
                <c:pt idx="12">
                  <c:v>27.438118704092354</c:v>
                </c:pt>
                <c:pt idx="13">
                  <c:v>27.73722610275615</c:v>
                </c:pt>
                <c:pt idx="14">
                  <c:v>28.23573843386248</c:v>
                </c:pt>
                <c:pt idx="15">
                  <c:v>28.435143366305013</c:v>
                </c:pt>
                <c:pt idx="16">
                  <c:v>28.754191258213062</c:v>
                </c:pt>
                <c:pt idx="17">
                  <c:v>29.19288210958663</c:v>
                </c:pt>
                <c:pt idx="18">
                  <c:v>29.591691974471694</c:v>
                </c:pt>
                <c:pt idx="19">
                  <c:v>29.990501839356757</c:v>
                </c:pt>
                <c:pt idx="20">
                  <c:v>30.588716636684353</c:v>
                </c:pt>
                <c:pt idx="21">
                  <c:v>31.007466994813669</c:v>
                </c:pt>
                <c:pt idx="22">
                  <c:v>31.306574393477465</c:v>
                </c:pt>
                <c:pt idx="23">
                  <c:v>31.705384258362528</c:v>
                </c:pt>
                <c:pt idx="24">
                  <c:v>31.964610670537819</c:v>
                </c:pt>
              </c:numCache>
            </c:numRef>
          </c:xVal>
          <c:yVal>
            <c:numRef>
              <c:f>Summary!$L$4:$L$28</c:f>
              <c:numCache>
                <c:formatCode>General</c:formatCode>
                <c:ptCount val="25"/>
                <c:pt idx="0">
                  <c:v>-0.95739690044395609</c:v>
                </c:pt>
                <c:pt idx="1">
                  <c:v>-0.29298948905677658</c:v>
                </c:pt>
                <c:pt idx="2">
                  <c:v>-0.25264564478021995</c:v>
                </c:pt>
                <c:pt idx="3">
                  <c:v>-0.25264564478021995</c:v>
                </c:pt>
                <c:pt idx="4">
                  <c:v>-0.17195795622710669</c:v>
                </c:pt>
                <c:pt idx="5">
                  <c:v>-0.15591351986497953</c:v>
                </c:pt>
                <c:pt idx="6">
                  <c:v>9.5315183119666306E-3</c:v>
                </c:pt>
                <c:pt idx="7">
                  <c:v>0.36557785644283125</c:v>
                </c:pt>
                <c:pt idx="8">
                  <c:v>0.36557785644283125</c:v>
                </c:pt>
                <c:pt idx="9">
                  <c:v>0.89129803226173732</c:v>
                </c:pt>
                <c:pt idx="10">
                  <c:v>0.93291866206629326</c:v>
                </c:pt>
                <c:pt idx="11">
                  <c:v>2.0818901646014245</c:v>
                </c:pt>
                <c:pt idx="12">
                  <c:v>3.055270789342972</c:v>
                </c:pt>
                <c:pt idx="13">
                  <c:v>4.4139441425518946</c:v>
                </c:pt>
                <c:pt idx="14">
                  <c:v>4.4139441425518946</c:v>
                </c:pt>
                <c:pt idx="15">
                  <c:v>4.4139441425518946</c:v>
                </c:pt>
                <c:pt idx="16">
                  <c:v>4.4139441425518946</c:v>
                </c:pt>
                <c:pt idx="17">
                  <c:v>4.6914048195524209</c:v>
                </c:pt>
                <c:pt idx="18">
                  <c:v>4.8569293787347751</c:v>
                </c:pt>
                <c:pt idx="19">
                  <c:v>4.8569293787347751</c:v>
                </c:pt>
                <c:pt idx="20">
                  <c:v>4.8969725125578529</c:v>
                </c:pt>
                <c:pt idx="21">
                  <c:v>7.8278149572748985</c:v>
                </c:pt>
                <c:pt idx="22">
                  <c:v>7.8278149572748985</c:v>
                </c:pt>
                <c:pt idx="23">
                  <c:v>12.580458640516728</c:v>
                </c:pt>
                <c:pt idx="24">
                  <c:v>12.580458640516728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4D-4134-9AFA-61F0D33F02A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Summary!$M$4:$M$28</c:f>
              <c:numCache>
                <c:formatCode>General</c:formatCode>
                <c:ptCount val="25"/>
                <c:pt idx="0">
                  <c:v>2.7727693419193811</c:v>
                </c:pt>
                <c:pt idx="1">
                  <c:v>7.8561798021049132</c:v>
                </c:pt>
                <c:pt idx="2">
                  <c:v>10.628949144024293</c:v>
                </c:pt>
                <c:pt idx="3">
                  <c:v>12.477462038637213</c:v>
                </c:pt>
                <c:pt idx="4">
                  <c:v>17.098744275169516</c:v>
                </c:pt>
                <c:pt idx="5">
                  <c:v>22.875347070834891</c:v>
                </c:pt>
                <c:pt idx="6">
                  <c:v>28.651949866500267</c:v>
                </c:pt>
                <c:pt idx="7">
                  <c:v>29.114078090153498</c:v>
                </c:pt>
                <c:pt idx="8">
                  <c:v>29.576206313806729</c:v>
                </c:pt>
                <c:pt idx="9">
                  <c:v>30.084547359825283</c:v>
                </c:pt>
                <c:pt idx="10">
                  <c:v>30.315611471651899</c:v>
                </c:pt>
                <c:pt idx="11">
                  <c:v>30.985697395949082</c:v>
                </c:pt>
                <c:pt idx="12">
                  <c:v>31.794421787342234</c:v>
                </c:pt>
                <c:pt idx="13">
                  <c:v>32.141017955082155</c:v>
                </c:pt>
                <c:pt idx="14">
                  <c:v>32.718678234648692</c:v>
                </c:pt>
                <c:pt idx="15">
                  <c:v>32.949742346475304</c:v>
                </c:pt>
                <c:pt idx="16">
                  <c:v>33.319444925397889</c:v>
                </c:pt>
                <c:pt idx="17">
                  <c:v>33.827785971416439</c:v>
                </c:pt>
                <c:pt idx="18">
                  <c:v>34.520978306896282</c:v>
                </c:pt>
                <c:pt idx="19">
                  <c:v>34.983106530549513</c:v>
                </c:pt>
                <c:pt idx="20">
                  <c:v>35.445234754202744</c:v>
                </c:pt>
                <c:pt idx="21">
                  <c:v>35.930469389038635</c:v>
                </c:pt>
                <c:pt idx="22">
                  <c:v>36.27706555677856</c:v>
                </c:pt>
                <c:pt idx="23">
                  <c:v>36.739193780431791</c:v>
                </c:pt>
                <c:pt idx="24">
                  <c:v>37.039577125806389</c:v>
                </c:pt>
              </c:numCache>
            </c:numRef>
          </c:xVal>
          <c:yVal>
            <c:numRef>
              <c:f>Summary!$N$4:$N$28</c:f>
              <c:numCache>
                <c:formatCode>General</c:formatCode>
                <c:ptCount val="25"/>
                <c:pt idx="0">
                  <c:v>-0.9699272238427924</c:v>
                </c:pt>
                <c:pt idx="1">
                  <c:v>-0.30485532560870487</c:v>
                </c:pt>
                <c:pt idx="2">
                  <c:v>-0.27637731788407677</c:v>
                </c:pt>
                <c:pt idx="3">
                  <c:v>-0.27637731788407677</c:v>
                </c:pt>
                <c:pt idx="4">
                  <c:v>-0.21942130243482039</c:v>
                </c:pt>
                <c:pt idx="5">
                  <c:v>-0.18498657424642811</c:v>
                </c:pt>
                <c:pt idx="6">
                  <c:v>-0.1022043313004854</c:v>
                </c:pt>
                <c:pt idx="7">
                  <c:v>0.13453408944685141</c:v>
                </c:pt>
                <c:pt idx="8">
                  <c:v>0.13453408944685141</c:v>
                </c:pt>
                <c:pt idx="9">
                  <c:v>0.50984620391538082</c:v>
                </c:pt>
                <c:pt idx="10">
                  <c:v>0.53500995223988312</c:v>
                </c:pt>
                <c:pt idx="11">
                  <c:v>1.350264179684572</c:v>
                </c:pt>
                <c:pt idx="12">
                  <c:v>2.0331408656116561</c:v>
                </c:pt>
                <c:pt idx="13">
                  <c:v>2.9964199288260804</c:v>
                </c:pt>
                <c:pt idx="14">
                  <c:v>2.9964199288260804</c:v>
                </c:pt>
                <c:pt idx="15">
                  <c:v>2.9964199288260804</c:v>
                </c:pt>
                <c:pt idx="16">
                  <c:v>2.9964199288260804</c:v>
                </c:pt>
                <c:pt idx="17">
                  <c:v>3.1922745243558639</c:v>
                </c:pt>
                <c:pt idx="18">
                  <c:v>3.3331656114103958</c:v>
                </c:pt>
                <c:pt idx="19">
                  <c:v>3.3409659835002232</c:v>
                </c:pt>
                <c:pt idx="20">
                  <c:v>3.3409659835002232</c:v>
                </c:pt>
                <c:pt idx="21">
                  <c:v>5.4062110921599649</c:v>
                </c:pt>
                <c:pt idx="22">
                  <c:v>5.4062110921599649</c:v>
                </c:pt>
                <c:pt idx="23">
                  <c:v>8.7610183979777254</c:v>
                </c:pt>
                <c:pt idx="24">
                  <c:v>8.7610183979777254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4D-4134-9AFA-61F0D33F0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2479640"/>
        <c:axId val="1032477344"/>
      </c:scatterChart>
      <c:valAx>
        <c:axId val="1032479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Carbon abated: ktCO2e/yr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2477344"/>
        <c:crosses val="autoZero"/>
        <c:crossBetween val="midCat"/>
      </c:valAx>
      <c:valAx>
        <c:axId val="103247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£/tCO2e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2479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Small airport's MACC evolution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48381452318461"/>
          <c:y val="0.17171296296296296"/>
          <c:w val="0.78579374453193351"/>
          <c:h val="0.706967410323709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Summary!$O$4:$O$28</c:f>
              <c:numCache>
                <c:formatCode>General</c:formatCode>
                <c:ptCount val="25"/>
                <c:pt idx="0">
                  <c:v>0.679245283018868</c:v>
                </c:pt>
                <c:pt idx="1">
                  <c:v>1.9245283018867925</c:v>
                </c:pt>
                <c:pt idx="2">
                  <c:v>2.6037735849056602</c:v>
                </c:pt>
                <c:pt idx="3">
                  <c:v>3.0566037735849054</c:v>
                </c:pt>
                <c:pt idx="4">
                  <c:v>4.1886792452830184</c:v>
                </c:pt>
                <c:pt idx="5">
                  <c:v>5.6037735849056602</c:v>
                </c:pt>
                <c:pt idx="6">
                  <c:v>7.0188679245283021</c:v>
                </c:pt>
                <c:pt idx="7">
                  <c:v>7.1320754716981138</c:v>
                </c:pt>
                <c:pt idx="8">
                  <c:v>7.2452830188679256</c:v>
                </c:pt>
                <c:pt idx="9">
                  <c:v>7.3698113207547182</c:v>
                </c:pt>
                <c:pt idx="10">
                  <c:v>7.4264150943396237</c:v>
                </c:pt>
                <c:pt idx="11">
                  <c:v>7.5905660377358499</c:v>
                </c:pt>
                <c:pt idx="12">
                  <c:v>7.7886792452830198</c:v>
                </c:pt>
                <c:pt idx="13">
                  <c:v>7.8735849056603779</c:v>
                </c:pt>
                <c:pt idx="14">
                  <c:v>8.0150943396226424</c:v>
                </c:pt>
                <c:pt idx="15">
                  <c:v>8.0716981132075478</c:v>
                </c:pt>
                <c:pt idx="16">
                  <c:v>8.1622641509433969</c:v>
                </c:pt>
                <c:pt idx="17">
                  <c:v>8.2867924528301895</c:v>
                </c:pt>
                <c:pt idx="18">
                  <c:v>8.4</c:v>
                </c:pt>
                <c:pt idx="19">
                  <c:v>8.5132075471698112</c:v>
                </c:pt>
                <c:pt idx="20">
                  <c:v>8.6830188679245275</c:v>
                </c:pt>
                <c:pt idx="21">
                  <c:v>8.8018867924528301</c:v>
                </c:pt>
                <c:pt idx="22">
                  <c:v>8.8867924528301891</c:v>
                </c:pt>
                <c:pt idx="23">
                  <c:v>9</c:v>
                </c:pt>
                <c:pt idx="24">
                  <c:v>9.0735849056603772</c:v>
                </c:pt>
              </c:numCache>
            </c:numRef>
          </c:xVal>
          <c:yVal>
            <c:numRef>
              <c:f>Summary!$P$4:$P$28</c:f>
              <c:numCache>
                <c:formatCode>General</c:formatCode>
                <c:ptCount val="25"/>
                <c:pt idx="0">
                  <c:v>-0.94987870640465422</c:v>
                </c:pt>
                <c:pt idx="1">
                  <c:v>-0.28586998712561951</c:v>
                </c:pt>
                <c:pt idx="2">
                  <c:v>-0.23840664091790578</c:v>
                </c:pt>
                <c:pt idx="3">
                  <c:v>-0.23840664091790578</c:v>
                </c:pt>
                <c:pt idx="4">
                  <c:v>-0.14347994850247839</c:v>
                </c:pt>
                <c:pt idx="5">
                  <c:v>-0.13846968723611039</c:v>
                </c:pt>
                <c:pt idx="6">
                  <c:v>7.6573028079437847E-2</c:v>
                </c:pt>
                <c:pt idx="7">
                  <c:v>0.50420411664041909</c:v>
                </c:pt>
                <c:pt idx="8">
                  <c:v>0.50420411664041909</c:v>
                </c:pt>
                <c:pt idx="9">
                  <c:v>1.120169129269551</c:v>
                </c:pt>
                <c:pt idx="10">
                  <c:v>1.1716638879621391</c:v>
                </c:pt>
                <c:pt idx="11">
                  <c:v>2.5208657555515366</c:v>
                </c:pt>
                <c:pt idx="12">
                  <c:v>3.6685487435817601</c:v>
                </c:pt>
                <c:pt idx="13">
                  <c:v>5.2644586707873833</c:v>
                </c:pt>
                <c:pt idx="14">
                  <c:v>5.2644586707873833</c:v>
                </c:pt>
                <c:pt idx="15">
                  <c:v>5.2644586707873833</c:v>
                </c:pt>
                <c:pt idx="16">
                  <c:v>5.2644586707873833</c:v>
                </c:pt>
                <c:pt idx="17">
                  <c:v>5.5908829966703557</c:v>
                </c:pt>
                <c:pt idx="18">
                  <c:v>5.7665074158755081</c:v>
                </c:pt>
                <c:pt idx="19">
                  <c:v>5.7665074158755081</c:v>
                </c:pt>
                <c:pt idx="20">
                  <c:v>5.8352566532463275</c:v>
                </c:pt>
                <c:pt idx="21">
                  <c:v>9.2807772763438585</c:v>
                </c:pt>
                <c:pt idx="22">
                  <c:v>9.2807772763438585</c:v>
                </c:pt>
                <c:pt idx="23">
                  <c:v>14.872122786040128</c:v>
                </c:pt>
                <c:pt idx="24">
                  <c:v>14.872122786040128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A7-4A1B-8A1C-C4C690D9E76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Summary!$Q$4:$Q$28</c:f>
              <c:numCache>
                <c:formatCode>General</c:formatCode>
                <c:ptCount val="25"/>
                <c:pt idx="0">
                  <c:v>0.72229852411813744</c:v>
                </c:pt>
                <c:pt idx="1">
                  <c:v>2.0465124850013896</c:v>
                </c:pt>
                <c:pt idx="2">
                  <c:v>2.7688110091195268</c:v>
                </c:pt>
                <c:pt idx="3">
                  <c:v>3.2503433585316186</c:v>
                </c:pt>
                <c:pt idx="4">
                  <c:v>4.454174232061848</c:v>
                </c:pt>
                <c:pt idx="5">
                  <c:v>5.9589628239746339</c:v>
                </c:pt>
                <c:pt idx="6">
                  <c:v>7.4637514158874207</c:v>
                </c:pt>
                <c:pt idx="7">
                  <c:v>7.5841345032404437</c:v>
                </c:pt>
                <c:pt idx="8">
                  <c:v>7.7045175905934666</c:v>
                </c:pt>
                <c:pt idx="9">
                  <c:v>7.8369389866817922</c:v>
                </c:pt>
                <c:pt idx="10">
                  <c:v>7.8971305303583037</c:v>
                </c:pt>
                <c:pt idx="11">
                  <c:v>8.0716860070201868</c:v>
                </c:pt>
                <c:pt idx="12">
                  <c:v>8.2823564098879761</c:v>
                </c:pt>
                <c:pt idx="13">
                  <c:v>8.3726437254027424</c:v>
                </c:pt>
                <c:pt idx="14">
                  <c:v>8.5231225845940202</c:v>
                </c:pt>
                <c:pt idx="15">
                  <c:v>8.5833141282705316</c:v>
                </c:pt>
                <c:pt idx="16">
                  <c:v>8.6796205981529493</c:v>
                </c:pt>
                <c:pt idx="17">
                  <c:v>8.8120419942412749</c:v>
                </c:pt>
                <c:pt idx="18">
                  <c:v>8.9324250815942978</c:v>
                </c:pt>
                <c:pt idx="19">
                  <c:v>9.0528081689473208</c:v>
                </c:pt>
                <c:pt idx="20">
                  <c:v>9.2333827999768552</c:v>
                </c:pt>
                <c:pt idx="21">
                  <c:v>9.3597850416975295</c:v>
                </c:pt>
                <c:pt idx="22">
                  <c:v>9.4500723572122958</c:v>
                </c:pt>
                <c:pt idx="23">
                  <c:v>9.5704554445653187</c:v>
                </c:pt>
                <c:pt idx="24">
                  <c:v>9.6487044513447842</c:v>
                </c:pt>
              </c:numCache>
            </c:numRef>
          </c:xVal>
          <c:yVal>
            <c:numRef>
              <c:f>Summary!$R$4:$R$28</c:f>
              <c:numCache>
                <c:formatCode>General</c:formatCode>
                <c:ptCount val="25"/>
                <c:pt idx="0">
                  <c:v>-0.95739690044395609</c:v>
                </c:pt>
                <c:pt idx="1">
                  <c:v>-0.29298948905677658</c:v>
                </c:pt>
                <c:pt idx="2">
                  <c:v>-0.25264564478021995</c:v>
                </c:pt>
                <c:pt idx="3">
                  <c:v>-0.25264564478021995</c:v>
                </c:pt>
                <c:pt idx="4">
                  <c:v>-0.17195795622710669</c:v>
                </c:pt>
                <c:pt idx="5">
                  <c:v>-0.15591351986497953</c:v>
                </c:pt>
                <c:pt idx="6">
                  <c:v>9.5315183119666306E-3</c:v>
                </c:pt>
                <c:pt idx="7">
                  <c:v>0.36557785644283125</c:v>
                </c:pt>
                <c:pt idx="8">
                  <c:v>0.36557785644283125</c:v>
                </c:pt>
                <c:pt idx="9">
                  <c:v>0.89129803226173732</c:v>
                </c:pt>
                <c:pt idx="10">
                  <c:v>0.93291866206629326</c:v>
                </c:pt>
                <c:pt idx="11">
                  <c:v>2.0818901646014245</c:v>
                </c:pt>
                <c:pt idx="12">
                  <c:v>3.055270789342972</c:v>
                </c:pt>
                <c:pt idx="13">
                  <c:v>4.4139441425518946</c:v>
                </c:pt>
                <c:pt idx="14">
                  <c:v>4.4139441425518946</c:v>
                </c:pt>
                <c:pt idx="15">
                  <c:v>4.4139441425518946</c:v>
                </c:pt>
                <c:pt idx="16">
                  <c:v>4.4139441425518946</c:v>
                </c:pt>
                <c:pt idx="17">
                  <c:v>4.6914048195524209</c:v>
                </c:pt>
                <c:pt idx="18">
                  <c:v>4.8569293787347751</c:v>
                </c:pt>
                <c:pt idx="19">
                  <c:v>4.8569293787347751</c:v>
                </c:pt>
                <c:pt idx="20">
                  <c:v>4.8969725125578529</c:v>
                </c:pt>
                <c:pt idx="21">
                  <c:v>7.8278149572748985</c:v>
                </c:pt>
                <c:pt idx="22">
                  <c:v>7.8278149572748985</c:v>
                </c:pt>
                <c:pt idx="23">
                  <c:v>12.580458640516728</c:v>
                </c:pt>
                <c:pt idx="24">
                  <c:v>12.580458640516728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A7-4A1B-8A1C-C4C690D9E76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Summary!$S$4:$S$28</c:f>
              <c:numCache>
                <c:formatCode>General</c:formatCode>
                <c:ptCount val="25"/>
                <c:pt idx="0">
                  <c:v>0.78218846278012188</c:v>
                </c:pt>
                <c:pt idx="1">
                  <c:v>2.2162006445436786</c:v>
                </c:pt>
                <c:pt idx="2">
                  <c:v>2.9983891073238005</c:v>
                </c:pt>
                <c:pt idx="3">
                  <c:v>3.5198480825105483</c:v>
                </c:pt>
                <c:pt idx="4">
                  <c:v>4.8234955204774179</c:v>
                </c:pt>
                <c:pt idx="5">
                  <c:v>6.453054817936005</c:v>
                </c:pt>
                <c:pt idx="6">
                  <c:v>8.0826141153945912</c:v>
                </c:pt>
                <c:pt idx="7">
                  <c:v>8.2129788591912778</c:v>
                </c:pt>
                <c:pt idx="8">
                  <c:v>8.3433436029879644</c:v>
                </c:pt>
                <c:pt idx="9">
                  <c:v>8.4867448211643204</c:v>
                </c:pt>
                <c:pt idx="10">
                  <c:v>8.5519271930626637</c:v>
                </c:pt>
                <c:pt idx="11">
                  <c:v>8.7409560715678598</c:v>
                </c:pt>
                <c:pt idx="12">
                  <c:v>8.9690943732120623</c:v>
                </c:pt>
                <c:pt idx="13">
                  <c:v>9.0668679310595781</c:v>
                </c:pt>
                <c:pt idx="14">
                  <c:v>9.2298238608054373</c:v>
                </c:pt>
                <c:pt idx="15">
                  <c:v>9.2950062327037806</c:v>
                </c:pt>
                <c:pt idx="16">
                  <c:v>9.3992980277411302</c:v>
                </c:pt>
                <c:pt idx="17">
                  <c:v>9.5426992459174862</c:v>
                </c:pt>
                <c:pt idx="18">
                  <c:v>9.7382463616125161</c:v>
                </c:pt>
                <c:pt idx="19">
                  <c:v>9.8686111054092027</c:v>
                </c:pt>
                <c:pt idx="20">
                  <c:v>9.9989758492058893</c:v>
                </c:pt>
                <c:pt idx="21">
                  <c:v>10.135858830192412</c:v>
                </c:pt>
                <c:pt idx="22">
                  <c:v>10.233632388039927</c:v>
                </c:pt>
                <c:pt idx="23">
                  <c:v>10.363997131836614</c:v>
                </c:pt>
                <c:pt idx="24">
                  <c:v>10.44873421530446</c:v>
                </c:pt>
              </c:numCache>
            </c:numRef>
          </c:xVal>
          <c:yVal>
            <c:numRef>
              <c:f>Summary!$T$4:$T$28</c:f>
              <c:numCache>
                <c:formatCode>General</c:formatCode>
                <c:ptCount val="25"/>
                <c:pt idx="0">
                  <c:v>-0.9699272238427924</c:v>
                </c:pt>
                <c:pt idx="1">
                  <c:v>-0.30485532560870487</c:v>
                </c:pt>
                <c:pt idx="2">
                  <c:v>-0.27637731788407677</c:v>
                </c:pt>
                <c:pt idx="3">
                  <c:v>-0.27637731788407677</c:v>
                </c:pt>
                <c:pt idx="4">
                  <c:v>-0.21942130243482039</c:v>
                </c:pt>
                <c:pt idx="5">
                  <c:v>-0.18498657424642811</c:v>
                </c:pt>
                <c:pt idx="6">
                  <c:v>-0.1022043313004854</c:v>
                </c:pt>
                <c:pt idx="7">
                  <c:v>0.13453408944685141</c:v>
                </c:pt>
                <c:pt idx="8">
                  <c:v>0.13453408944685141</c:v>
                </c:pt>
                <c:pt idx="9">
                  <c:v>0.50984620391538082</c:v>
                </c:pt>
                <c:pt idx="10">
                  <c:v>0.53500995223988312</c:v>
                </c:pt>
                <c:pt idx="11">
                  <c:v>1.350264179684572</c:v>
                </c:pt>
                <c:pt idx="12">
                  <c:v>2.0331408656116561</c:v>
                </c:pt>
                <c:pt idx="13">
                  <c:v>2.9964199288260804</c:v>
                </c:pt>
                <c:pt idx="14">
                  <c:v>2.9964199288260804</c:v>
                </c:pt>
                <c:pt idx="15">
                  <c:v>2.9964199288260804</c:v>
                </c:pt>
                <c:pt idx="16">
                  <c:v>2.9964199288260804</c:v>
                </c:pt>
                <c:pt idx="17">
                  <c:v>3.1922745243558639</c:v>
                </c:pt>
                <c:pt idx="18">
                  <c:v>3.3331656114103958</c:v>
                </c:pt>
                <c:pt idx="19">
                  <c:v>3.3409659835002232</c:v>
                </c:pt>
                <c:pt idx="20">
                  <c:v>3.3409659835002232</c:v>
                </c:pt>
                <c:pt idx="21">
                  <c:v>5.4062110921599649</c:v>
                </c:pt>
                <c:pt idx="22">
                  <c:v>5.4062110921599649</c:v>
                </c:pt>
                <c:pt idx="23">
                  <c:v>8.7610183979777254</c:v>
                </c:pt>
                <c:pt idx="24">
                  <c:v>8.2757975337199063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A7-4A1B-8A1C-C4C690D9E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929008"/>
        <c:axId val="991926056"/>
      </c:scatterChart>
      <c:valAx>
        <c:axId val="991929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Carbon abated:ktCO2e/yr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926056"/>
        <c:crosses val="autoZero"/>
        <c:crossBetween val="midCat"/>
      </c:valAx>
      <c:valAx>
        <c:axId val="99192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929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General Aviation airport's MACC evolution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2019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Summary!$U$4:$U$28</c:f>
              <c:numCache>
                <c:formatCode>General</c:formatCode>
                <c:ptCount val="25"/>
                <c:pt idx="0">
                  <c:v>7.5471698113207548E-3</c:v>
                </c:pt>
                <c:pt idx="1">
                  <c:v>2.1383647798742137E-2</c:v>
                </c:pt>
                <c:pt idx="2">
                  <c:v>2.8930817610062894E-2</c:v>
                </c:pt>
                <c:pt idx="3">
                  <c:v>3.3962264150943396E-2</c:v>
                </c:pt>
                <c:pt idx="4">
                  <c:v>4.6540880503144651E-2</c:v>
                </c:pt>
                <c:pt idx="5">
                  <c:v>6.2264150943396226E-2</c:v>
                </c:pt>
                <c:pt idx="6">
                  <c:v>7.7987421383647795E-2</c:v>
                </c:pt>
                <c:pt idx="7">
                  <c:v>7.9245283018867921E-2</c:v>
                </c:pt>
                <c:pt idx="8">
                  <c:v>8.0503144654088046E-2</c:v>
                </c:pt>
                <c:pt idx="9">
                  <c:v>8.188679245283019E-2</c:v>
                </c:pt>
                <c:pt idx="10">
                  <c:v>8.2515723270440253E-2</c:v>
                </c:pt>
                <c:pt idx="11">
                  <c:v>8.4339622641509432E-2</c:v>
                </c:pt>
                <c:pt idx="12">
                  <c:v>8.6540880503144652E-2</c:v>
                </c:pt>
                <c:pt idx="13">
                  <c:v>8.7484276729559746E-2</c:v>
                </c:pt>
                <c:pt idx="14">
                  <c:v>8.9056603773584903E-2</c:v>
                </c:pt>
                <c:pt idx="15">
                  <c:v>8.9685534591194965E-2</c:v>
                </c:pt>
                <c:pt idx="16">
                  <c:v>9.0691823899371068E-2</c:v>
                </c:pt>
                <c:pt idx="17">
                  <c:v>9.2075471698113212E-2</c:v>
                </c:pt>
                <c:pt idx="18">
                  <c:v>9.3333333333333338E-2</c:v>
                </c:pt>
                <c:pt idx="19">
                  <c:v>9.4591194968553463E-2</c:v>
                </c:pt>
                <c:pt idx="20">
                  <c:v>9.6477987421383651E-2</c:v>
                </c:pt>
                <c:pt idx="21">
                  <c:v>9.7798742138364786E-2</c:v>
                </c:pt>
                <c:pt idx="22">
                  <c:v>9.874213836477988E-2</c:v>
                </c:pt>
                <c:pt idx="23">
                  <c:v>0.1</c:v>
                </c:pt>
                <c:pt idx="24">
                  <c:v>0.10081761006289308</c:v>
                </c:pt>
              </c:numCache>
            </c:numRef>
          </c:xVal>
          <c:yVal>
            <c:numRef>
              <c:f>Summary!$V$4:$V$28</c:f>
              <c:numCache>
                <c:formatCode>General</c:formatCode>
                <c:ptCount val="25"/>
                <c:pt idx="0">
                  <c:v>-0.94987870640465422</c:v>
                </c:pt>
                <c:pt idx="1">
                  <c:v>-0.28586998712561951</c:v>
                </c:pt>
                <c:pt idx="2">
                  <c:v>-0.23840664091790578</c:v>
                </c:pt>
                <c:pt idx="3">
                  <c:v>-0.23840664091790578</c:v>
                </c:pt>
                <c:pt idx="4">
                  <c:v>-0.14347994850247839</c:v>
                </c:pt>
                <c:pt idx="5">
                  <c:v>-0.13846968723611039</c:v>
                </c:pt>
                <c:pt idx="6">
                  <c:v>7.6573028079437847E-2</c:v>
                </c:pt>
                <c:pt idx="7">
                  <c:v>0.50420411664041909</c:v>
                </c:pt>
                <c:pt idx="8">
                  <c:v>0.50420411664041909</c:v>
                </c:pt>
                <c:pt idx="9">
                  <c:v>1.120169129269551</c:v>
                </c:pt>
                <c:pt idx="10">
                  <c:v>1.1716638879621391</c:v>
                </c:pt>
                <c:pt idx="11">
                  <c:v>2.5208657555515366</c:v>
                </c:pt>
                <c:pt idx="12">
                  <c:v>3.6685487435817601</c:v>
                </c:pt>
                <c:pt idx="13">
                  <c:v>5.2644586707873833</c:v>
                </c:pt>
                <c:pt idx="14">
                  <c:v>5.2644586707873833</c:v>
                </c:pt>
                <c:pt idx="15">
                  <c:v>5.2644586707873833</c:v>
                </c:pt>
                <c:pt idx="16">
                  <c:v>5.2644586707873833</c:v>
                </c:pt>
                <c:pt idx="17">
                  <c:v>5.5908829966703557</c:v>
                </c:pt>
                <c:pt idx="18">
                  <c:v>5.7665074158755081</c:v>
                </c:pt>
                <c:pt idx="19">
                  <c:v>5.7665074158755081</c:v>
                </c:pt>
                <c:pt idx="20">
                  <c:v>5.8352566532463275</c:v>
                </c:pt>
                <c:pt idx="21">
                  <c:v>9.2807772763438585</c:v>
                </c:pt>
                <c:pt idx="22">
                  <c:v>9.2807772763438585</c:v>
                </c:pt>
                <c:pt idx="23">
                  <c:v>14.872122786040128</c:v>
                </c:pt>
                <c:pt idx="24">
                  <c:v>14.872122786040128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A6-4518-9902-6541CA670B0D}"/>
            </c:ext>
          </c:extLst>
        </c:ser>
        <c:ser>
          <c:idx val="1"/>
          <c:order val="1"/>
          <c:tx>
            <c:v>2030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Summary!$W$4:$W$28</c:f>
              <c:numCache>
                <c:formatCode>General</c:formatCode>
                <c:ptCount val="25"/>
                <c:pt idx="0">
                  <c:v>8.5031446540880518E-3</c:v>
                </c:pt>
                <c:pt idx="1">
                  <c:v>2.4092243186582811E-2</c:v>
                </c:pt>
                <c:pt idx="2">
                  <c:v>3.2595387840670863E-2</c:v>
                </c:pt>
                <c:pt idx="3">
                  <c:v>3.8264150943396233E-2</c:v>
                </c:pt>
                <c:pt idx="4">
                  <c:v>5.2436058700209648E-2</c:v>
                </c:pt>
                <c:pt idx="5">
                  <c:v>7.015094339622642E-2</c:v>
                </c:pt>
                <c:pt idx="6">
                  <c:v>8.7865828092243192E-2</c:v>
                </c:pt>
                <c:pt idx="7">
                  <c:v>8.928301886792453E-2</c:v>
                </c:pt>
                <c:pt idx="8">
                  <c:v>9.0700209643605867E-2</c:v>
                </c:pt>
                <c:pt idx="9">
                  <c:v>9.2259119496855349E-2</c:v>
                </c:pt>
                <c:pt idx="10">
                  <c:v>9.2967714884696018E-2</c:v>
                </c:pt>
                <c:pt idx="11">
                  <c:v>9.5022641509433958E-2</c:v>
                </c:pt>
                <c:pt idx="12">
                  <c:v>9.7502725366876306E-2</c:v>
                </c:pt>
                <c:pt idx="13">
                  <c:v>9.8565618448637315E-2</c:v>
                </c:pt>
                <c:pt idx="14">
                  <c:v>0.10033710691823899</c:v>
                </c:pt>
                <c:pt idx="15">
                  <c:v>0.10104570230607966</c:v>
                </c:pt>
                <c:pt idx="16">
                  <c:v>0.10217945492662474</c:v>
                </c:pt>
                <c:pt idx="17">
                  <c:v>0.10373836477987422</c:v>
                </c:pt>
                <c:pt idx="18">
                  <c:v>0.10515555555555556</c:v>
                </c:pt>
                <c:pt idx="19">
                  <c:v>0.1065727463312369</c:v>
                </c:pt>
                <c:pt idx="20">
                  <c:v>0.10869853249475891</c:v>
                </c:pt>
                <c:pt idx="21">
                  <c:v>0.11018658280922432</c:v>
                </c:pt>
                <c:pt idx="22">
                  <c:v>0.11124947589098533</c:v>
                </c:pt>
                <c:pt idx="23">
                  <c:v>0.11266666666666666</c:v>
                </c:pt>
                <c:pt idx="24">
                  <c:v>0.11358784067085954</c:v>
                </c:pt>
              </c:numCache>
            </c:numRef>
          </c:xVal>
          <c:yVal>
            <c:numRef>
              <c:f>Summary!$X$4:$X$28</c:f>
              <c:numCache>
                <c:formatCode>General</c:formatCode>
                <c:ptCount val="25"/>
                <c:pt idx="0">
                  <c:v>-0.95739690044395609</c:v>
                </c:pt>
                <c:pt idx="1">
                  <c:v>-0.29298948905677658</c:v>
                </c:pt>
                <c:pt idx="2">
                  <c:v>-0.25264564478021995</c:v>
                </c:pt>
                <c:pt idx="3">
                  <c:v>-0.25264564478021995</c:v>
                </c:pt>
                <c:pt idx="4">
                  <c:v>-0.17195795622710669</c:v>
                </c:pt>
                <c:pt idx="5">
                  <c:v>-0.15591351986497953</c:v>
                </c:pt>
                <c:pt idx="6">
                  <c:v>9.5315183119666306E-3</c:v>
                </c:pt>
                <c:pt idx="7">
                  <c:v>0.36557785644283125</c:v>
                </c:pt>
                <c:pt idx="8">
                  <c:v>0.36557785644283125</c:v>
                </c:pt>
                <c:pt idx="9">
                  <c:v>0.89129803226173732</c:v>
                </c:pt>
                <c:pt idx="10">
                  <c:v>0.93291866206629326</c:v>
                </c:pt>
                <c:pt idx="11">
                  <c:v>2.0818901646014245</c:v>
                </c:pt>
                <c:pt idx="12">
                  <c:v>3.055270789342972</c:v>
                </c:pt>
                <c:pt idx="13">
                  <c:v>4.4139441425518946</c:v>
                </c:pt>
                <c:pt idx="14">
                  <c:v>4.4139441425518946</c:v>
                </c:pt>
                <c:pt idx="15">
                  <c:v>4.4139441425518946</c:v>
                </c:pt>
                <c:pt idx="16">
                  <c:v>4.4139441425518946</c:v>
                </c:pt>
                <c:pt idx="17">
                  <c:v>4.6914048195524209</c:v>
                </c:pt>
                <c:pt idx="18">
                  <c:v>4.8569293787347751</c:v>
                </c:pt>
                <c:pt idx="19">
                  <c:v>4.8569293787347751</c:v>
                </c:pt>
                <c:pt idx="20">
                  <c:v>4.8969725125578529</c:v>
                </c:pt>
                <c:pt idx="21">
                  <c:v>7.8278149572748985</c:v>
                </c:pt>
                <c:pt idx="22">
                  <c:v>7.8278149572748985</c:v>
                </c:pt>
                <c:pt idx="23">
                  <c:v>12.580458640516728</c:v>
                </c:pt>
                <c:pt idx="24">
                  <c:v>12.580458640516728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A6-4518-9902-6541CA670B0D}"/>
            </c:ext>
          </c:extLst>
        </c:ser>
        <c:ser>
          <c:idx val="2"/>
          <c:order val="2"/>
          <c:tx>
            <c:v>2040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Summary!$Y$4:$Y$28</c:f>
              <c:numCache>
                <c:formatCode>General</c:formatCode>
                <c:ptCount val="25"/>
                <c:pt idx="0">
                  <c:v>1.4088050314465408E-2</c:v>
                </c:pt>
                <c:pt idx="1">
                  <c:v>3.9916142557651989E-2</c:v>
                </c:pt>
                <c:pt idx="2">
                  <c:v>5.4004192872117399E-2</c:v>
                </c:pt>
                <c:pt idx="3">
                  <c:v>6.3396226415094334E-2</c:v>
                </c:pt>
                <c:pt idx="4">
                  <c:v>8.6876310272536672E-2</c:v>
                </c:pt>
                <c:pt idx="5">
                  <c:v>0.11622641509433961</c:v>
                </c:pt>
                <c:pt idx="6">
                  <c:v>0.14557651991614254</c:v>
                </c:pt>
                <c:pt idx="7">
                  <c:v>0.14792452830188677</c:v>
                </c:pt>
                <c:pt idx="8">
                  <c:v>0.15027253668763099</c:v>
                </c:pt>
                <c:pt idx="9">
                  <c:v>0.15285534591194966</c:v>
                </c:pt>
                <c:pt idx="10">
                  <c:v>0.15402935010482177</c:v>
                </c:pt>
                <c:pt idx="11">
                  <c:v>0.15743396226415091</c:v>
                </c:pt>
                <c:pt idx="12">
                  <c:v>0.16154297693920333</c:v>
                </c:pt>
                <c:pt idx="13">
                  <c:v>0.1633039832285115</c:v>
                </c:pt>
                <c:pt idx="14">
                  <c:v>0.16623899371069178</c:v>
                </c:pt>
                <c:pt idx="15">
                  <c:v>0.1674129979035639</c:v>
                </c:pt>
                <c:pt idx="16">
                  <c:v>0.16929140461215927</c:v>
                </c:pt>
                <c:pt idx="17">
                  <c:v>0.17187421383647794</c:v>
                </c:pt>
                <c:pt idx="18">
                  <c:v>0.17539622641509428</c:v>
                </c:pt>
                <c:pt idx="19">
                  <c:v>0.17774423480083851</c:v>
                </c:pt>
                <c:pt idx="20">
                  <c:v>0.18009224318658273</c:v>
                </c:pt>
                <c:pt idx="21">
                  <c:v>0.18255765199161417</c:v>
                </c:pt>
                <c:pt idx="22">
                  <c:v>0.18431865828092234</c:v>
                </c:pt>
                <c:pt idx="23">
                  <c:v>0.18666666666666656</c:v>
                </c:pt>
                <c:pt idx="24">
                  <c:v>0.18819287211740032</c:v>
                </c:pt>
              </c:numCache>
            </c:numRef>
          </c:xVal>
          <c:yVal>
            <c:numRef>
              <c:f>Summary!$Z$4:$Z$28</c:f>
              <c:numCache>
                <c:formatCode>General</c:formatCode>
                <c:ptCount val="25"/>
                <c:pt idx="0">
                  <c:v>-0.9699272238427924</c:v>
                </c:pt>
                <c:pt idx="1">
                  <c:v>-0.30485532560870487</c:v>
                </c:pt>
                <c:pt idx="2">
                  <c:v>-0.27637731788407677</c:v>
                </c:pt>
                <c:pt idx="3">
                  <c:v>-0.27637731788407677</c:v>
                </c:pt>
                <c:pt idx="4">
                  <c:v>-0.21942130243482039</c:v>
                </c:pt>
                <c:pt idx="5">
                  <c:v>-0.18498657424642811</c:v>
                </c:pt>
                <c:pt idx="6">
                  <c:v>-0.1022043313004854</c:v>
                </c:pt>
                <c:pt idx="7">
                  <c:v>0.13453408944685141</c:v>
                </c:pt>
                <c:pt idx="8">
                  <c:v>0.13453408944685141</c:v>
                </c:pt>
                <c:pt idx="9">
                  <c:v>0.50984620391538082</c:v>
                </c:pt>
                <c:pt idx="10">
                  <c:v>0.53500995223988312</c:v>
                </c:pt>
                <c:pt idx="11">
                  <c:v>1.350264179684572</c:v>
                </c:pt>
                <c:pt idx="12">
                  <c:v>2.0331408656116561</c:v>
                </c:pt>
                <c:pt idx="13">
                  <c:v>2.9964199288260804</c:v>
                </c:pt>
                <c:pt idx="14">
                  <c:v>2.9964199288260804</c:v>
                </c:pt>
                <c:pt idx="15">
                  <c:v>2.9964199288260804</c:v>
                </c:pt>
                <c:pt idx="16">
                  <c:v>2.9964199288260804</c:v>
                </c:pt>
                <c:pt idx="17">
                  <c:v>3.1922745243558639</c:v>
                </c:pt>
                <c:pt idx="18">
                  <c:v>3.3331656114103958</c:v>
                </c:pt>
                <c:pt idx="19">
                  <c:v>3.3409659835002232</c:v>
                </c:pt>
                <c:pt idx="20">
                  <c:v>3.3409659835002232</c:v>
                </c:pt>
                <c:pt idx="21">
                  <c:v>5.4062110921599649</c:v>
                </c:pt>
                <c:pt idx="22">
                  <c:v>5.4062110921599649</c:v>
                </c:pt>
                <c:pt idx="23">
                  <c:v>8.7610183979777254</c:v>
                </c:pt>
                <c:pt idx="24">
                  <c:v>8.7610183979777254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A6-4518-9902-6541CA670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6392584"/>
        <c:axId val="1166393240"/>
      </c:scatterChart>
      <c:valAx>
        <c:axId val="1166392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Carbon abated: ktCO2e/yr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6393240"/>
        <c:crosses val="autoZero"/>
        <c:crossBetween val="midCat"/>
      </c:valAx>
      <c:valAx>
        <c:axId val="1166393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6392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Medium airport's MACC evolution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48381452318461"/>
          <c:y val="0.17171296296296296"/>
          <c:w val="0.79968263342082235"/>
          <c:h val="0.70696741032370958"/>
        </c:manualLayout>
      </c:layout>
      <c:scatterChart>
        <c:scatterStyle val="lineMarker"/>
        <c:varyColors val="0"/>
        <c:ser>
          <c:idx val="0"/>
          <c:order val="0"/>
          <c:tx>
            <c:v>Large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Summary!$C$4:$C$28</c:f>
              <c:numCache>
                <c:formatCode>General</c:formatCode>
                <c:ptCount val="25"/>
                <c:pt idx="0">
                  <c:v>8.10062893081761</c:v>
                </c:pt>
                <c:pt idx="1">
                  <c:v>22.951781970649897</c:v>
                </c:pt>
                <c:pt idx="2">
                  <c:v>31.052410901467507</c:v>
                </c:pt>
                <c:pt idx="3">
                  <c:v>36.452830188679243</c:v>
                </c:pt>
                <c:pt idx="4">
                  <c:v>49.953878406708597</c:v>
                </c:pt>
                <c:pt idx="5">
                  <c:v>66.830188679245282</c:v>
                </c:pt>
                <c:pt idx="6">
                  <c:v>83.706498951781967</c:v>
                </c:pt>
                <c:pt idx="7">
                  <c:v>85.056603773584897</c:v>
                </c:pt>
                <c:pt idx="8">
                  <c:v>86.406708595387826</c:v>
                </c:pt>
                <c:pt idx="9">
                  <c:v>87.891823899371062</c:v>
                </c:pt>
                <c:pt idx="10">
                  <c:v>88.566876310272534</c:v>
                </c:pt>
                <c:pt idx="11">
                  <c:v>90.524528301886789</c:v>
                </c:pt>
                <c:pt idx="12">
                  <c:v>92.88721174004192</c:v>
                </c:pt>
                <c:pt idx="13">
                  <c:v>93.899790356394121</c:v>
                </c:pt>
                <c:pt idx="14">
                  <c:v>95.587421383647794</c:v>
                </c:pt>
                <c:pt idx="15">
                  <c:v>96.262473794549265</c:v>
                </c:pt>
                <c:pt idx="16">
                  <c:v>97.342557651991612</c:v>
                </c:pt>
                <c:pt idx="17">
                  <c:v>98.827672955974847</c:v>
                </c:pt>
                <c:pt idx="18">
                  <c:v>100.17777777777778</c:v>
                </c:pt>
                <c:pt idx="19">
                  <c:v>101.52788259958071</c:v>
                </c:pt>
                <c:pt idx="20">
                  <c:v>103.55303983228511</c:v>
                </c:pt>
                <c:pt idx="21">
                  <c:v>104.97064989517818</c:v>
                </c:pt>
                <c:pt idx="22">
                  <c:v>105.98322851153038</c:v>
                </c:pt>
                <c:pt idx="23">
                  <c:v>107.33333333333331</c:v>
                </c:pt>
                <c:pt idx="24">
                  <c:v>108.21090146750522</c:v>
                </c:pt>
              </c:numCache>
            </c:numRef>
          </c:xVal>
          <c:yVal>
            <c:numRef>
              <c:f>Summary!$D$4:$D$28</c:f>
              <c:numCache>
                <c:formatCode>General</c:formatCode>
                <c:ptCount val="25"/>
                <c:pt idx="0">
                  <c:v>-0.94987870640465422</c:v>
                </c:pt>
                <c:pt idx="1">
                  <c:v>-0.28586998712561951</c:v>
                </c:pt>
                <c:pt idx="2">
                  <c:v>-0.23840664091790578</c:v>
                </c:pt>
                <c:pt idx="3">
                  <c:v>-0.23840664091790578</c:v>
                </c:pt>
                <c:pt idx="4">
                  <c:v>-0.14347994850247839</c:v>
                </c:pt>
                <c:pt idx="5">
                  <c:v>-0.13846968723611039</c:v>
                </c:pt>
                <c:pt idx="6">
                  <c:v>7.6573028079437847E-2</c:v>
                </c:pt>
                <c:pt idx="7">
                  <c:v>0.50420411664041909</c:v>
                </c:pt>
                <c:pt idx="8">
                  <c:v>0.50420411664041909</c:v>
                </c:pt>
                <c:pt idx="9">
                  <c:v>1.120169129269551</c:v>
                </c:pt>
                <c:pt idx="10">
                  <c:v>1.1716638879621391</c:v>
                </c:pt>
                <c:pt idx="11">
                  <c:v>2.5208657555515366</c:v>
                </c:pt>
                <c:pt idx="12">
                  <c:v>3.6685487435817601</c:v>
                </c:pt>
                <c:pt idx="13">
                  <c:v>5.2644586707873833</c:v>
                </c:pt>
                <c:pt idx="14">
                  <c:v>5.2644586707873833</c:v>
                </c:pt>
                <c:pt idx="15">
                  <c:v>5.2644586707873833</c:v>
                </c:pt>
                <c:pt idx="16">
                  <c:v>5.2644586707873833</c:v>
                </c:pt>
                <c:pt idx="17">
                  <c:v>5.5908829966703557</c:v>
                </c:pt>
                <c:pt idx="18">
                  <c:v>5.7123614063489203</c:v>
                </c:pt>
                <c:pt idx="19">
                  <c:v>5.7123614063489203</c:v>
                </c:pt>
                <c:pt idx="20">
                  <c:v>5.8352566532463275</c:v>
                </c:pt>
                <c:pt idx="21">
                  <c:v>9.2807772763438585</c:v>
                </c:pt>
                <c:pt idx="22">
                  <c:v>9.2807772763438585</c:v>
                </c:pt>
                <c:pt idx="23">
                  <c:v>14.872122786040128</c:v>
                </c:pt>
                <c:pt idx="24">
                  <c:v>14.872122786040128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46-40C2-83D8-A36E00147817}"/>
            </c:ext>
          </c:extLst>
        </c:ser>
        <c:ser>
          <c:idx val="1"/>
          <c:order val="1"/>
          <c:tx>
            <c:v>Medium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Summary!$I$4:$I$28</c:f>
              <c:numCache>
                <c:formatCode>0.0</c:formatCode>
                <c:ptCount val="25"/>
                <c:pt idx="0">
                  <c:v>2.2893081761006289</c:v>
                </c:pt>
                <c:pt idx="1">
                  <c:v>6.4863731656184491</c:v>
                </c:pt>
                <c:pt idx="2">
                  <c:v>8.7756813417190784</c:v>
                </c:pt>
                <c:pt idx="3">
                  <c:v>10.30188679245283</c:v>
                </c:pt>
                <c:pt idx="4">
                  <c:v>14.117400419287211</c:v>
                </c:pt>
                <c:pt idx="5">
                  <c:v>18.886792452830189</c:v>
                </c:pt>
                <c:pt idx="6">
                  <c:v>23.656184486373167</c:v>
                </c:pt>
                <c:pt idx="7">
                  <c:v>24.037735849056606</c:v>
                </c:pt>
                <c:pt idx="8">
                  <c:v>24.419287211740045</c:v>
                </c:pt>
                <c:pt idx="9">
                  <c:v>24.838993710691827</c:v>
                </c:pt>
                <c:pt idx="10">
                  <c:v>25.029769392033547</c:v>
                </c:pt>
                <c:pt idx="11">
                  <c:v>25.583018867924533</c:v>
                </c:pt>
                <c:pt idx="12">
                  <c:v>26.250733752620551</c:v>
                </c:pt>
                <c:pt idx="13">
                  <c:v>26.53689727463313</c:v>
                </c:pt>
                <c:pt idx="14">
                  <c:v>27.013836477987429</c:v>
                </c:pt>
                <c:pt idx="15">
                  <c:v>27.204612159329148</c:v>
                </c:pt>
                <c:pt idx="16">
                  <c:v>27.509853249475899</c:v>
                </c:pt>
                <c:pt idx="17">
                  <c:v>27.929559748427682</c:v>
                </c:pt>
                <c:pt idx="18">
                  <c:v>28.311111111111121</c:v>
                </c:pt>
                <c:pt idx="19">
                  <c:v>28.692662473794559</c:v>
                </c:pt>
                <c:pt idx="20">
                  <c:v>29.264989517819718</c:v>
                </c:pt>
                <c:pt idx="21">
                  <c:v>29.665618448637328</c:v>
                </c:pt>
                <c:pt idx="22">
                  <c:v>29.951781970649908</c:v>
                </c:pt>
                <c:pt idx="23">
                  <c:v>30.333333333333346</c:v>
                </c:pt>
                <c:pt idx="24">
                  <c:v>30.581341719077582</c:v>
                </c:pt>
              </c:numCache>
            </c:numRef>
          </c:xVal>
          <c:yVal>
            <c:numRef>
              <c:f>Summary!$J$4:$J$28</c:f>
              <c:numCache>
                <c:formatCode>0.0</c:formatCode>
                <c:ptCount val="25"/>
                <c:pt idx="0">
                  <c:v>-0.94987870640465422</c:v>
                </c:pt>
                <c:pt idx="1">
                  <c:v>-0.28586998712561951</c:v>
                </c:pt>
                <c:pt idx="2">
                  <c:v>-0.23840664091790578</c:v>
                </c:pt>
                <c:pt idx="3">
                  <c:v>-0.23840664091790578</c:v>
                </c:pt>
                <c:pt idx="4">
                  <c:v>-0.14347994850247839</c:v>
                </c:pt>
                <c:pt idx="5">
                  <c:v>-0.13846968723611039</c:v>
                </c:pt>
                <c:pt idx="6">
                  <c:v>7.6573028079437847E-2</c:v>
                </c:pt>
                <c:pt idx="7">
                  <c:v>0.50420411664041909</c:v>
                </c:pt>
                <c:pt idx="8">
                  <c:v>0.50420411664041909</c:v>
                </c:pt>
                <c:pt idx="9">
                  <c:v>1.120169129269551</c:v>
                </c:pt>
                <c:pt idx="10">
                  <c:v>1.1716638879621391</c:v>
                </c:pt>
                <c:pt idx="11">
                  <c:v>2.5208657555515366</c:v>
                </c:pt>
                <c:pt idx="12">
                  <c:v>3.6685487435817601</c:v>
                </c:pt>
                <c:pt idx="13">
                  <c:v>5.2644586707873833</c:v>
                </c:pt>
                <c:pt idx="14">
                  <c:v>5.2644586707873833</c:v>
                </c:pt>
                <c:pt idx="15">
                  <c:v>5.2644586707873833</c:v>
                </c:pt>
                <c:pt idx="16">
                  <c:v>5.2644586707873833</c:v>
                </c:pt>
                <c:pt idx="17">
                  <c:v>5.5908829966703557</c:v>
                </c:pt>
                <c:pt idx="18">
                  <c:v>5.7665074158755081</c:v>
                </c:pt>
                <c:pt idx="19">
                  <c:v>5.7665074158755081</c:v>
                </c:pt>
                <c:pt idx="20">
                  <c:v>5.8352566532463275</c:v>
                </c:pt>
                <c:pt idx="21">
                  <c:v>9.2807772763438585</c:v>
                </c:pt>
                <c:pt idx="22">
                  <c:v>9.2807772763438585</c:v>
                </c:pt>
                <c:pt idx="23">
                  <c:v>14.872122786040128</c:v>
                </c:pt>
                <c:pt idx="24">
                  <c:v>14.872122786040128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46-40C2-83D8-A36E00147817}"/>
            </c:ext>
          </c:extLst>
        </c:ser>
        <c:ser>
          <c:idx val="2"/>
          <c:order val="2"/>
          <c:tx>
            <c:v>Small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Summary!$O$4:$O$28</c:f>
              <c:numCache>
                <c:formatCode>General</c:formatCode>
                <c:ptCount val="25"/>
                <c:pt idx="0">
                  <c:v>0.679245283018868</c:v>
                </c:pt>
                <c:pt idx="1">
                  <c:v>1.9245283018867925</c:v>
                </c:pt>
                <c:pt idx="2">
                  <c:v>2.6037735849056602</c:v>
                </c:pt>
                <c:pt idx="3">
                  <c:v>3.0566037735849054</c:v>
                </c:pt>
                <c:pt idx="4">
                  <c:v>4.1886792452830184</c:v>
                </c:pt>
                <c:pt idx="5">
                  <c:v>5.6037735849056602</c:v>
                </c:pt>
                <c:pt idx="6">
                  <c:v>7.0188679245283021</c:v>
                </c:pt>
                <c:pt idx="7">
                  <c:v>7.1320754716981138</c:v>
                </c:pt>
                <c:pt idx="8">
                  <c:v>7.2452830188679256</c:v>
                </c:pt>
                <c:pt idx="9">
                  <c:v>7.3698113207547182</c:v>
                </c:pt>
                <c:pt idx="10">
                  <c:v>7.4264150943396237</c:v>
                </c:pt>
                <c:pt idx="11">
                  <c:v>7.5905660377358499</c:v>
                </c:pt>
                <c:pt idx="12">
                  <c:v>7.7886792452830198</c:v>
                </c:pt>
                <c:pt idx="13">
                  <c:v>7.8735849056603779</c:v>
                </c:pt>
                <c:pt idx="14">
                  <c:v>8.0150943396226424</c:v>
                </c:pt>
                <c:pt idx="15">
                  <c:v>8.0716981132075478</c:v>
                </c:pt>
                <c:pt idx="16">
                  <c:v>8.1622641509433969</c:v>
                </c:pt>
                <c:pt idx="17">
                  <c:v>8.2867924528301895</c:v>
                </c:pt>
                <c:pt idx="18">
                  <c:v>8.4</c:v>
                </c:pt>
                <c:pt idx="19">
                  <c:v>8.5132075471698112</c:v>
                </c:pt>
                <c:pt idx="20">
                  <c:v>8.6830188679245275</c:v>
                </c:pt>
                <c:pt idx="21">
                  <c:v>8.8018867924528301</c:v>
                </c:pt>
                <c:pt idx="22">
                  <c:v>8.8867924528301891</c:v>
                </c:pt>
                <c:pt idx="23">
                  <c:v>9</c:v>
                </c:pt>
                <c:pt idx="24">
                  <c:v>9.0735849056603772</c:v>
                </c:pt>
              </c:numCache>
            </c:numRef>
          </c:xVal>
          <c:yVal>
            <c:numRef>
              <c:f>Summary!$P$4:$P$28</c:f>
              <c:numCache>
                <c:formatCode>General</c:formatCode>
                <c:ptCount val="25"/>
                <c:pt idx="0">
                  <c:v>-0.94987870640465422</c:v>
                </c:pt>
                <c:pt idx="1">
                  <c:v>-0.28586998712561951</c:v>
                </c:pt>
                <c:pt idx="2">
                  <c:v>-0.23840664091790578</c:v>
                </c:pt>
                <c:pt idx="3">
                  <c:v>-0.23840664091790578</c:v>
                </c:pt>
                <c:pt idx="4">
                  <c:v>-0.14347994850247839</c:v>
                </c:pt>
                <c:pt idx="5">
                  <c:v>-0.13846968723611039</c:v>
                </c:pt>
                <c:pt idx="6">
                  <c:v>7.6573028079437847E-2</c:v>
                </c:pt>
                <c:pt idx="7">
                  <c:v>0.50420411664041909</c:v>
                </c:pt>
                <c:pt idx="8">
                  <c:v>0.50420411664041909</c:v>
                </c:pt>
                <c:pt idx="9">
                  <c:v>1.120169129269551</c:v>
                </c:pt>
                <c:pt idx="10">
                  <c:v>1.1716638879621391</c:v>
                </c:pt>
                <c:pt idx="11">
                  <c:v>2.5208657555515366</c:v>
                </c:pt>
                <c:pt idx="12">
                  <c:v>3.6685487435817601</c:v>
                </c:pt>
                <c:pt idx="13">
                  <c:v>5.2644586707873833</c:v>
                </c:pt>
                <c:pt idx="14">
                  <c:v>5.2644586707873833</c:v>
                </c:pt>
                <c:pt idx="15">
                  <c:v>5.2644586707873833</c:v>
                </c:pt>
                <c:pt idx="16">
                  <c:v>5.2644586707873833</c:v>
                </c:pt>
                <c:pt idx="17">
                  <c:v>5.5908829966703557</c:v>
                </c:pt>
                <c:pt idx="18">
                  <c:v>5.7665074158755081</c:v>
                </c:pt>
                <c:pt idx="19">
                  <c:v>5.7665074158755081</c:v>
                </c:pt>
                <c:pt idx="20">
                  <c:v>5.8352566532463275</c:v>
                </c:pt>
                <c:pt idx="21">
                  <c:v>9.2807772763438585</c:v>
                </c:pt>
                <c:pt idx="22">
                  <c:v>9.2807772763438585</c:v>
                </c:pt>
                <c:pt idx="23">
                  <c:v>14.872122786040128</c:v>
                </c:pt>
                <c:pt idx="24">
                  <c:v>14.872122786040128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46-40C2-83D8-A36E00147817}"/>
            </c:ext>
          </c:extLst>
        </c:ser>
        <c:ser>
          <c:idx val="3"/>
          <c:order val="3"/>
          <c:tx>
            <c:v>General Aviation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Summary!$U$4:$U$28</c:f>
              <c:numCache>
                <c:formatCode>General</c:formatCode>
                <c:ptCount val="25"/>
                <c:pt idx="0">
                  <c:v>7.5471698113207548E-3</c:v>
                </c:pt>
                <c:pt idx="1">
                  <c:v>2.1383647798742137E-2</c:v>
                </c:pt>
                <c:pt idx="2">
                  <c:v>2.8930817610062894E-2</c:v>
                </c:pt>
                <c:pt idx="3">
                  <c:v>3.3962264150943396E-2</c:v>
                </c:pt>
                <c:pt idx="4">
                  <c:v>4.6540880503144651E-2</c:v>
                </c:pt>
                <c:pt idx="5">
                  <c:v>6.2264150943396226E-2</c:v>
                </c:pt>
                <c:pt idx="6">
                  <c:v>7.7987421383647795E-2</c:v>
                </c:pt>
                <c:pt idx="7">
                  <c:v>7.9245283018867921E-2</c:v>
                </c:pt>
                <c:pt idx="8">
                  <c:v>8.0503144654088046E-2</c:v>
                </c:pt>
                <c:pt idx="9">
                  <c:v>8.188679245283019E-2</c:v>
                </c:pt>
                <c:pt idx="10">
                  <c:v>8.2515723270440253E-2</c:v>
                </c:pt>
                <c:pt idx="11">
                  <c:v>8.4339622641509432E-2</c:v>
                </c:pt>
                <c:pt idx="12">
                  <c:v>8.6540880503144652E-2</c:v>
                </c:pt>
                <c:pt idx="13">
                  <c:v>8.7484276729559746E-2</c:v>
                </c:pt>
                <c:pt idx="14">
                  <c:v>8.9056603773584903E-2</c:v>
                </c:pt>
                <c:pt idx="15">
                  <c:v>8.9685534591194965E-2</c:v>
                </c:pt>
                <c:pt idx="16">
                  <c:v>9.0691823899371068E-2</c:v>
                </c:pt>
                <c:pt idx="17">
                  <c:v>9.2075471698113212E-2</c:v>
                </c:pt>
                <c:pt idx="18">
                  <c:v>9.3333333333333338E-2</c:v>
                </c:pt>
                <c:pt idx="19">
                  <c:v>9.4591194968553463E-2</c:v>
                </c:pt>
                <c:pt idx="20">
                  <c:v>9.6477987421383651E-2</c:v>
                </c:pt>
                <c:pt idx="21">
                  <c:v>9.7798742138364786E-2</c:v>
                </c:pt>
                <c:pt idx="22">
                  <c:v>9.874213836477988E-2</c:v>
                </c:pt>
                <c:pt idx="23">
                  <c:v>0.1</c:v>
                </c:pt>
                <c:pt idx="24">
                  <c:v>0.10081761006289308</c:v>
                </c:pt>
              </c:numCache>
            </c:numRef>
          </c:xVal>
          <c:yVal>
            <c:numRef>
              <c:f>Summary!$V$4:$V$28</c:f>
              <c:numCache>
                <c:formatCode>General</c:formatCode>
                <c:ptCount val="25"/>
                <c:pt idx="0">
                  <c:v>-0.94987870640465422</c:v>
                </c:pt>
                <c:pt idx="1">
                  <c:v>-0.28586998712561951</c:v>
                </c:pt>
                <c:pt idx="2">
                  <c:v>-0.23840664091790578</c:v>
                </c:pt>
                <c:pt idx="3">
                  <c:v>-0.23840664091790578</c:v>
                </c:pt>
                <c:pt idx="4">
                  <c:v>-0.14347994850247839</c:v>
                </c:pt>
                <c:pt idx="5">
                  <c:v>-0.13846968723611039</c:v>
                </c:pt>
                <c:pt idx="6">
                  <c:v>7.6573028079437847E-2</c:v>
                </c:pt>
                <c:pt idx="7">
                  <c:v>0.50420411664041909</c:v>
                </c:pt>
                <c:pt idx="8">
                  <c:v>0.50420411664041909</c:v>
                </c:pt>
                <c:pt idx="9">
                  <c:v>1.120169129269551</c:v>
                </c:pt>
                <c:pt idx="10">
                  <c:v>1.1716638879621391</c:v>
                </c:pt>
                <c:pt idx="11">
                  <c:v>2.5208657555515366</c:v>
                </c:pt>
                <c:pt idx="12">
                  <c:v>3.6685487435817601</c:v>
                </c:pt>
                <c:pt idx="13">
                  <c:v>5.2644586707873833</c:v>
                </c:pt>
                <c:pt idx="14">
                  <c:v>5.2644586707873833</c:v>
                </c:pt>
                <c:pt idx="15">
                  <c:v>5.2644586707873833</c:v>
                </c:pt>
                <c:pt idx="16">
                  <c:v>5.2644586707873833</c:v>
                </c:pt>
                <c:pt idx="17">
                  <c:v>5.5908829966703557</c:v>
                </c:pt>
                <c:pt idx="18">
                  <c:v>5.7665074158755081</c:v>
                </c:pt>
                <c:pt idx="19">
                  <c:v>5.7665074158755081</c:v>
                </c:pt>
                <c:pt idx="20">
                  <c:v>5.8352566532463275</c:v>
                </c:pt>
                <c:pt idx="21">
                  <c:v>9.2807772763438585</c:v>
                </c:pt>
                <c:pt idx="22">
                  <c:v>9.2807772763438585</c:v>
                </c:pt>
                <c:pt idx="23">
                  <c:v>14.872122786040128</c:v>
                </c:pt>
                <c:pt idx="24">
                  <c:v>14.872122786040128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46-40C2-83D8-A36E00147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2479640"/>
        <c:axId val="1032477344"/>
      </c:scatterChart>
      <c:valAx>
        <c:axId val="1032479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Carbon abated: ktCO2e/yr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2477344"/>
        <c:crosses val="autoZero"/>
        <c:crossBetween val="midCat"/>
      </c:valAx>
      <c:valAx>
        <c:axId val="103247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£/tCO2e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2479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58255733252114"/>
          <c:y val="0.16708333333333336"/>
          <c:w val="0.80151129174801139"/>
          <c:h val="0.69830013393504564"/>
        </c:manualLayout>
      </c:layout>
      <c:scatterChart>
        <c:scatterStyle val="lineMarker"/>
        <c:varyColors val="0"/>
        <c:ser>
          <c:idx val="0"/>
          <c:order val="0"/>
          <c:tx>
            <c:v>2019</c:v>
          </c:tx>
          <c:spPr>
            <a:ln w="19050" cap="rnd">
              <a:solidFill>
                <a:srgbClr val="33CCCC"/>
              </a:solidFill>
              <a:round/>
            </a:ln>
            <a:effectLst/>
          </c:spPr>
          <c:marker>
            <c:symbol val="none"/>
          </c:marker>
          <c:xVal>
            <c:numRef>
              <c:f>Summary_updatedformatting!$C$4:$C$52</c:f>
              <c:numCache>
                <c:formatCode>General</c:formatCode>
                <c:ptCount val="49"/>
                <c:pt idx="0">
                  <c:v>8.10062893081761</c:v>
                </c:pt>
                <c:pt idx="1">
                  <c:v>22.951781970649897</c:v>
                </c:pt>
                <c:pt idx="2">
                  <c:v>22.951781970649897</c:v>
                </c:pt>
                <c:pt idx="3">
                  <c:v>31.052410901467507</c:v>
                </c:pt>
                <c:pt idx="4">
                  <c:v>31.052410901467507</c:v>
                </c:pt>
                <c:pt idx="5">
                  <c:v>36.452830188679243</c:v>
                </c:pt>
                <c:pt idx="6">
                  <c:v>36.452830188679243</c:v>
                </c:pt>
                <c:pt idx="7">
                  <c:v>49.953878406708597</c:v>
                </c:pt>
                <c:pt idx="8">
                  <c:v>49.953878406708597</c:v>
                </c:pt>
                <c:pt idx="9">
                  <c:v>66.830188679245282</c:v>
                </c:pt>
                <c:pt idx="10">
                  <c:v>66.830188679245282</c:v>
                </c:pt>
                <c:pt idx="11">
                  <c:v>83.706498951781967</c:v>
                </c:pt>
                <c:pt idx="12">
                  <c:v>83.706498951781967</c:v>
                </c:pt>
                <c:pt idx="13">
                  <c:v>85.056603773584897</c:v>
                </c:pt>
                <c:pt idx="14">
                  <c:v>85.056603773584897</c:v>
                </c:pt>
                <c:pt idx="15">
                  <c:v>86.406708595387826</c:v>
                </c:pt>
                <c:pt idx="16">
                  <c:v>86.406708595387826</c:v>
                </c:pt>
                <c:pt idx="17">
                  <c:v>87.891823899371062</c:v>
                </c:pt>
                <c:pt idx="18">
                  <c:v>87.891823899371062</c:v>
                </c:pt>
                <c:pt idx="19">
                  <c:v>88.566876310272534</c:v>
                </c:pt>
                <c:pt idx="20">
                  <c:v>88.566876310272534</c:v>
                </c:pt>
                <c:pt idx="21">
                  <c:v>90.524528301886789</c:v>
                </c:pt>
                <c:pt idx="22">
                  <c:v>90.524528301886789</c:v>
                </c:pt>
                <c:pt idx="23">
                  <c:v>92.88721174004192</c:v>
                </c:pt>
                <c:pt idx="24">
                  <c:v>92.88721174004192</c:v>
                </c:pt>
                <c:pt idx="25">
                  <c:v>93.899790356394121</c:v>
                </c:pt>
                <c:pt idx="26">
                  <c:v>93.899790356394121</c:v>
                </c:pt>
                <c:pt idx="27">
                  <c:v>95.587421383647794</c:v>
                </c:pt>
                <c:pt idx="28">
                  <c:v>95.587421383647794</c:v>
                </c:pt>
                <c:pt idx="29">
                  <c:v>96.262473794549265</c:v>
                </c:pt>
                <c:pt idx="30">
                  <c:v>96.262473794549265</c:v>
                </c:pt>
                <c:pt idx="31">
                  <c:v>97.342557651991612</c:v>
                </c:pt>
                <c:pt idx="32">
                  <c:v>97.342557651991612</c:v>
                </c:pt>
                <c:pt idx="33">
                  <c:v>98.827672955974847</c:v>
                </c:pt>
                <c:pt idx="34">
                  <c:v>98.827672955974847</c:v>
                </c:pt>
                <c:pt idx="35">
                  <c:v>100.17777777777778</c:v>
                </c:pt>
                <c:pt idx="36">
                  <c:v>100.17777777777778</c:v>
                </c:pt>
                <c:pt idx="37">
                  <c:v>101.52788259958071</c:v>
                </c:pt>
                <c:pt idx="38">
                  <c:v>101.52788259958071</c:v>
                </c:pt>
                <c:pt idx="39">
                  <c:v>103.55303983228511</c:v>
                </c:pt>
                <c:pt idx="40">
                  <c:v>103.55303983228511</c:v>
                </c:pt>
                <c:pt idx="41">
                  <c:v>104.97064989517818</c:v>
                </c:pt>
                <c:pt idx="42">
                  <c:v>104.97064989517818</c:v>
                </c:pt>
                <c:pt idx="43">
                  <c:v>105.98322851153038</c:v>
                </c:pt>
                <c:pt idx="44">
                  <c:v>105.98322851153038</c:v>
                </c:pt>
                <c:pt idx="45">
                  <c:v>107.33333333333331</c:v>
                </c:pt>
                <c:pt idx="46">
                  <c:v>107.33333333333331</c:v>
                </c:pt>
                <c:pt idx="47">
                  <c:v>108.21090146750522</c:v>
                </c:pt>
                <c:pt idx="48">
                  <c:v>108.21090146750522</c:v>
                </c:pt>
              </c:numCache>
            </c:numRef>
          </c:xVal>
          <c:yVal>
            <c:numRef>
              <c:f>Summary_updatedformatting!$D$4:$D$52</c:f>
              <c:numCache>
                <c:formatCode>General</c:formatCode>
                <c:ptCount val="49"/>
                <c:pt idx="0">
                  <c:v>-0.94987870640465422</c:v>
                </c:pt>
                <c:pt idx="1">
                  <c:v>-0.94987870640465422</c:v>
                </c:pt>
                <c:pt idx="2">
                  <c:v>-0.28586998712561951</c:v>
                </c:pt>
                <c:pt idx="3">
                  <c:v>-0.28586998712561951</c:v>
                </c:pt>
                <c:pt idx="4">
                  <c:v>-0.23840664091790578</c:v>
                </c:pt>
                <c:pt idx="5">
                  <c:v>-0.23840664091790578</c:v>
                </c:pt>
                <c:pt idx="6">
                  <c:v>-0.23840664091790578</c:v>
                </c:pt>
                <c:pt idx="7">
                  <c:v>-0.23840664091790578</c:v>
                </c:pt>
                <c:pt idx="8">
                  <c:v>-0.14347994850247839</c:v>
                </c:pt>
                <c:pt idx="9">
                  <c:v>-0.14347994850247839</c:v>
                </c:pt>
                <c:pt idx="10">
                  <c:v>-0.13846968723611039</c:v>
                </c:pt>
                <c:pt idx="11">
                  <c:v>-0.13846968723611039</c:v>
                </c:pt>
                <c:pt idx="12">
                  <c:v>7.6573028079437847E-2</c:v>
                </c:pt>
                <c:pt idx="13">
                  <c:v>7.6573028079437847E-2</c:v>
                </c:pt>
                <c:pt idx="14">
                  <c:v>0.50420411664041909</c:v>
                </c:pt>
                <c:pt idx="15">
                  <c:v>0.50420411664041909</c:v>
                </c:pt>
                <c:pt idx="16">
                  <c:v>0.50420411664041909</c:v>
                </c:pt>
                <c:pt idx="17">
                  <c:v>0.50420411664041909</c:v>
                </c:pt>
                <c:pt idx="18">
                  <c:v>1.120169129269551</c:v>
                </c:pt>
                <c:pt idx="19">
                  <c:v>1.120169129269551</c:v>
                </c:pt>
                <c:pt idx="20">
                  <c:v>1.1716638879621391</c:v>
                </c:pt>
                <c:pt idx="21">
                  <c:v>1.1716638879621391</c:v>
                </c:pt>
                <c:pt idx="22">
                  <c:v>2.5208657555515366</c:v>
                </c:pt>
                <c:pt idx="23">
                  <c:v>2.5208657555515366</c:v>
                </c:pt>
                <c:pt idx="24">
                  <c:v>3.6685487435817601</c:v>
                </c:pt>
                <c:pt idx="25">
                  <c:v>3.6685487435817601</c:v>
                </c:pt>
                <c:pt idx="26">
                  <c:v>5.2644586707873833</c:v>
                </c:pt>
                <c:pt idx="27">
                  <c:v>5.2644586707873833</c:v>
                </c:pt>
                <c:pt idx="28">
                  <c:v>5.2644586707873833</c:v>
                </c:pt>
                <c:pt idx="29">
                  <c:v>5.2644586707873833</c:v>
                </c:pt>
                <c:pt idx="30">
                  <c:v>5.2644586707873833</c:v>
                </c:pt>
                <c:pt idx="31">
                  <c:v>5.2644586707873833</c:v>
                </c:pt>
                <c:pt idx="32">
                  <c:v>5.2644586707873833</c:v>
                </c:pt>
                <c:pt idx="33">
                  <c:v>5.2644586707873833</c:v>
                </c:pt>
                <c:pt idx="34">
                  <c:v>5.5908829966703557</c:v>
                </c:pt>
                <c:pt idx="35">
                  <c:v>5.5908829966703557</c:v>
                </c:pt>
                <c:pt idx="36">
                  <c:v>5.7123614063489203</c:v>
                </c:pt>
                <c:pt idx="37">
                  <c:v>5.7123614063489203</c:v>
                </c:pt>
                <c:pt idx="38">
                  <c:v>5.7123614063489203</c:v>
                </c:pt>
                <c:pt idx="39">
                  <c:v>5.7123614063489203</c:v>
                </c:pt>
                <c:pt idx="40">
                  <c:v>5.8352566532463275</c:v>
                </c:pt>
                <c:pt idx="41">
                  <c:v>5.8352566532463275</c:v>
                </c:pt>
                <c:pt idx="42">
                  <c:v>9.2807772763438585</c:v>
                </c:pt>
                <c:pt idx="43">
                  <c:v>9.2807772763438585</c:v>
                </c:pt>
                <c:pt idx="44">
                  <c:v>9.2807772763438585</c:v>
                </c:pt>
                <c:pt idx="45">
                  <c:v>9.2807772763438585</c:v>
                </c:pt>
                <c:pt idx="46">
                  <c:v>14.872122786040128</c:v>
                </c:pt>
                <c:pt idx="47">
                  <c:v>14.872122786040128</c:v>
                </c:pt>
                <c:pt idx="48">
                  <c:v>14.872122786040128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87-4740-9642-C3D7ED5FF5B2}"/>
            </c:ext>
          </c:extLst>
        </c:ser>
        <c:ser>
          <c:idx val="1"/>
          <c:order val="1"/>
          <c:tx>
            <c:v>2030</c:v>
          </c:tx>
          <c:spPr>
            <a:ln w="19050" cap="rnd">
              <a:solidFill>
                <a:srgbClr val="006699"/>
              </a:solidFill>
              <a:round/>
            </a:ln>
            <a:effectLst/>
          </c:spPr>
          <c:marker>
            <c:symbol val="none"/>
          </c:marker>
          <c:xVal>
            <c:numRef>
              <c:f>Summary_updatedformatting!$E$4:$E$52</c:f>
              <c:numCache>
                <c:formatCode>General</c:formatCode>
                <c:ptCount val="49"/>
                <c:pt idx="0">
                  <c:v>8.5274380990488581</c:v>
                </c:pt>
                <c:pt idx="1">
                  <c:v>24.161074613971763</c:v>
                </c:pt>
                <c:pt idx="2">
                  <c:v>24.161074613971763</c:v>
                </c:pt>
                <c:pt idx="3">
                  <c:v>32.688512713020621</c:v>
                </c:pt>
                <c:pt idx="4">
                  <c:v>32.688512713020621</c:v>
                </c:pt>
                <c:pt idx="5">
                  <c:v>38.373471445719858</c:v>
                </c:pt>
                <c:pt idx="6">
                  <c:v>38.373471445719858</c:v>
                </c:pt>
                <c:pt idx="7">
                  <c:v>52.585868277467952</c:v>
                </c:pt>
                <c:pt idx="8">
                  <c:v>52.585868277467952</c:v>
                </c:pt>
                <c:pt idx="9">
                  <c:v>70.35136431715307</c:v>
                </c:pt>
                <c:pt idx="10">
                  <c:v>70.35136431715307</c:v>
                </c:pt>
                <c:pt idx="11">
                  <c:v>88.116860356838188</c:v>
                </c:pt>
                <c:pt idx="12">
                  <c:v>88.116860356838188</c:v>
                </c:pt>
                <c:pt idx="13">
                  <c:v>89.538100040012992</c:v>
                </c:pt>
                <c:pt idx="14">
                  <c:v>89.538100040012992</c:v>
                </c:pt>
                <c:pt idx="15">
                  <c:v>90.959339723187796</c:v>
                </c:pt>
                <c:pt idx="16">
                  <c:v>90.959339723187796</c:v>
                </c:pt>
                <c:pt idx="17">
                  <c:v>92.522703374680091</c:v>
                </c:pt>
                <c:pt idx="18">
                  <c:v>92.522703374680091</c:v>
                </c:pt>
                <c:pt idx="19">
                  <c:v>93.233323216267493</c:v>
                </c:pt>
                <c:pt idx="20">
                  <c:v>93.233323216267493</c:v>
                </c:pt>
                <c:pt idx="21">
                  <c:v>95.294120756870967</c:v>
                </c:pt>
                <c:pt idx="22">
                  <c:v>95.294120756870967</c:v>
                </c:pt>
                <c:pt idx="23">
                  <c:v>97.781290202426888</c:v>
                </c:pt>
                <c:pt idx="24">
                  <c:v>97.781290202426888</c:v>
                </c:pt>
                <c:pt idx="25">
                  <c:v>98.847219964807991</c:v>
                </c:pt>
                <c:pt idx="26">
                  <c:v>98.847219964807991</c:v>
                </c:pt>
                <c:pt idx="27">
                  <c:v>100.62376956877651</c:v>
                </c:pt>
                <c:pt idx="28">
                  <c:v>100.62376956877651</c:v>
                </c:pt>
                <c:pt idx="29">
                  <c:v>101.33438941036391</c:v>
                </c:pt>
                <c:pt idx="30">
                  <c:v>101.33438941036391</c:v>
                </c:pt>
                <c:pt idx="31">
                  <c:v>102.47138115690376</c:v>
                </c:pt>
                <c:pt idx="32">
                  <c:v>102.47138115690376</c:v>
                </c:pt>
                <c:pt idx="33">
                  <c:v>104.03474480839606</c:v>
                </c:pt>
                <c:pt idx="34">
                  <c:v>104.03474480839606</c:v>
                </c:pt>
                <c:pt idx="35">
                  <c:v>105.45598449157086</c:v>
                </c:pt>
                <c:pt idx="36">
                  <c:v>105.45598449157086</c:v>
                </c:pt>
                <c:pt idx="37">
                  <c:v>106.87722417474566</c:v>
                </c:pt>
                <c:pt idx="38">
                  <c:v>106.87722417474566</c:v>
                </c:pt>
                <c:pt idx="39">
                  <c:v>109.00908369950788</c:v>
                </c:pt>
                <c:pt idx="40">
                  <c:v>109.00908369950788</c:v>
                </c:pt>
                <c:pt idx="41">
                  <c:v>110.50138536684143</c:v>
                </c:pt>
                <c:pt idx="42">
                  <c:v>110.50138536684143</c:v>
                </c:pt>
                <c:pt idx="43">
                  <c:v>111.56731512922254</c:v>
                </c:pt>
                <c:pt idx="44">
                  <c:v>111.56731512922254</c:v>
                </c:pt>
                <c:pt idx="45">
                  <c:v>112.98855481239734</c:v>
                </c:pt>
                <c:pt idx="46">
                  <c:v>112.98855481239734</c:v>
                </c:pt>
                <c:pt idx="47">
                  <c:v>113.91236060646096</c:v>
                </c:pt>
                <c:pt idx="48">
                  <c:v>113.91236060646096</c:v>
                </c:pt>
              </c:numCache>
            </c:numRef>
          </c:xVal>
          <c:yVal>
            <c:numRef>
              <c:f>Summary_updatedformatting!$F$4:$F$52</c:f>
              <c:numCache>
                <c:formatCode>General</c:formatCode>
                <c:ptCount val="49"/>
                <c:pt idx="0">
                  <c:v>-0.95739690044395609</c:v>
                </c:pt>
                <c:pt idx="1">
                  <c:v>-0.95739690044395609</c:v>
                </c:pt>
                <c:pt idx="2">
                  <c:v>-0.29298948905677658</c:v>
                </c:pt>
                <c:pt idx="3">
                  <c:v>-0.29298948905677658</c:v>
                </c:pt>
                <c:pt idx="4">
                  <c:v>-0.25264564478021995</c:v>
                </c:pt>
                <c:pt idx="5">
                  <c:v>-0.25264564478021995</c:v>
                </c:pt>
                <c:pt idx="6">
                  <c:v>-0.25264564478021995</c:v>
                </c:pt>
                <c:pt idx="7">
                  <c:v>-0.25264564478021995</c:v>
                </c:pt>
                <c:pt idx="8">
                  <c:v>-0.17195795622710669</c:v>
                </c:pt>
                <c:pt idx="9">
                  <c:v>-0.17195795622710669</c:v>
                </c:pt>
                <c:pt idx="10">
                  <c:v>-0.15591351986497953</c:v>
                </c:pt>
                <c:pt idx="11">
                  <c:v>-0.15591351986497953</c:v>
                </c:pt>
                <c:pt idx="12">
                  <c:v>9.5315183119666306E-3</c:v>
                </c:pt>
                <c:pt idx="13">
                  <c:v>9.5315183119666306E-3</c:v>
                </c:pt>
                <c:pt idx="14">
                  <c:v>0.36557785644283125</c:v>
                </c:pt>
                <c:pt idx="15">
                  <c:v>0.36557785644283125</c:v>
                </c:pt>
                <c:pt idx="16">
                  <c:v>0.36557785644283125</c:v>
                </c:pt>
                <c:pt idx="17">
                  <c:v>0.36557785644283125</c:v>
                </c:pt>
                <c:pt idx="18">
                  <c:v>0.89129803226173732</c:v>
                </c:pt>
                <c:pt idx="19">
                  <c:v>0.89129803226173732</c:v>
                </c:pt>
                <c:pt idx="20">
                  <c:v>0.93291866206629326</c:v>
                </c:pt>
                <c:pt idx="21">
                  <c:v>0.93291866206629326</c:v>
                </c:pt>
                <c:pt idx="22">
                  <c:v>2.0818901646014245</c:v>
                </c:pt>
                <c:pt idx="23">
                  <c:v>2.0818901646014245</c:v>
                </c:pt>
                <c:pt idx="24">
                  <c:v>3.055270789342972</c:v>
                </c:pt>
                <c:pt idx="25">
                  <c:v>3.055270789342972</c:v>
                </c:pt>
                <c:pt idx="26">
                  <c:v>4.4139441425518946</c:v>
                </c:pt>
                <c:pt idx="27">
                  <c:v>4.4139441425518946</c:v>
                </c:pt>
                <c:pt idx="28">
                  <c:v>4.4139441425518946</c:v>
                </c:pt>
                <c:pt idx="29">
                  <c:v>4.4139441425518946</c:v>
                </c:pt>
                <c:pt idx="30">
                  <c:v>4.4139441425518946</c:v>
                </c:pt>
                <c:pt idx="31">
                  <c:v>4.4139441425518946</c:v>
                </c:pt>
                <c:pt idx="32">
                  <c:v>4.4139441425518946</c:v>
                </c:pt>
                <c:pt idx="33">
                  <c:v>4.4139441425518946</c:v>
                </c:pt>
                <c:pt idx="34">
                  <c:v>4.6914048195524209</c:v>
                </c:pt>
                <c:pt idx="35">
                  <c:v>4.6914048195524209</c:v>
                </c:pt>
                <c:pt idx="36">
                  <c:v>4.8027833692081883</c:v>
                </c:pt>
                <c:pt idx="37">
                  <c:v>4.8027833692081883</c:v>
                </c:pt>
                <c:pt idx="38">
                  <c:v>4.8027833692081883</c:v>
                </c:pt>
                <c:pt idx="39">
                  <c:v>4.8027833692081883</c:v>
                </c:pt>
                <c:pt idx="40">
                  <c:v>4.8969725125578529</c:v>
                </c:pt>
                <c:pt idx="41">
                  <c:v>4.8969725125578529</c:v>
                </c:pt>
                <c:pt idx="42">
                  <c:v>7.8278149572748985</c:v>
                </c:pt>
                <c:pt idx="43">
                  <c:v>7.8278149572748985</c:v>
                </c:pt>
                <c:pt idx="44">
                  <c:v>7.8278149572748985</c:v>
                </c:pt>
                <c:pt idx="45">
                  <c:v>7.8278149572748985</c:v>
                </c:pt>
                <c:pt idx="46">
                  <c:v>12.580458640516728</c:v>
                </c:pt>
                <c:pt idx="47">
                  <c:v>12.580458640516728</c:v>
                </c:pt>
                <c:pt idx="48">
                  <c:v>12.580458640516728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87-4740-9642-C3D7ED5FF5B2}"/>
            </c:ext>
          </c:extLst>
        </c:ser>
        <c:ser>
          <c:idx val="2"/>
          <c:order val="2"/>
          <c:tx>
            <c:v>2040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Summary_updatedformatting!$G$4:$G$52</c:f>
              <c:numCache>
                <c:formatCode>General</c:formatCode>
                <c:ptCount val="49"/>
                <c:pt idx="0">
                  <c:v>10.206880910688891</c:v>
                </c:pt>
                <c:pt idx="1">
                  <c:v>28.919495913618526</c:v>
                </c:pt>
                <c:pt idx="2">
                  <c:v>28.919495913618526</c:v>
                </c:pt>
                <c:pt idx="3">
                  <c:v>39.126376824307414</c:v>
                </c:pt>
                <c:pt idx="4">
                  <c:v>39.126376824307414</c:v>
                </c:pt>
                <c:pt idx="5">
                  <c:v>45.930964098100006</c:v>
                </c:pt>
                <c:pt idx="6">
                  <c:v>45.930964098100006</c:v>
                </c:pt>
                <c:pt idx="7">
                  <c:v>62.942432282581493</c:v>
                </c:pt>
                <c:pt idx="8">
                  <c:v>62.942432282581493</c:v>
                </c:pt>
                <c:pt idx="9">
                  <c:v>84.206767513183351</c:v>
                </c:pt>
                <c:pt idx="10">
                  <c:v>84.206767513183351</c:v>
                </c:pt>
                <c:pt idx="11">
                  <c:v>105.47110274378521</c:v>
                </c:pt>
                <c:pt idx="12">
                  <c:v>105.47110274378521</c:v>
                </c:pt>
                <c:pt idx="13">
                  <c:v>107.17224956223336</c:v>
                </c:pt>
                <c:pt idx="14">
                  <c:v>107.17224956223336</c:v>
                </c:pt>
                <c:pt idx="15">
                  <c:v>108.87339638068151</c:v>
                </c:pt>
                <c:pt idx="16">
                  <c:v>108.87339638068151</c:v>
                </c:pt>
                <c:pt idx="17">
                  <c:v>110.74465788097447</c:v>
                </c:pt>
                <c:pt idx="18">
                  <c:v>110.74465788097447</c:v>
                </c:pt>
                <c:pt idx="19">
                  <c:v>111.59523129019854</c:v>
                </c:pt>
                <c:pt idx="20">
                  <c:v>111.59523129019854</c:v>
                </c:pt>
                <c:pt idx="21">
                  <c:v>114.06189417694836</c:v>
                </c:pt>
                <c:pt idx="22">
                  <c:v>114.06189417694836</c:v>
                </c:pt>
                <c:pt idx="23">
                  <c:v>117.03890110923261</c:v>
                </c:pt>
                <c:pt idx="24">
                  <c:v>117.03890110923261</c:v>
                </c:pt>
                <c:pt idx="25">
                  <c:v>118.31476122306873</c:v>
                </c:pt>
                <c:pt idx="26">
                  <c:v>118.31476122306873</c:v>
                </c:pt>
                <c:pt idx="27">
                  <c:v>120.44119474612891</c:v>
                </c:pt>
                <c:pt idx="28">
                  <c:v>120.44119474612891</c:v>
                </c:pt>
                <c:pt idx="29">
                  <c:v>121.29176815535298</c:v>
                </c:pt>
                <c:pt idx="30">
                  <c:v>121.29176815535298</c:v>
                </c:pt>
                <c:pt idx="31">
                  <c:v>122.6526856101115</c:v>
                </c:pt>
                <c:pt idx="32">
                  <c:v>122.6526856101115</c:v>
                </c:pt>
                <c:pt idx="33">
                  <c:v>124.52394711040446</c:v>
                </c:pt>
                <c:pt idx="34">
                  <c:v>124.52394711040446</c:v>
                </c:pt>
                <c:pt idx="35">
                  <c:v>126.22509392885262</c:v>
                </c:pt>
                <c:pt idx="36">
                  <c:v>126.22509392885262</c:v>
                </c:pt>
                <c:pt idx="37">
                  <c:v>127.92624074730077</c:v>
                </c:pt>
                <c:pt idx="38">
                  <c:v>127.92624074730077</c:v>
                </c:pt>
                <c:pt idx="39">
                  <c:v>130.477960974973</c:v>
                </c:pt>
                <c:pt idx="40">
                  <c:v>130.477960974973</c:v>
                </c:pt>
                <c:pt idx="41">
                  <c:v>132.26416513434356</c:v>
                </c:pt>
                <c:pt idx="42">
                  <c:v>132.26416513434356</c:v>
                </c:pt>
                <c:pt idx="43">
                  <c:v>133.54002524817966</c:v>
                </c:pt>
                <c:pt idx="44">
                  <c:v>133.54002524817966</c:v>
                </c:pt>
                <c:pt idx="45">
                  <c:v>135.2411720666278</c:v>
                </c:pt>
                <c:pt idx="46">
                  <c:v>135.2411720666278</c:v>
                </c:pt>
                <c:pt idx="47">
                  <c:v>136.34691749861909</c:v>
                </c:pt>
                <c:pt idx="48">
                  <c:v>136.34691749861909</c:v>
                </c:pt>
              </c:numCache>
            </c:numRef>
          </c:xVal>
          <c:yVal>
            <c:numRef>
              <c:f>Summary_updatedformatting!$H$4:$H$52</c:f>
              <c:numCache>
                <c:formatCode>General</c:formatCode>
                <c:ptCount val="49"/>
                <c:pt idx="0">
                  <c:v>-0.9699272238427924</c:v>
                </c:pt>
                <c:pt idx="1">
                  <c:v>-0.9699272238427924</c:v>
                </c:pt>
                <c:pt idx="2">
                  <c:v>-0.30485532560870487</c:v>
                </c:pt>
                <c:pt idx="3">
                  <c:v>-0.30485532560870487</c:v>
                </c:pt>
                <c:pt idx="4">
                  <c:v>-0.27637731788407677</c:v>
                </c:pt>
                <c:pt idx="5">
                  <c:v>-0.27637731788407677</c:v>
                </c:pt>
                <c:pt idx="6">
                  <c:v>-0.27637731788407677</c:v>
                </c:pt>
                <c:pt idx="7">
                  <c:v>-0.27637731788407677</c:v>
                </c:pt>
                <c:pt idx="8">
                  <c:v>-0.21942130243482039</c:v>
                </c:pt>
                <c:pt idx="9">
                  <c:v>-0.21942130243482039</c:v>
                </c:pt>
                <c:pt idx="10">
                  <c:v>-0.18498657424642811</c:v>
                </c:pt>
                <c:pt idx="11">
                  <c:v>-0.18498657424642811</c:v>
                </c:pt>
                <c:pt idx="12">
                  <c:v>-0.1022043313004854</c:v>
                </c:pt>
                <c:pt idx="13">
                  <c:v>-0.1022043313004854</c:v>
                </c:pt>
                <c:pt idx="14">
                  <c:v>0.13453408944685141</c:v>
                </c:pt>
                <c:pt idx="15">
                  <c:v>0.13453408944685141</c:v>
                </c:pt>
                <c:pt idx="16">
                  <c:v>0.13453408944685141</c:v>
                </c:pt>
                <c:pt idx="17">
                  <c:v>0.13453408944685141</c:v>
                </c:pt>
                <c:pt idx="18">
                  <c:v>0.50984620391538082</c:v>
                </c:pt>
                <c:pt idx="19">
                  <c:v>0.50984620391538082</c:v>
                </c:pt>
                <c:pt idx="20">
                  <c:v>0.53500995223988312</c:v>
                </c:pt>
                <c:pt idx="21">
                  <c:v>0.53500995223988312</c:v>
                </c:pt>
                <c:pt idx="22">
                  <c:v>1.350264179684572</c:v>
                </c:pt>
                <c:pt idx="23">
                  <c:v>1.350264179684572</c:v>
                </c:pt>
                <c:pt idx="24">
                  <c:v>2.0331408656116561</c:v>
                </c:pt>
                <c:pt idx="25">
                  <c:v>2.0331408656116561</c:v>
                </c:pt>
                <c:pt idx="26">
                  <c:v>2.9964199288260804</c:v>
                </c:pt>
                <c:pt idx="27">
                  <c:v>2.9964199288260804</c:v>
                </c:pt>
                <c:pt idx="28">
                  <c:v>2.9964199288260804</c:v>
                </c:pt>
                <c:pt idx="29">
                  <c:v>2.9964199288260804</c:v>
                </c:pt>
                <c:pt idx="30">
                  <c:v>2.9964199288260804</c:v>
                </c:pt>
                <c:pt idx="31">
                  <c:v>2.9964199288260804</c:v>
                </c:pt>
                <c:pt idx="32">
                  <c:v>2.9964199288260804</c:v>
                </c:pt>
                <c:pt idx="33">
                  <c:v>2.9964199288260804</c:v>
                </c:pt>
                <c:pt idx="34">
                  <c:v>3.1922745243558639</c:v>
                </c:pt>
                <c:pt idx="35">
                  <c:v>3.1922745243558639</c:v>
                </c:pt>
                <c:pt idx="36">
                  <c:v>3.2868199739736359</c:v>
                </c:pt>
                <c:pt idx="37">
                  <c:v>3.2868199739736359</c:v>
                </c:pt>
                <c:pt idx="38">
                  <c:v>3.2868199739736359</c:v>
                </c:pt>
                <c:pt idx="39">
                  <c:v>3.2868199739736359</c:v>
                </c:pt>
                <c:pt idx="40">
                  <c:v>3.3331656114103958</c:v>
                </c:pt>
                <c:pt idx="41">
                  <c:v>3.3331656114103958</c:v>
                </c:pt>
                <c:pt idx="42">
                  <c:v>5.4062110921599649</c:v>
                </c:pt>
                <c:pt idx="43">
                  <c:v>5.4062110921599649</c:v>
                </c:pt>
                <c:pt idx="44">
                  <c:v>5.4062110921599649</c:v>
                </c:pt>
                <c:pt idx="45">
                  <c:v>5.4062110921599649</c:v>
                </c:pt>
                <c:pt idx="46">
                  <c:v>8.7610183979777254</c:v>
                </c:pt>
                <c:pt idx="47">
                  <c:v>8.7610183979777254</c:v>
                </c:pt>
                <c:pt idx="48">
                  <c:v>8.7610183979777254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87-4740-9642-C3D7ED5FF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842952"/>
        <c:axId val="970841640"/>
      </c:scatterChart>
      <c:valAx>
        <c:axId val="97084295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Carbon abated: ktCO2e/yr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0841640"/>
        <c:crosses val="autoZero"/>
        <c:crossBetween val="midCat"/>
      </c:valAx>
      <c:valAx>
        <c:axId val="970841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0842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0714772891815917"/>
          <c:y val="8.6899787580723586E-2"/>
          <c:w val="0.38570434244229307"/>
          <c:h val="7.3131606111532924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48381452318461"/>
          <c:y val="0.17171296296296296"/>
          <c:w val="0.79968263342082235"/>
          <c:h val="0.69376610101955083"/>
        </c:manualLayout>
      </c:layout>
      <c:scatterChart>
        <c:scatterStyle val="lineMarker"/>
        <c:varyColors val="0"/>
        <c:ser>
          <c:idx val="0"/>
          <c:order val="0"/>
          <c:tx>
            <c:v>2019</c:v>
          </c:tx>
          <c:spPr>
            <a:ln w="19050" cap="rnd">
              <a:solidFill>
                <a:srgbClr val="33CCCC"/>
              </a:solidFill>
              <a:round/>
            </a:ln>
            <a:effectLst/>
          </c:spPr>
          <c:marker>
            <c:symbol val="none"/>
          </c:marker>
          <c:xVal>
            <c:numRef>
              <c:f>Summary_updatedformatting!$I$4:$I$52</c:f>
              <c:numCache>
                <c:formatCode>General</c:formatCode>
                <c:ptCount val="49"/>
                <c:pt idx="0" formatCode="0.0">
                  <c:v>2.2893081761006289</c:v>
                </c:pt>
                <c:pt idx="1">
                  <c:v>6.4863731656184491</c:v>
                </c:pt>
                <c:pt idx="2" formatCode="0.0">
                  <c:v>6.4863731656184491</c:v>
                </c:pt>
                <c:pt idx="3">
                  <c:v>8.7756813417190784</c:v>
                </c:pt>
                <c:pt idx="4" formatCode="0.0">
                  <c:v>8.7756813417190784</c:v>
                </c:pt>
                <c:pt idx="5">
                  <c:v>10.30188679245283</c:v>
                </c:pt>
                <c:pt idx="6" formatCode="0.0">
                  <c:v>10.30188679245283</c:v>
                </c:pt>
                <c:pt idx="7">
                  <c:v>14.117400419287211</c:v>
                </c:pt>
                <c:pt idx="8" formatCode="0.0">
                  <c:v>14.117400419287211</c:v>
                </c:pt>
                <c:pt idx="9">
                  <c:v>18.886792452830189</c:v>
                </c:pt>
                <c:pt idx="10" formatCode="0.0">
                  <c:v>18.886792452830189</c:v>
                </c:pt>
                <c:pt idx="11">
                  <c:v>23.656184486373167</c:v>
                </c:pt>
                <c:pt idx="12" formatCode="0.0">
                  <c:v>23.656184486373167</c:v>
                </c:pt>
                <c:pt idx="13">
                  <c:v>24.037735849056606</c:v>
                </c:pt>
                <c:pt idx="14" formatCode="0.0">
                  <c:v>24.037735849056606</c:v>
                </c:pt>
                <c:pt idx="15">
                  <c:v>24.419287211740045</c:v>
                </c:pt>
                <c:pt idx="16" formatCode="0.0">
                  <c:v>24.419287211740045</c:v>
                </c:pt>
                <c:pt idx="17">
                  <c:v>24.838993710691827</c:v>
                </c:pt>
                <c:pt idx="18" formatCode="0.0">
                  <c:v>24.838993710691827</c:v>
                </c:pt>
                <c:pt idx="19">
                  <c:v>25.029769392033547</c:v>
                </c:pt>
                <c:pt idx="20" formatCode="0.0">
                  <c:v>25.029769392033547</c:v>
                </c:pt>
                <c:pt idx="21">
                  <c:v>25.583018867924533</c:v>
                </c:pt>
                <c:pt idx="22" formatCode="0.0">
                  <c:v>25.583018867924533</c:v>
                </c:pt>
                <c:pt idx="23">
                  <c:v>26.250733752620551</c:v>
                </c:pt>
                <c:pt idx="24" formatCode="0.0">
                  <c:v>26.250733752620551</c:v>
                </c:pt>
                <c:pt idx="25">
                  <c:v>26.53689727463313</c:v>
                </c:pt>
                <c:pt idx="26" formatCode="0.0">
                  <c:v>26.53689727463313</c:v>
                </c:pt>
                <c:pt idx="27">
                  <c:v>27.013836477987429</c:v>
                </c:pt>
                <c:pt idx="28" formatCode="0.0">
                  <c:v>27.013836477987429</c:v>
                </c:pt>
                <c:pt idx="29">
                  <c:v>27.204612159329148</c:v>
                </c:pt>
                <c:pt idx="30" formatCode="0.0">
                  <c:v>27.204612159329148</c:v>
                </c:pt>
                <c:pt idx="31">
                  <c:v>27.509853249475899</c:v>
                </c:pt>
                <c:pt idx="32" formatCode="0.0">
                  <c:v>27.509853249475899</c:v>
                </c:pt>
                <c:pt idx="33">
                  <c:v>27.929559748427682</c:v>
                </c:pt>
                <c:pt idx="34" formatCode="0.0">
                  <c:v>27.929559748427682</c:v>
                </c:pt>
                <c:pt idx="35">
                  <c:v>28.311111111111121</c:v>
                </c:pt>
                <c:pt idx="36" formatCode="0.0">
                  <c:v>28.311111111111121</c:v>
                </c:pt>
                <c:pt idx="37">
                  <c:v>28.692662473794559</c:v>
                </c:pt>
                <c:pt idx="38" formatCode="0.0">
                  <c:v>28.692662473794559</c:v>
                </c:pt>
                <c:pt idx="39">
                  <c:v>29.264989517819718</c:v>
                </c:pt>
                <c:pt idx="40" formatCode="0.0">
                  <c:v>29.264989517819718</c:v>
                </c:pt>
                <c:pt idx="41">
                  <c:v>29.665618448637328</c:v>
                </c:pt>
                <c:pt idx="42" formatCode="0.0">
                  <c:v>29.665618448637328</c:v>
                </c:pt>
                <c:pt idx="43">
                  <c:v>29.951781970649908</c:v>
                </c:pt>
                <c:pt idx="44" formatCode="0.0">
                  <c:v>29.951781970649908</c:v>
                </c:pt>
                <c:pt idx="45">
                  <c:v>30.333333333333346</c:v>
                </c:pt>
                <c:pt idx="46" formatCode="0.0">
                  <c:v>30.333333333333346</c:v>
                </c:pt>
                <c:pt idx="47">
                  <c:v>30.581341719077582</c:v>
                </c:pt>
                <c:pt idx="48" formatCode="0.0">
                  <c:v>30.581341719077582</c:v>
                </c:pt>
              </c:numCache>
            </c:numRef>
          </c:xVal>
          <c:yVal>
            <c:numRef>
              <c:f>Summary_updatedformatting!$J$4:$J$52</c:f>
              <c:numCache>
                <c:formatCode>General</c:formatCode>
                <c:ptCount val="49"/>
                <c:pt idx="0" formatCode="0.0">
                  <c:v>-0.94987870640465422</c:v>
                </c:pt>
                <c:pt idx="1">
                  <c:v>-0.94987870640465422</c:v>
                </c:pt>
                <c:pt idx="2" formatCode="0.0">
                  <c:v>-0.28586998712561951</c:v>
                </c:pt>
                <c:pt idx="3">
                  <c:v>-0.28586998712561951</c:v>
                </c:pt>
                <c:pt idx="4" formatCode="0.0">
                  <c:v>-0.23840664091790578</c:v>
                </c:pt>
                <c:pt idx="5">
                  <c:v>-0.23840664091790578</c:v>
                </c:pt>
                <c:pt idx="6" formatCode="0.0">
                  <c:v>-0.23840664091790578</c:v>
                </c:pt>
                <c:pt idx="7">
                  <c:v>-0.23840664091790578</c:v>
                </c:pt>
                <c:pt idx="8" formatCode="0.0">
                  <c:v>-0.14347994850247839</c:v>
                </c:pt>
                <c:pt idx="9">
                  <c:v>-0.14347994850247839</c:v>
                </c:pt>
                <c:pt idx="10" formatCode="0.0">
                  <c:v>-0.13846968723611039</c:v>
                </c:pt>
                <c:pt idx="11">
                  <c:v>-0.13846968723611039</c:v>
                </c:pt>
                <c:pt idx="12" formatCode="0.0">
                  <c:v>7.6573028079437847E-2</c:v>
                </c:pt>
                <c:pt idx="13">
                  <c:v>7.6573028079437847E-2</c:v>
                </c:pt>
                <c:pt idx="14" formatCode="0.0">
                  <c:v>0.50420411664041909</c:v>
                </c:pt>
                <c:pt idx="15">
                  <c:v>0.50420411664041909</c:v>
                </c:pt>
                <c:pt idx="16" formatCode="0.0">
                  <c:v>0.50420411664041909</c:v>
                </c:pt>
                <c:pt idx="17">
                  <c:v>0.50420411664041909</c:v>
                </c:pt>
                <c:pt idx="18" formatCode="0.0">
                  <c:v>1.120169129269551</c:v>
                </c:pt>
                <c:pt idx="19">
                  <c:v>1.120169129269551</c:v>
                </c:pt>
                <c:pt idx="20" formatCode="0.0">
                  <c:v>1.1716638879621391</c:v>
                </c:pt>
                <c:pt idx="21">
                  <c:v>1.1716638879621391</c:v>
                </c:pt>
                <c:pt idx="22" formatCode="0.0">
                  <c:v>2.5208657555515366</c:v>
                </c:pt>
                <c:pt idx="23">
                  <c:v>2.5208657555515366</c:v>
                </c:pt>
                <c:pt idx="24" formatCode="0.0">
                  <c:v>3.6685487435817601</c:v>
                </c:pt>
                <c:pt idx="25">
                  <c:v>3.6685487435817601</c:v>
                </c:pt>
                <c:pt idx="26" formatCode="0.0">
                  <c:v>5.2644586707873833</c:v>
                </c:pt>
                <c:pt idx="27">
                  <c:v>5.2644586707873833</c:v>
                </c:pt>
                <c:pt idx="28" formatCode="0.0">
                  <c:v>5.2644586707873833</c:v>
                </c:pt>
                <c:pt idx="29">
                  <c:v>5.2644586707873833</c:v>
                </c:pt>
                <c:pt idx="30" formatCode="0.0">
                  <c:v>5.2644586707873833</c:v>
                </c:pt>
                <c:pt idx="31">
                  <c:v>5.2644586707873833</c:v>
                </c:pt>
                <c:pt idx="32" formatCode="0.0">
                  <c:v>5.2644586707873833</c:v>
                </c:pt>
                <c:pt idx="33">
                  <c:v>5.2644586707873833</c:v>
                </c:pt>
                <c:pt idx="34" formatCode="0.0">
                  <c:v>5.5908829966703557</c:v>
                </c:pt>
                <c:pt idx="35">
                  <c:v>5.5908829966703557</c:v>
                </c:pt>
                <c:pt idx="36" formatCode="0.0">
                  <c:v>5.7665074158755081</c:v>
                </c:pt>
                <c:pt idx="37">
                  <c:v>5.7665074158755081</c:v>
                </c:pt>
                <c:pt idx="38" formatCode="0.0">
                  <c:v>5.7665074158755081</c:v>
                </c:pt>
                <c:pt idx="39">
                  <c:v>5.7665074158755081</c:v>
                </c:pt>
                <c:pt idx="40" formatCode="0.0">
                  <c:v>5.8352566532463275</c:v>
                </c:pt>
                <c:pt idx="41">
                  <c:v>5.8352566532463275</c:v>
                </c:pt>
                <c:pt idx="42" formatCode="0.0">
                  <c:v>9.2807772763438585</c:v>
                </c:pt>
                <c:pt idx="43">
                  <c:v>9.2807772763438585</c:v>
                </c:pt>
                <c:pt idx="44" formatCode="0.0">
                  <c:v>9.2807772763438585</c:v>
                </c:pt>
                <c:pt idx="45">
                  <c:v>9.2807772763438585</c:v>
                </c:pt>
                <c:pt idx="46" formatCode="0.0">
                  <c:v>14.872122786040128</c:v>
                </c:pt>
                <c:pt idx="47">
                  <c:v>14.872122786040128</c:v>
                </c:pt>
                <c:pt idx="48" formatCode="0.0">
                  <c:v>14.872122786040128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B4-460C-AA45-0BCCA62B52EA}"/>
            </c:ext>
          </c:extLst>
        </c:ser>
        <c:ser>
          <c:idx val="1"/>
          <c:order val="1"/>
          <c:tx>
            <c:v>2030</c:v>
          </c:tx>
          <c:spPr>
            <a:ln w="19050" cap="rnd">
              <a:solidFill>
                <a:srgbClr val="006699"/>
              </a:solidFill>
              <a:round/>
            </a:ln>
            <a:effectLst/>
          </c:spPr>
          <c:marker>
            <c:symbol val="none"/>
          </c:marker>
          <c:xVal>
            <c:numRef>
              <c:f>Summary_updatedformatting!$K$4:$K$52</c:f>
              <c:numCache>
                <c:formatCode>General</c:formatCode>
                <c:ptCount val="49"/>
                <c:pt idx="0">
                  <c:v>2.3928591893103803</c:v>
                </c:pt>
                <c:pt idx="1">
                  <c:v>6.779767703046077</c:v>
                </c:pt>
                <c:pt idx="2">
                  <c:v>6.779767703046077</c:v>
                </c:pt>
                <c:pt idx="3">
                  <c:v>9.1726268923564582</c:v>
                </c:pt>
                <c:pt idx="4">
                  <c:v>9.1726268923564582</c:v>
                </c:pt>
                <c:pt idx="5">
                  <c:v>10.767866351896712</c:v>
                </c:pt>
                <c:pt idx="6">
                  <c:v>10.767866351896712</c:v>
                </c:pt>
                <c:pt idx="7">
                  <c:v>14.755965000747345</c:v>
                </c:pt>
                <c:pt idx="8">
                  <c:v>14.755965000747345</c:v>
                </c:pt>
                <c:pt idx="9">
                  <c:v>19.741088311810636</c:v>
                </c:pt>
                <c:pt idx="10">
                  <c:v>19.741088311810636</c:v>
                </c:pt>
                <c:pt idx="11">
                  <c:v>24.726211622873926</c:v>
                </c:pt>
                <c:pt idx="12">
                  <c:v>24.726211622873926</c:v>
                </c:pt>
                <c:pt idx="13">
                  <c:v>25.125021487758989</c:v>
                </c:pt>
                <c:pt idx="14">
                  <c:v>25.125021487758989</c:v>
                </c:pt>
                <c:pt idx="15">
                  <c:v>25.523831352644052</c:v>
                </c:pt>
                <c:pt idx="16">
                  <c:v>25.523831352644052</c:v>
                </c:pt>
                <c:pt idx="17">
                  <c:v>25.96252220401762</c:v>
                </c:pt>
                <c:pt idx="18">
                  <c:v>25.96252220401762</c:v>
                </c:pt>
                <c:pt idx="19">
                  <c:v>26.161927136460154</c:v>
                </c:pt>
                <c:pt idx="20">
                  <c:v>26.161927136460154</c:v>
                </c:pt>
                <c:pt idx="21">
                  <c:v>26.740201440543494</c:v>
                </c:pt>
                <c:pt idx="22">
                  <c:v>26.740201440543494</c:v>
                </c:pt>
                <c:pt idx="23">
                  <c:v>27.438118704092354</c:v>
                </c:pt>
                <c:pt idx="24">
                  <c:v>27.438118704092354</c:v>
                </c:pt>
                <c:pt idx="25">
                  <c:v>27.73722610275615</c:v>
                </c:pt>
                <c:pt idx="26">
                  <c:v>27.73722610275615</c:v>
                </c:pt>
                <c:pt idx="27">
                  <c:v>28.23573843386248</c:v>
                </c:pt>
                <c:pt idx="28">
                  <c:v>28.23573843386248</c:v>
                </c:pt>
                <c:pt idx="29">
                  <c:v>28.435143366305013</c:v>
                </c:pt>
                <c:pt idx="30">
                  <c:v>28.435143366305013</c:v>
                </c:pt>
                <c:pt idx="31">
                  <c:v>28.754191258213062</c:v>
                </c:pt>
                <c:pt idx="32">
                  <c:v>28.754191258213062</c:v>
                </c:pt>
                <c:pt idx="33">
                  <c:v>29.19288210958663</c:v>
                </c:pt>
                <c:pt idx="34">
                  <c:v>29.19288210958663</c:v>
                </c:pt>
                <c:pt idx="35">
                  <c:v>29.591691974471694</c:v>
                </c:pt>
                <c:pt idx="36">
                  <c:v>29.591691974471694</c:v>
                </c:pt>
                <c:pt idx="37">
                  <c:v>29.990501839356757</c:v>
                </c:pt>
                <c:pt idx="38">
                  <c:v>29.990501839356757</c:v>
                </c:pt>
                <c:pt idx="39">
                  <c:v>30.588716636684353</c:v>
                </c:pt>
                <c:pt idx="40">
                  <c:v>30.588716636684353</c:v>
                </c:pt>
                <c:pt idx="41">
                  <c:v>31.007466994813669</c:v>
                </c:pt>
                <c:pt idx="42">
                  <c:v>31.007466994813669</c:v>
                </c:pt>
                <c:pt idx="43">
                  <c:v>31.306574393477465</c:v>
                </c:pt>
                <c:pt idx="44">
                  <c:v>31.306574393477465</c:v>
                </c:pt>
                <c:pt idx="45">
                  <c:v>31.705384258362528</c:v>
                </c:pt>
                <c:pt idx="46">
                  <c:v>31.705384258362528</c:v>
                </c:pt>
                <c:pt idx="47">
                  <c:v>31.964610670537819</c:v>
                </c:pt>
                <c:pt idx="48">
                  <c:v>31.964610670537819</c:v>
                </c:pt>
              </c:numCache>
            </c:numRef>
          </c:xVal>
          <c:yVal>
            <c:numRef>
              <c:f>Summary_updatedformatting!$L$4:$L$52</c:f>
              <c:numCache>
                <c:formatCode>General</c:formatCode>
                <c:ptCount val="49"/>
                <c:pt idx="0">
                  <c:v>-0.95739690044395609</c:v>
                </c:pt>
                <c:pt idx="1">
                  <c:v>-0.95739690044395609</c:v>
                </c:pt>
                <c:pt idx="2">
                  <c:v>-0.29298948905677658</c:v>
                </c:pt>
                <c:pt idx="3">
                  <c:v>-0.29298948905677658</c:v>
                </c:pt>
                <c:pt idx="4">
                  <c:v>-0.25264564478021995</c:v>
                </c:pt>
                <c:pt idx="5">
                  <c:v>-0.25264564478021995</c:v>
                </c:pt>
                <c:pt idx="6">
                  <c:v>-0.25264564478021995</c:v>
                </c:pt>
                <c:pt idx="7">
                  <c:v>-0.25264564478021995</c:v>
                </c:pt>
                <c:pt idx="8">
                  <c:v>-0.17195795622710669</c:v>
                </c:pt>
                <c:pt idx="9">
                  <c:v>-0.17195795622710669</c:v>
                </c:pt>
                <c:pt idx="10">
                  <c:v>-0.15591351986497953</c:v>
                </c:pt>
                <c:pt idx="11">
                  <c:v>-0.15591351986497953</c:v>
                </c:pt>
                <c:pt idx="12">
                  <c:v>9.5315183119666306E-3</c:v>
                </c:pt>
                <c:pt idx="13">
                  <c:v>9.5315183119666306E-3</c:v>
                </c:pt>
                <c:pt idx="14">
                  <c:v>0.36557785644283125</c:v>
                </c:pt>
                <c:pt idx="15">
                  <c:v>0.36557785644283125</c:v>
                </c:pt>
                <c:pt idx="16">
                  <c:v>0.36557785644283125</c:v>
                </c:pt>
                <c:pt idx="17">
                  <c:v>0.36557785644283125</c:v>
                </c:pt>
                <c:pt idx="18">
                  <c:v>0.89129803226173732</c:v>
                </c:pt>
                <c:pt idx="19">
                  <c:v>0.89129803226173732</c:v>
                </c:pt>
                <c:pt idx="20">
                  <c:v>0.93291866206629326</c:v>
                </c:pt>
                <c:pt idx="21">
                  <c:v>0.93291866206629326</c:v>
                </c:pt>
                <c:pt idx="22">
                  <c:v>2.0818901646014245</c:v>
                </c:pt>
                <c:pt idx="23">
                  <c:v>2.0818901646014245</c:v>
                </c:pt>
                <c:pt idx="24">
                  <c:v>3.055270789342972</c:v>
                </c:pt>
                <c:pt idx="25">
                  <c:v>3.055270789342972</c:v>
                </c:pt>
                <c:pt idx="26">
                  <c:v>4.4139441425518946</c:v>
                </c:pt>
                <c:pt idx="27">
                  <c:v>4.4139441425518946</c:v>
                </c:pt>
                <c:pt idx="28">
                  <c:v>4.4139441425518946</c:v>
                </c:pt>
                <c:pt idx="29">
                  <c:v>4.4139441425518946</c:v>
                </c:pt>
                <c:pt idx="30">
                  <c:v>4.4139441425518946</c:v>
                </c:pt>
                <c:pt idx="31">
                  <c:v>4.4139441425518946</c:v>
                </c:pt>
                <c:pt idx="32">
                  <c:v>4.4139441425518946</c:v>
                </c:pt>
                <c:pt idx="33">
                  <c:v>4.4139441425518946</c:v>
                </c:pt>
                <c:pt idx="34">
                  <c:v>4.6914048195524209</c:v>
                </c:pt>
                <c:pt idx="35">
                  <c:v>4.6914048195524209</c:v>
                </c:pt>
                <c:pt idx="36">
                  <c:v>4.8569293787347751</c:v>
                </c:pt>
                <c:pt idx="37">
                  <c:v>4.8569293787347751</c:v>
                </c:pt>
                <c:pt idx="38">
                  <c:v>4.8569293787347751</c:v>
                </c:pt>
                <c:pt idx="39">
                  <c:v>4.8569293787347751</c:v>
                </c:pt>
                <c:pt idx="40">
                  <c:v>4.8969725125578529</c:v>
                </c:pt>
                <c:pt idx="41">
                  <c:v>4.8969725125578529</c:v>
                </c:pt>
                <c:pt idx="42">
                  <c:v>7.8278149572748985</c:v>
                </c:pt>
                <c:pt idx="43">
                  <c:v>7.8278149572748985</c:v>
                </c:pt>
                <c:pt idx="44">
                  <c:v>7.8278149572748985</c:v>
                </c:pt>
                <c:pt idx="45">
                  <c:v>7.8278149572748985</c:v>
                </c:pt>
                <c:pt idx="46">
                  <c:v>12.580458640516728</c:v>
                </c:pt>
                <c:pt idx="47">
                  <c:v>12.580458640516728</c:v>
                </c:pt>
                <c:pt idx="48">
                  <c:v>12.580458640516728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B4-460C-AA45-0BCCA62B52EA}"/>
            </c:ext>
          </c:extLst>
        </c:ser>
        <c:ser>
          <c:idx val="2"/>
          <c:order val="2"/>
          <c:tx>
            <c:v>2040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Summary_updatedformatting!$M$4:$M$52</c:f>
              <c:numCache>
                <c:formatCode>General</c:formatCode>
                <c:ptCount val="49"/>
                <c:pt idx="0">
                  <c:v>2.7727693419193811</c:v>
                </c:pt>
                <c:pt idx="1">
                  <c:v>7.8561798021049132</c:v>
                </c:pt>
                <c:pt idx="2">
                  <c:v>7.8561798021049132</c:v>
                </c:pt>
                <c:pt idx="3">
                  <c:v>10.628949144024293</c:v>
                </c:pt>
                <c:pt idx="4">
                  <c:v>10.628949144024293</c:v>
                </c:pt>
                <c:pt idx="5">
                  <c:v>12.477462038637213</c:v>
                </c:pt>
                <c:pt idx="6">
                  <c:v>12.477462038637213</c:v>
                </c:pt>
                <c:pt idx="7">
                  <c:v>17.098744275169516</c:v>
                </c:pt>
                <c:pt idx="8">
                  <c:v>17.098744275169516</c:v>
                </c:pt>
                <c:pt idx="9">
                  <c:v>22.875347070834891</c:v>
                </c:pt>
                <c:pt idx="10">
                  <c:v>22.875347070834891</c:v>
                </c:pt>
                <c:pt idx="11">
                  <c:v>28.651949866500267</c:v>
                </c:pt>
                <c:pt idx="12">
                  <c:v>28.651949866500267</c:v>
                </c:pt>
                <c:pt idx="13">
                  <c:v>29.114078090153498</c:v>
                </c:pt>
                <c:pt idx="14">
                  <c:v>29.114078090153498</c:v>
                </c:pt>
                <c:pt idx="15">
                  <c:v>29.576206313806729</c:v>
                </c:pt>
                <c:pt idx="16">
                  <c:v>29.576206313806729</c:v>
                </c:pt>
                <c:pt idx="17">
                  <c:v>30.084547359825283</c:v>
                </c:pt>
                <c:pt idx="18">
                  <c:v>30.084547359825283</c:v>
                </c:pt>
                <c:pt idx="19">
                  <c:v>30.315611471651899</c:v>
                </c:pt>
                <c:pt idx="20">
                  <c:v>30.315611471651899</c:v>
                </c:pt>
                <c:pt idx="21">
                  <c:v>30.985697395949082</c:v>
                </c:pt>
                <c:pt idx="22">
                  <c:v>30.985697395949082</c:v>
                </c:pt>
                <c:pt idx="23">
                  <c:v>31.794421787342234</c:v>
                </c:pt>
                <c:pt idx="24">
                  <c:v>31.794421787342234</c:v>
                </c:pt>
                <c:pt idx="25">
                  <c:v>32.141017955082155</c:v>
                </c:pt>
                <c:pt idx="26">
                  <c:v>32.141017955082155</c:v>
                </c:pt>
                <c:pt idx="27">
                  <c:v>32.718678234648692</c:v>
                </c:pt>
                <c:pt idx="28">
                  <c:v>32.718678234648692</c:v>
                </c:pt>
                <c:pt idx="29">
                  <c:v>32.949742346475304</c:v>
                </c:pt>
                <c:pt idx="30">
                  <c:v>32.949742346475304</c:v>
                </c:pt>
                <c:pt idx="31">
                  <c:v>33.319444925397889</c:v>
                </c:pt>
                <c:pt idx="32">
                  <c:v>33.319444925397889</c:v>
                </c:pt>
                <c:pt idx="33">
                  <c:v>33.827785971416439</c:v>
                </c:pt>
                <c:pt idx="34">
                  <c:v>33.827785971416439</c:v>
                </c:pt>
                <c:pt idx="35">
                  <c:v>34.520978306896282</c:v>
                </c:pt>
                <c:pt idx="36">
                  <c:v>34.520978306896282</c:v>
                </c:pt>
                <c:pt idx="37">
                  <c:v>34.983106530549513</c:v>
                </c:pt>
                <c:pt idx="38">
                  <c:v>34.983106530549513</c:v>
                </c:pt>
                <c:pt idx="39">
                  <c:v>35.445234754202744</c:v>
                </c:pt>
                <c:pt idx="40">
                  <c:v>35.445234754202744</c:v>
                </c:pt>
                <c:pt idx="41">
                  <c:v>35.930469389038635</c:v>
                </c:pt>
                <c:pt idx="42">
                  <c:v>35.930469389038635</c:v>
                </c:pt>
                <c:pt idx="43">
                  <c:v>36.27706555677856</c:v>
                </c:pt>
                <c:pt idx="44">
                  <c:v>36.27706555677856</c:v>
                </c:pt>
                <c:pt idx="45">
                  <c:v>36.739193780431791</c:v>
                </c:pt>
                <c:pt idx="46">
                  <c:v>36.739193780431791</c:v>
                </c:pt>
                <c:pt idx="47">
                  <c:v>37.039577125806389</c:v>
                </c:pt>
                <c:pt idx="48">
                  <c:v>37.039577125806389</c:v>
                </c:pt>
              </c:numCache>
            </c:numRef>
          </c:xVal>
          <c:yVal>
            <c:numRef>
              <c:f>Summary_updatedformatting!$N$4:$N$52</c:f>
              <c:numCache>
                <c:formatCode>General</c:formatCode>
                <c:ptCount val="49"/>
                <c:pt idx="0">
                  <c:v>-0.9699272238427924</c:v>
                </c:pt>
                <c:pt idx="1">
                  <c:v>-0.9699272238427924</c:v>
                </c:pt>
                <c:pt idx="2">
                  <c:v>-0.30485532560870487</c:v>
                </c:pt>
                <c:pt idx="3">
                  <c:v>-0.30485532560870487</c:v>
                </c:pt>
                <c:pt idx="4">
                  <c:v>-0.27637731788407677</c:v>
                </c:pt>
                <c:pt idx="5">
                  <c:v>-0.27637731788407677</c:v>
                </c:pt>
                <c:pt idx="6">
                  <c:v>-0.27637731788407677</c:v>
                </c:pt>
                <c:pt idx="7">
                  <c:v>-0.27637731788407677</c:v>
                </c:pt>
                <c:pt idx="8">
                  <c:v>-0.21942130243482039</c:v>
                </c:pt>
                <c:pt idx="9">
                  <c:v>-0.21942130243482039</c:v>
                </c:pt>
                <c:pt idx="10">
                  <c:v>-0.18498657424642811</c:v>
                </c:pt>
                <c:pt idx="11">
                  <c:v>-0.18498657424642811</c:v>
                </c:pt>
                <c:pt idx="12">
                  <c:v>-0.1022043313004854</c:v>
                </c:pt>
                <c:pt idx="13">
                  <c:v>-0.1022043313004854</c:v>
                </c:pt>
                <c:pt idx="14">
                  <c:v>0.13453408944685141</c:v>
                </c:pt>
                <c:pt idx="15">
                  <c:v>0.13453408944685141</c:v>
                </c:pt>
                <c:pt idx="16">
                  <c:v>0.13453408944685141</c:v>
                </c:pt>
                <c:pt idx="17">
                  <c:v>0.13453408944685141</c:v>
                </c:pt>
                <c:pt idx="18">
                  <c:v>0.50984620391538082</c:v>
                </c:pt>
                <c:pt idx="19">
                  <c:v>0.50984620391538082</c:v>
                </c:pt>
                <c:pt idx="20">
                  <c:v>0.53500995223988312</c:v>
                </c:pt>
                <c:pt idx="21">
                  <c:v>0.53500995223988312</c:v>
                </c:pt>
                <c:pt idx="22">
                  <c:v>1.350264179684572</c:v>
                </c:pt>
                <c:pt idx="23">
                  <c:v>1.350264179684572</c:v>
                </c:pt>
                <c:pt idx="24">
                  <c:v>2.0331408656116561</c:v>
                </c:pt>
                <c:pt idx="25">
                  <c:v>2.0331408656116561</c:v>
                </c:pt>
                <c:pt idx="26">
                  <c:v>2.9964199288260804</c:v>
                </c:pt>
                <c:pt idx="27">
                  <c:v>2.9964199288260804</c:v>
                </c:pt>
                <c:pt idx="28">
                  <c:v>2.9964199288260804</c:v>
                </c:pt>
                <c:pt idx="29">
                  <c:v>2.9964199288260804</c:v>
                </c:pt>
                <c:pt idx="30">
                  <c:v>2.9964199288260804</c:v>
                </c:pt>
                <c:pt idx="31">
                  <c:v>2.9964199288260804</c:v>
                </c:pt>
                <c:pt idx="32">
                  <c:v>2.9964199288260804</c:v>
                </c:pt>
                <c:pt idx="33">
                  <c:v>2.9964199288260804</c:v>
                </c:pt>
                <c:pt idx="34">
                  <c:v>3.1922745243558639</c:v>
                </c:pt>
                <c:pt idx="35">
                  <c:v>3.1922745243558639</c:v>
                </c:pt>
                <c:pt idx="36">
                  <c:v>3.3331656114103958</c:v>
                </c:pt>
                <c:pt idx="37">
                  <c:v>3.3331656114103958</c:v>
                </c:pt>
                <c:pt idx="38">
                  <c:v>3.3409659835002232</c:v>
                </c:pt>
                <c:pt idx="39">
                  <c:v>3.3409659835002232</c:v>
                </c:pt>
                <c:pt idx="40">
                  <c:v>3.3409659835002232</c:v>
                </c:pt>
                <c:pt idx="41">
                  <c:v>3.3409659835002232</c:v>
                </c:pt>
                <c:pt idx="42">
                  <c:v>5.4062110921599649</c:v>
                </c:pt>
                <c:pt idx="43">
                  <c:v>5.4062110921599649</c:v>
                </c:pt>
                <c:pt idx="44">
                  <c:v>5.4062110921599649</c:v>
                </c:pt>
                <c:pt idx="45">
                  <c:v>5.4062110921599649</c:v>
                </c:pt>
                <c:pt idx="46">
                  <c:v>8.7610183979777254</c:v>
                </c:pt>
                <c:pt idx="47">
                  <c:v>8.7610183979777254</c:v>
                </c:pt>
                <c:pt idx="48">
                  <c:v>8.7610183979777254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B4-460C-AA45-0BCCA62B5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2479640"/>
        <c:axId val="1032477344"/>
      </c:scatterChart>
      <c:valAx>
        <c:axId val="103247964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Carbon abated: ktCO2e/yr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2477344"/>
        <c:crosses val="autoZero"/>
        <c:crossBetween val="midCat"/>
      </c:valAx>
      <c:valAx>
        <c:axId val="103247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£/tCO2e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2479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80008748906388"/>
          <c:y val="0.10160616061606163"/>
          <c:w val="0.42239982502187234"/>
          <c:h val="7.4257945479587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48381452318461"/>
          <c:y val="0.17171296296296296"/>
          <c:w val="0.78579374453193351"/>
          <c:h val="0.68381926217556144"/>
        </c:manualLayout>
      </c:layout>
      <c:scatterChart>
        <c:scatterStyle val="lineMarker"/>
        <c:varyColors val="0"/>
        <c:ser>
          <c:idx val="0"/>
          <c:order val="0"/>
          <c:tx>
            <c:v>2019</c:v>
          </c:tx>
          <c:spPr>
            <a:ln w="19050" cap="rnd">
              <a:solidFill>
                <a:srgbClr val="33CCCC"/>
              </a:solidFill>
              <a:round/>
            </a:ln>
            <a:effectLst/>
          </c:spPr>
          <c:marker>
            <c:symbol val="none"/>
          </c:marker>
          <c:xVal>
            <c:numRef>
              <c:f>Summary_updatedformatting!$O$4:$O$52</c:f>
              <c:numCache>
                <c:formatCode>General</c:formatCode>
                <c:ptCount val="49"/>
                <c:pt idx="0">
                  <c:v>0.679245283018868</c:v>
                </c:pt>
                <c:pt idx="1">
                  <c:v>1.9245283018867925</c:v>
                </c:pt>
                <c:pt idx="2">
                  <c:v>1.9245283018867925</c:v>
                </c:pt>
                <c:pt idx="3">
                  <c:v>2.6037735849056602</c:v>
                </c:pt>
                <c:pt idx="4">
                  <c:v>2.6037735849056602</c:v>
                </c:pt>
                <c:pt idx="5">
                  <c:v>3.0566037735849054</c:v>
                </c:pt>
                <c:pt idx="6">
                  <c:v>3.0566037735849054</c:v>
                </c:pt>
                <c:pt idx="7">
                  <c:v>4.1886792452830184</c:v>
                </c:pt>
                <c:pt idx="8">
                  <c:v>4.1886792452830184</c:v>
                </c:pt>
                <c:pt idx="9">
                  <c:v>5.6037735849056602</c:v>
                </c:pt>
                <c:pt idx="10">
                  <c:v>5.6037735849056602</c:v>
                </c:pt>
                <c:pt idx="11">
                  <c:v>7.0188679245283021</c:v>
                </c:pt>
                <c:pt idx="12">
                  <c:v>7.0188679245283021</c:v>
                </c:pt>
                <c:pt idx="13">
                  <c:v>7.1320754716981138</c:v>
                </c:pt>
                <c:pt idx="14">
                  <c:v>7.1320754716981138</c:v>
                </c:pt>
                <c:pt idx="15">
                  <c:v>7.2452830188679256</c:v>
                </c:pt>
                <c:pt idx="16">
                  <c:v>7.2452830188679256</c:v>
                </c:pt>
                <c:pt idx="17">
                  <c:v>7.3698113207547182</c:v>
                </c:pt>
                <c:pt idx="18">
                  <c:v>7.3698113207547182</c:v>
                </c:pt>
                <c:pt idx="19">
                  <c:v>7.4264150943396237</c:v>
                </c:pt>
                <c:pt idx="20">
                  <c:v>7.4264150943396237</c:v>
                </c:pt>
                <c:pt idx="21">
                  <c:v>7.5905660377358499</c:v>
                </c:pt>
                <c:pt idx="22">
                  <c:v>7.5905660377358499</c:v>
                </c:pt>
                <c:pt idx="23">
                  <c:v>7.7886792452830198</c:v>
                </c:pt>
                <c:pt idx="24">
                  <c:v>7.7886792452830198</c:v>
                </c:pt>
                <c:pt idx="25">
                  <c:v>7.8735849056603779</c:v>
                </c:pt>
                <c:pt idx="26">
                  <c:v>7.8735849056603779</c:v>
                </c:pt>
                <c:pt idx="27">
                  <c:v>8.0150943396226424</c:v>
                </c:pt>
                <c:pt idx="28">
                  <c:v>8.0150943396226424</c:v>
                </c:pt>
                <c:pt idx="29">
                  <c:v>8.0716981132075478</c:v>
                </c:pt>
                <c:pt idx="30">
                  <c:v>8.0716981132075478</c:v>
                </c:pt>
                <c:pt idx="31">
                  <c:v>8.1622641509433969</c:v>
                </c:pt>
                <c:pt idx="32">
                  <c:v>8.1622641509433969</c:v>
                </c:pt>
                <c:pt idx="33">
                  <c:v>8.2867924528301895</c:v>
                </c:pt>
                <c:pt idx="34">
                  <c:v>8.2867924528301895</c:v>
                </c:pt>
                <c:pt idx="35">
                  <c:v>8.4</c:v>
                </c:pt>
                <c:pt idx="36">
                  <c:v>8.4</c:v>
                </c:pt>
                <c:pt idx="37">
                  <c:v>8.5132075471698112</c:v>
                </c:pt>
                <c:pt idx="38">
                  <c:v>8.5132075471698112</c:v>
                </c:pt>
                <c:pt idx="39">
                  <c:v>8.6830188679245275</c:v>
                </c:pt>
                <c:pt idx="40">
                  <c:v>8.6830188679245275</c:v>
                </c:pt>
                <c:pt idx="41">
                  <c:v>8.8018867924528301</c:v>
                </c:pt>
                <c:pt idx="42">
                  <c:v>8.8018867924528301</c:v>
                </c:pt>
                <c:pt idx="43">
                  <c:v>8.8867924528301891</c:v>
                </c:pt>
                <c:pt idx="44">
                  <c:v>8.8867924528301891</c:v>
                </c:pt>
                <c:pt idx="45">
                  <c:v>9</c:v>
                </c:pt>
                <c:pt idx="46">
                  <c:v>9</c:v>
                </c:pt>
                <c:pt idx="47">
                  <c:v>9.0735849056603772</c:v>
                </c:pt>
                <c:pt idx="48">
                  <c:v>9.0735849056603772</c:v>
                </c:pt>
              </c:numCache>
            </c:numRef>
          </c:xVal>
          <c:yVal>
            <c:numRef>
              <c:f>Summary_updatedformatting!$P$4:$P$52</c:f>
              <c:numCache>
                <c:formatCode>General</c:formatCode>
                <c:ptCount val="49"/>
                <c:pt idx="0">
                  <c:v>-0.94987870640465422</c:v>
                </c:pt>
                <c:pt idx="1">
                  <c:v>-0.94987870640465422</c:v>
                </c:pt>
                <c:pt idx="2">
                  <c:v>-0.28586998712561951</c:v>
                </c:pt>
                <c:pt idx="3">
                  <c:v>-0.28586998712561951</c:v>
                </c:pt>
                <c:pt idx="4">
                  <c:v>-0.23840664091790578</c:v>
                </c:pt>
                <c:pt idx="5">
                  <c:v>-0.23840664091790578</c:v>
                </c:pt>
                <c:pt idx="6">
                  <c:v>-0.23840664091790578</c:v>
                </c:pt>
                <c:pt idx="7">
                  <c:v>-0.23840664091790578</c:v>
                </c:pt>
                <c:pt idx="8">
                  <c:v>-0.14347994850247839</c:v>
                </c:pt>
                <c:pt idx="9">
                  <c:v>-0.14347994850247839</c:v>
                </c:pt>
                <c:pt idx="10">
                  <c:v>-0.13846968723611039</c:v>
                </c:pt>
                <c:pt idx="11">
                  <c:v>-0.13846968723611039</c:v>
                </c:pt>
                <c:pt idx="12">
                  <c:v>7.6573028079437847E-2</c:v>
                </c:pt>
                <c:pt idx="13">
                  <c:v>7.6573028079437847E-2</c:v>
                </c:pt>
                <c:pt idx="14">
                  <c:v>0.50420411664041909</c:v>
                </c:pt>
                <c:pt idx="15">
                  <c:v>0.50420411664041909</c:v>
                </c:pt>
                <c:pt idx="16">
                  <c:v>0.50420411664041909</c:v>
                </c:pt>
                <c:pt idx="17">
                  <c:v>0.50420411664041909</c:v>
                </c:pt>
                <c:pt idx="18">
                  <c:v>1.120169129269551</c:v>
                </c:pt>
                <c:pt idx="19">
                  <c:v>1.120169129269551</c:v>
                </c:pt>
                <c:pt idx="20">
                  <c:v>1.1716638879621391</c:v>
                </c:pt>
                <c:pt idx="21">
                  <c:v>1.1716638879621391</c:v>
                </c:pt>
                <c:pt idx="22">
                  <c:v>2.5208657555515366</c:v>
                </c:pt>
                <c:pt idx="23">
                  <c:v>2.5208657555515366</c:v>
                </c:pt>
                <c:pt idx="24">
                  <c:v>3.6685487435817601</c:v>
                </c:pt>
                <c:pt idx="25">
                  <c:v>3.6685487435817601</c:v>
                </c:pt>
                <c:pt idx="26">
                  <c:v>5.2644586707873833</c:v>
                </c:pt>
                <c:pt idx="27">
                  <c:v>5.2644586707873833</c:v>
                </c:pt>
                <c:pt idx="28">
                  <c:v>5.2644586707873833</c:v>
                </c:pt>
                <c:pt idx="29">
                  <c:v>5.2644586707873833</c:v>
                </c:pt>
                <c:pt idx="30">
                  <c:v>5.2644586707873833</c:v>
                </c:pt>
                <c:pt idx="31">
                  <c:v>5.2644586707873833</c:v>
                </c:pt>
                <c:pt idx="32">
                  <c:v>5.2644586707873833</c:v>
                </c:pt>
                <c:pt idx="33">
                  <c:v>5.2644586707873833</c:v>
                </c:pt>
                <c:pt idx="34">
                  <c:v>5.5908829966703557</c:v>
                </c:pt>
                <c:pt idx="35">
                  <c:v>5.5908829966703557</c:v>
                </c:pt>
                <c:pt idx="36">
                  <c:v>5.7665074158755081</c:v>
                </c:pt>
                <c:pt idx="37">
                  <c:v>5.7665074158755081</c:v>
                </c:pt>
                <c:pt idx="38">
                  <c:v>5.7665074158755081</c:v>
                </c:pt>
                <c:pt idx="39">
                  <c:v>5.7665074158755081</c:v>
                </c:pt>
                <c:pt idx="40">
                  <c:v>5.8352566532463275</c:v>
                </c:pt>
                <c:pt idx="41">
                  <c:v>5.8352566532463275</c:v>
                </c:pt>
                <c:pt idx="42">
                  <c:v>9.2807772763438585</c:v>
                </c:pt>
                <c:pt idx="43">
                  <c:v>9.2807772763438585</c:v>
                </c:pt>
                <c:pt idx="44">
                  <c:v>9.2807772763438585</c:v>
                </c:pt>
                <c:pt idx="45">
                  <c:v>9.2807772763438585</c:v>
                </c:pt>
                <c:pt idx="46">
                  <c:v>14.872122786040128</c:v>
                </c:pt>
                <c:pt idx="47">
                  <c:v>14.872122786040128</c:v>
                </c:pt>
                <c:pt idx="48">
                  <c:v>14.872122786040128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5F-405D-BDAC-06942FEC92FE}"/>
            </c:ext>
          </c:extLst>
        </c:ser>
        <c:ser>
          <c:idx val="1"/>
          <c:order val="1"/>
          <c:tx>
            <c:v>2030</c:v>
          </c:tx>
          <c:spPr>
            <a:ln w="19050" cap="rnd">
              <a:solidFill>
                <a:srgbClr val="006699"/>
              </a:solidFill>
              <a:round/>
            </a:ln>
            <a:effectLst/>
          </c:spPr>
          <c:marker>
            <c:symbol val="none"/>
          </c:marker>
          <c:xVal>
            <c:numRef>
              <c:f>Summary_updatedformatting!$Q$4:$Q$52</c:f>
              <c:numCache>
                <c:formatCode>General</c:formatCode>
                <c:ptCount val="49"/>
                <c:pt idx="0">
                  <c:v>0.72229852411813744</c:v>
                </c:pt>
                <c:pt idx="1">
                  <c:v>2.0465124850013896</c:v>
                </c:pt>
                <c:pt idx="2">
                  <c:v>2.0465124850013896</c:v>
                </c:pt>
                <c:pt idx="3">
                  <c:v>2.7688110091195268</c:v>
                </c:pt>
                <c:pt idx="4">
                  <c:v>2.7688110091195268</c:v>
                </c:pt>
                <c:pt idx="5">
                  <c:v>3.2503433585316186</c:v>
                </c:pt>
                <c:pt idx="6">
                  <c:v>3.2503433585316186</c:v>
                </c:pt>
                <c:pt idx="7">
                  <c:v>4.454174232061848</c:v>
                </c:pt>
                <c:pt idx="8">
                  <c:v>4.454174232061848</c:v>
                </c:pt>
                <c:pt idx="9">
                  <c:v>5.9589628239746339</c:v>
                </c:pt>
                <c:pt idx="10">
                  <c:v>5.9589628239746339</c:v>
                </c:pt>
                <c:pt idx="11">
                  <c:v>7.4637514158874207</c:v>
                </c:pt>
                <c:pt idx="12">
                  <c:v>7.4637514158874207</c:v>
                </c:pt>
                <c:pt idx="13">
                  <c:v>7.5841345032404437</c:v>
                </c:pt>
                <c:pt idx="14">
                  <c:v>7.5841345032404437</c:v>
                </c:pt>
                <c:pt idx="15">
                  <c:v>7.7045175905934666</c:v>
                </c:pt>
                <c:pt idx="16">
                  <c:v>7.7045175905934666</c:v>
                </c:pt>
                <c:pt idx="17">
                  <c:v>7.8369389866817922</c:v>
                </c:pt>
                <c:pt idx="18">
                  <c:v>7.8369389866817922</c:v>
                </c:pt>
                <c:pt idx="19">
                  <c:v>7.8971305303583037</c:v>
                </c:pt>
                <c:pt idx="20">
                  <c:v>7.8971305303583037</c:v>
                </c:pt>
                <c:pt idx="21">
                  <c:v>8.0716860070201868</c:v>
                </c:pt>
                <c:pt idx="22">
                  <c:v>8.0716860070201868</c:v>
                </c:pt>
                <c:pt idx="23">
                  <c:v>8.2823564098879761</c:v>
                </c:pt>
                <c:pt idx="24">
                  <c:v>8.2823564098879761</c:v>
                </c:pt>
                <c:pt idx="25">
                  <c:v>8.3726437254027424</c:v>
                </c:pt>
                <c:pt idx="26">
                  <c:v>8.3726437254027424</c:v>
                </c:pt>
                <c:pt idx="27">
                  <c:v>8.5231225845940202</c:v>
                </c:pt>
                <c:pt idx="28">
                  <c:v>8.5231225845940202</c:v>
                </c:pt>
                <c:pt idx="29">
                  <c:v>8.5833141282705316</c:v>
                </c:pt>
                <c:pt idx="30">
                  <c:v>8.5833141282705316</c:v>
                </c:pt>
                <c:pt idx="31">
                  <c:v>8.6796205981529493</c:v>
                </c:pt>
                <c:pt idx="32">
                  <c:v>8.6796205981529493</c:v>
                </c:pt>
                <c:pt idx="33">
                  <c:v>8.8120419942412749</c:v>
                </c:pt>
                <c:pt idx="34">
                  <c:v>8.8120419942412749</c:v>
                </c:pt>
                <c:pt idx="35">
                  <c:v>8.9324250815942978</c:v>
                </c:pt>
                <c:pt idx="36">
                  <c:v>8.9324250815942978</c:v>
                </c:pt>
                <c:pt idx="37">
                  <c:v>9.0528081689473208</c:v>
                </c:pt>
                <c:pt idx="38">
                  <c:v>9.0528081689473208</c:v>
                </c:pt>
                <c:pt idx="39">
                  <c:v>9.2333827999768552</c:v>
                </c:pt>
                <c:pt idx="40">
                  <c:v>9.2333827999768552</c:v>
                </c:pt>
                <c:pt idx="41">
                  <c:v>9.3597850416975295</c:v>
                </c:pt>
                <c:pt idx="42">
                  <c:v>9.3597850416975295</c:v>
                </c:pt>
                <c:pt idx="43">
                  <c:v>9.4500723572122958</c:v>
                </c:pt>
                <c:pt idx="44">
                  <c:v>9.4500723572122958</c:v>
                </c:pt>
                <c:pt idx="45">
                  <c:v>9.5704554445653187</c:v>
                </c:pt>
                <c:pt idx="46">
                  <c:v>9.5704554445653187</c:v>
                </c:pt>
                <c:pt idx="47">
                  <c:v>9.6487044513447842</c:v>
                </c:pt>
                <c:pt idx="48">
                  <c:v>9.6487044513447842</c:v>
                </c:pt>
              </c:numCache>
            </c:numRef>
          </c:xVal>
          <c:yVal>
            <c:numRef>
              <c:f>Summary_updatedformatting!$R$4:$R$52</c:f>
              <c:numCache>
                <c:formatCode>General</c:formatCode>
                <c:ptCount val="49"/>
                <c:pt idx="0">
                  <c:v>-0.95739690044395609</c:v>
                </c:pt>
                <c:pt idx="1">
                  <c:v>-0.95739690044395609</c:v>
                </c:pt>
                <c:pt idx="2">
                  <c:v>-0.29298948905677658</c:v>
                </c:pt>
                <c:pt idx="3">
                  <c:v>-0.29298948905677658</c:v>
                </c:pt>
                <c:pt idx="4">
                  <c:v>-0.25264564478021995</c:v>
                </c:pt>
                <c:pt idx="5">
                  <c:v>-0.25264564478021995</c:v>
                </c:pt>
                <c:pt idx="6">
                  <c:v>-0.25264564478021995</c:v>
                </c:pt>
                <c:pt idx="7">
                  <c:v>-0.25264564478021995</c:v>
                </c:pt>
                <c:pt idx="8">
                  <c:v>-0.17195795622710669</c:v>
                </c:pt>
                <c:pt idx="9">
                  <c:v>-0.17195795622710669</c:v>
                </c:pt>
                <c:pt idx="10">
                  <c:v>-0.15591351986497953</c:v>
                </c:pt>
                <c:pt idx="11">
                  <c:v>-0.15591351986497953</c:v>
                </c:pt>
                <c:pt idx="12">
                  <c:v>9.5315183119666306E-3</c:v>
                </c:pt>
                <c:pt idx="13">
                  <c:v>9.5315183119666306E-3</c:v>
                </c:pt>
                <c:pt idx="14">
                  <c:v>0.36557785644283125</c:v>
                </c:pt>
                <c:pt idx="15">
                  <c:v>0.36557785644283125</c:v>
                </c:pt>
                <c:pt idx="16">
                  <c:v>0.36557785644283125</c:v>
                </c:pt>
                <c:pt idx="17">
                  <c:v>0.36557785644283125</c:v>
                </c:pt>
                <c:pt idx="18">
                  <c:v>0.89129803226173732</c:v>
                </c:pt>
                <c:pt idx="19">
                  <c:v>0.89129803226173732</c:v>
                </c:pt>
                <c:pt idx="20">
                  <c:v>0.93291866206629326</c:v>
                </c:pt>
                <c:pt idx="21">
                  <c:v>0.93291866206629326</c:v>
                </c:pt>
                <c:pt idx="22">
                  <c:v>2.0818901646014245</c:v>
                </c:pt>
                <c:pt idx="23">
                  <c:v>2.0818901646014245</c:v>
                </c:pt>
                <c:pt idx="24">
                  <c:v>3.055270789342972</c:v>
                </c:pt>
                <c:pt idx="25">
                  <c:v>3.055270789342972</c:v>
                </c:pt>
                <c:pt idx="26">
                  <c:v>4.4139441425518946</c:v>
                </c:pt>
                <c:pt idx="27">
                  <c:v>4.4139441425518946</c:v>
                </c:pt>
                <c:pt idx="28">
                  <c:v>4.4139441425518946</c:v>
                </c:pt>
                <c:pt idx="29">
                  <c:v>4.4139441425518946</c:v>
                </c:pt>
                <c:pt idx="30">
                  <c:v>4.4139441425518946</c:v>
                </c:pt>
                <c:pt idx="31">
                  <c:v>4.4139441425518946</c:v>
                </c:pt>
                <c:pt idx="32">
                  <c:v>4.4139441425518946</c:v>
                </c:pt>
                <c:pt idx="33">
                  <c:v>4.4139441425518946</c:v>
                </c:pt>
                <c:pt idx="34">
                  <c:v>4.6914048195524209</c:v>
                </c:pt>
                <c:pt idx="35">
                  <c:v>4.6914048195524209</c:v>
                </c:pt>
                <c:pt idx="36">
                  <c:v>4.8569293787347751</c:v>
                </c:pt>
                <c:pt idx="37">
                  <c:v>4.8569293787347751</c:v>
                </c:pt>
                <c:pt idx="38">
                  <c:v>4.8569293787347751</c:v>
                </c:pt>
                <c:pt idx="39">
                  <c:v>4.8569293787347751</c:v>
                </c:pt>
                <c:pt idx="40">
                  <c:v>4.8969725125578529</c:v>
                </c:pt>
                <c:pt idx="41">
                  <c:v>4.8969725125578529</c:v>
                </c:pt>
                <c:pt idx="42">
                  <c:v>7.8278149572748985</c:v>
                </c:pt>
                <c:pt idx="43">
                  <c:v>7.8278149572748985</c:v>
                </c:pt>
                <c:pt idx="44">
                  <c:v>7.8278149572748985</c:v>
                </c:pt>
                <c:pt idx="45">
                  <c:v>7.8278149572748985</c:v>
                </c:pt>
                <c:pt idx="46">
                  <c:v>12.580458640516728</c:v>
                </c:pt>
                <c:pt idx="47">
                  <c:v>12.580458640516728</c:v>
                </c:pt>
                <c:pt idx="48">
                  <c:v>12.580458640516728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5F-405D-BDAC-06942FEC92FE}"/>
            </c:ext>
          </c:extLst>
        </c:ser>
        <c:ser>
          <c:idx val="2"/>
          <c:order val="2"/>
          <c:tx>
            <c:v>2040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Summary_updatedformatting!$S$4:$S$52</c:f>
              <c:numCache>
                <c:formatCode>General</c:formatCode>
                <c:ptCount val="49"/>
                <c:pt idx="0">
                  <c:v>0.78218846278012188</c:v>
                </c:pt>
                <c:pt idx="1">
                  <c:v>2.2162006445436786</c:v>
                </c:pt>
                <c:pt idx="2">
                  <c:v>2.2162006445436786</c:v>
                </c:pt>
                <c:pt idx="3">
                  <c:v>2.9983891073238005</c:v>
                </c:pt>
                <c:pt idx="4">
                  <c:v>2.9983891073238005</c:v>
                </c:pt>
                <c:pt idx="5">
                  <c:v>3.5198480825105483</c:v>
                </c:pt>
                <c:pt idx="6">
                  <c:v>3.5198480825105483</c:v>
                </c:pt>
                <c:pt idx="7">
                  <c:v>4.8234955204774179</c:v>
                </c:pt>
                <c:pt idx="8">
                  <c:v>4.8234955204774179</c:v>
                </c:pt>
                <c:pt idx="9">
                  <c:v>6.453054817936005</c:v>
                </c:pt>
                <c:pt idx="10">
                  <c:v>6.453054817936005</c:v>
                </c:pt>
                <c:pt idx="11">
                  <c:v>8.0826141153945912</c:v>
                </c:pt>
                <c:pt idx="12">
                  <c:v>8.0826141153945912</c:v>
                </c:pt>
                <c:pt idx="13">
                  <c:v>8.2129788591912778</c:v>
                </c:pt>
                <c:pt idx="14">
                  <c:v>8.2129788591912778</c:v>
                </c:pt>
                <c:pt idx="15">
                  <c:v>8.3433436029879644</c:v>
                </c:pt>
                <c:pt idx="16">
                  <c:v>8.3433436029879644</c:v>
                </c:pt>
                <c:pt idx="17">
                  <c:v>8.4867448211643204</c:v>
                </c:pt>
                <c:pt idx="18">
                  <c:v>8.4867448211643204</c:v>
                </c:pt>
                <c:pt idx="19">
                  <c:v>8.5519271930626637</c:v>
                </c:pt>
                <c:pt idx="20">
                  <c:v>8.5519271930626637</c:v>
                </c:pt>
                <c:pt idx="21">
                  <c:v>8.7409560715678598</c:v>
                </c:pt>
                <c:pt idx="22">
                  <c:v>8.7409560715678598</c:v>
                </c:pt>
                <c:pt idx="23">
                  <c:v>8.9690943732120623</c:v>
                </c:pt>
                <c:pt idx="24">
                  <c:v>8.9690943732120623</c:v>
                </c:pt>
                <c:pt idx="25">
                  <c:v>9.0668679310595781</c:v>
                </c:pt>
                <c:pt idx="26">
                  <c:v>9.0668679310595781</c:v>
                </c:pt>
                <c:pt idx="27">
                  <c:v>9.2298238608054373</c:v>
                </c:pt>
                <c:pt idx="28">
                  <c:v>9.2298238608054373</c:v>
                </c:pt>
                <c:pt idx="29">
                  <c:v>9.2950062327037806</c:v>
                </c:pt>
                <c:pt idx="30">
                  <c:v>9.2950062327037806</c:v>
                </c:pt>
                <c:pt idx="31">
                  <c:v>9.3992980277411302</c:v>
                </c:pt>
                <c:pt idx="32">
                  <c:v>9.3992980277411302</c:v>
                </c:pt>
                <c:pt idx="33">
                  <c:v>9.5426992459174862</c:v>
                </c:pt>
                <c:pt idx="34">
                  <c:v>9.5426992459174862</c:v>
                </c:pt>
                <c:pt idx="35">
                  <c:v>9.7382463616125161</c:v>
                </c:pt>
                <c:pt idx="36">
                  <c:v>9.7382463616125161</c:v>
                </c:pt>
                <c:pt idx="37">
                  <c:v>9.8686111054092027</c:v>
                </c:pt>
                <c:pt idx="38">
                  <c:v>9.8686111054092027</c:v>
                </c:pt>
                <c:pt idx="39">
                  <c:v>9.9989758492058893</c:v>
                </c:pt>
                <c:pt idx="40">
                  <c:v>9.9989758492058893</c:v>
                </c:pt>
                <c:pt idx="41">
                  <c:v>10.135858830192412</c:v>
                </c:pt>
                <c:pt idx="42">
                  <c:v>10.135858830192412</c:v>
                </c:pt>
                <c:pt idx="43">
                  <c:v>10.233632388039927</c:v>
                </c:pt>
                <c:pt idx="44">
                  <c:v>10.233632388039927</c:v>
                </c:pt>
                <c:pt idx="45">
                  <c:v>10.363997131836614</c:v>
                </c:pt>
                <c:pt idx="46">
                  <c:v>10.363997131836614</c:v>
                </c:pt>
                <c:pt idx="47">
                  <c:v>10.44873421530446</c:v>
                </c:pt>
                <c:pt idx="48">
                  <c:v>10.44873421530446</c:v>
                </c:pt>
              </c:numCache>
            </c:numRef>
          </c:xVal>
          <c:yVal>
            <c:numRef>
              <c:f>Summary_updatedformatting!$T$4:$T$52</c:f>
              <c:numCache>
                <c:formatCode>General</c:formatCode>
                <c:ptCount val="49"/>
                <c:pt idx="0">
                  <c:v>-0.9699272238427924</c:v>
                </c:pt>
                <c:pt idx="1">
                  <c:v>-0.9699272238427924</c:v>
                </c:pt>
                <c:pt idx="2">
                  <c:v>-0.30485532560870487</c:v>
                </c:pt>
                <c:pt idx="3">
                  <c:v>-0.30485532560870487</c:v>
                </c:pt>
                <c:pt idx="4">
                  <c:v>-0.27637731788407677</c:v>
                </c:pt>
                <c:pt idx="5">
                  <c:v>-0.27637731788407677</c:v>
                </c:pt>
                <c:pt idx="6">
                  <c:v>-0.27637731788407677</c:v>
                </c:pt>
                <c:pt idx="7">
                  <c:v>-0.27637731788407677</c:v>
                </c:pt>
                <c:pt idx="8">
                  <c:v>-0.21942130243482039</c:v>
                </c:pt>
                <c:pt idx="9">
                  <c:v>-0.21942130243482039</c:v>
                </c:pt>
                <c:pt idx="10">
                  <c:v>-0.18498657424642811</c:v>
                </c:pt>
                <c:pt idx="11">
                  <c:v>-0.18498657424642811</c:v>
                </c:pt>
                <c:pt idx="12">
                  <c:v>-0.1022043313004854</c:v>
                </c:pt>
                <c:pt idx="13">
                  <c:v>-0.1022043313004854</c:v>
                </c:pt>
                <c:pt idx="14">
                  <c:v>0.13453408944685141</c:v>
                </c:pt>
                <c:pt idx="15">
                  <c:v>0.13453408944685141</c:v>
                </c:pt>
                <c:pt idx="16">
                  <c:v>0.13453408944685141</c:v>
                </c:pt>
                <c:pt idx="17">
                  <c:v>0.13453408944685141</c:v>
                </c:pt>
                <c:pt idx="18">
                  <c:v>0.50984620391538082</c:v>
                </c:pt>
                <c:pt idx="19">
                  <c:v>0.50984620391538082</c:v>
                </c:pt>
                <c:pt idx="20">
                  <c:v>0.53500995223988312</c:v>
                </c:pt>
                <c:pt idx="21">
                  <c:v>0.53500995223988312</c:v>
                </c:pt>
                <c:pt idx="22">
                  <c:v>1.350264179684572</c:v>
                </c:pt>
                <c:pt idx="23">
                  <c:v>1.350264179684572</c:v>
                </c:pt>
                <c:pt idx="24">
                  <c:v>2.0331408656116561</c:v>
                </c:pt>
                <c:pt idx="25">
                  <c:v>2.0331408656116561</c:v>
                </c:pt>
                <c:pt idx="26">
                  <c:v>2.9964199288260804</c:v>
                </c:pt>
                <c:pt idx="27">
                  <c:v>2.9964199288260804</c:v>
                </c:pt>
                <c:pt idx="28">
                  <c:v>2.9964199288260804</c:v>
                </c:pt>
                <c:pt idx="29">
                  <c:v>2.9964199288260804</c:v>
                </c:pt>
                <c:pt idx="30">
                  <c:v>2.9964199288260804</c:v>
                </c:pt>
                <c:pt idx="31">
                  <c:v>2.9964199288260804</c:v>
                </c:pt>
                <c:pt idx="32">
                  <c:v>2.9964199288260804</c:v>
                </c:pt>
                <c:pt idx="33">
                  <c:v>2.9964199288260804</c:v>
                </c:pt>
                <c:pt idx="34">
                  <c:v>3.1922745243558639</c:v>
                </c:pt>
                <c:pt idx="35">
                  <c:v>3.1922745243558639</c:v>
                </c:pt>
                <c:pt idx="36">
                  <c:v>3.3331656114103958</c:v>
                </c:pt>
                <c:pt idx="37">
                  <c:v>3.3331656114103958</c:v>
                </c:pt>
                <c:pt idx="38">
                  <c:v>3.3409659835002232</c:v>
                </c:pt>
                <c:pt idx="39">
                  <c:v>3.3409659835002232</c:v>
                </c:pt>
                <c:pt idx="40">
                  <c:v>3.3409659835002232</c:v>
                </c:pt>
                <c:pt idx="41">
                  <c:v>3.3409659835002232</c:v>
                </c:pt>
                <c:pt idx="42">
                  <c:v>5.4062110921599649</c:v>
                </c:pt>
                <c:pt idx="43">
                  <c:v>5.4062110921599649</c:v>
                </c:pt>
                <c:pt idx="44">
                  <c:v>5.4062110921599649</c:v>
                </c:pt>
                <c:pt idx="45">
                  <c:v>5.4062110921599649</c:v>
                </c:pt>
                <c:pt idx="46">
                  <c:v>8.7610183979777254</c:v>
                </c:pt>
                <c:pt idx="47">
                  <c:v>8.7610183979777254</c:v>
                </c:pt>
                <c:pt idx="48">
                  <c:v>8.7610183979777254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5F-405D-BDAC-06942FEC9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929008"/>
        <c:axId val="991926056"/>
      </c:scatterChart>
      <c:valAx>
        <c:axId val="99192900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Carbon abated: ktCO2e/yr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926056"/>
        <c:crosses val="autoZero"/>
        <c:crossBetween val="midCat"/>
      </c:valAx>
      <c:valAx>
        <c:axId val="99192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929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80008748906388"/>
          <c:y val="9.3009259259259264E-2"/>
          <c:w val="0.42239982502187234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2019</c:v>
          </c:tx>
          <c:spPr>
            <a:ln w="19050" cap="rnd">
              <a:solidFill>
                <a:srgbClr val="33CCCC"/>
              </a:solidFill>
              <a:round/>
            </a:ln>
            <a:effectLst/>
          </c:spPr>
          <c:marker>
            <c:symbol val="none"/>
          </c:marker>
          <c:xVal>
            <c:numRef>
              <c:f>Summary_updatedformatting!$U$4:$U$52</c:f>
              <c:numCache>
                <c:formatCode>General</c:formatCode>
                <c:ptCount val="49"/>
                <c:pt idx="0">
                  <c:v>7.5471698113207548E-3</c:v>
                </c:pt>
                <c:pt idx="1">
                  <c:v>2.1383647798742137E-2</c:v>
                </c:pt>
                <c:pt idx="2">
                  <c:v>2.1383647798742137E-2</c:v>
                </c:pt>
                <c:pt idx="3">
                  <c:v>2.8930817610062894E-2</c:v>
                </c:pt>
                <c:pt idx="4">
                  <c:v>2.8930817610062894E-2</c:v>
                </c:pt>
                <c:pt idx="5">
                  <c:v>3.3962264150943396E-2</c:v>
                </c:pt>
                <c:pt idx="6">
                  <c:v>3.3962264150943396E-2</c:v>
                </c:pt>
                <c:pt idx="7">
                  <c:v>4.6540880503144651E-2</c:v>
                </c:pt>
                <c:pt idx="8">
                  <c:v>4.6540880503144651E-2</c:v>
                </c:pt>
                <c:pt idx="9">
                  <c:v>6.2264150943396226E-2</c:v>
                </c:pt>
                <c:pt idx="10">
                  <c:v>6.2264150943396226E-2</c:v>
                </c:pt>
                <c:pt idx="11">
                  <c:v>7.7987421383647795E-2</c:v>
                </c:pt>
                <c:pt idx="12">
                  <c:v>7.7987421383647795E-2</c:v>
                </c:pt>
                <c:pt idx="13">
                  <c:v>7.9245283018867921E-2</c:v>
                </c:pt>
                <c:pt idx="14">
                  <c:v>7.9245283018867921E-2</c:v>
                </c:pt>
                <c:pt idx="15">
                  <c:v>8.0503144654088046E-2</c:v>
                </c:pt>
                <c:pt idx="16">
                  <c:v>8.0503144654088046E-2</c:v>
                </c:pt>
                <c:pt idx="17">
                  <c:v>8.188679245283019E-2</c:v>
                </c:pt>
                <c:pt idx="18">
                  <c:v>8.188679245283019E-2</c:v>
                </c:pt>
                <c:pt idx="19">
                  <c:v>8.2515723270440253E-2</c:v>
                </c:pt>
                <c:pt idx="20">
                  <c:v>8.2515723270440253E-2</c:v>
                </c:pt>
                <c:pt idx="21">
                  <c:v>8.4339622641509432E-2</c:v>
                </c:pt>
                <c:pt idx="22">
                  <c:v>8.4339622641509432E-2</c:v>
                </c:pt>
                <c:pt idx="23">
                  <c:v>8.6540880503144652E-2</c:v>
                </c:pt>
                <c:pt idx="24">
                  <c:v>8.6540880503144652E-2</c:v>
                </c:pt>
                <c:pt idx="25">
                  <c:v>8.7484276729559746E-2</c:v>
                </c:pt>
                <c:pt idx="26">
                  <c:v>8.7484276729559746E-2</c:v>
                </c:pt>
                <c:pt idx="27">
                  <c:v>8.9056603773584903E-2</c:v>
                </c:pt>
                <c:pt idx="28">
                  <c:v>8.9056603773584903E-2</c:v>
                </c:pt>
                <c:pt idx="29">
                  <c:v>8.9685534591194965E-2</c:v>
                </c:pt>
                <c:pt idx="30">
                  <c:v>8.9685534591194965E-2</c:v>
                </c:pt>
                <c:pt idx="31">
                  <c:v>9.0691823899371068E-2</c:v>
                </c:pt>
                <c:pt idx="32">
                  <c:v>9.0691823899371068E-2</c:v>
                </c:pt>
                <c:pt idx="33">
                  <c:v>9.2075471698113212E-2</c:v>
                </c:pt>
                <c:pt idx="34">
                  <c:v>9.2075471698113212E-2</c:v>
                </c:pt>
                <c:pt idx="35">
                  <c:v>9.3333333333333338E-2</c:v>
                </c:pt>
                <c:pt idx="36">
                  <c:v>9.3333333333333338E-2</c:v>
                </c:pt>
                <c:pt idx="37">
                  <c:v>9.4591194968553463E-2</c:v>
                </c:pt>
                <c:pt idx="38">
                  <c:v>9.4591194968553463E-2</c:v>
                </c:pt>
                <c:pt idx="39">
                  <c:v>9.6477987421383651E-2</c:v>
                </c:pt>
                <c:pt idx="40">
                  <c:v>9.6477987421383651E-2</c:v>
                </c:pt>
                <c:pt idx="41">
                  <c:v>9.7798742138364786E-2</c:v>
                </c:pt>
                <c:pt idx="42">
                  <c:v>9.7798742138364786E-2</c:v>
                </c:pt>
                <c:pt idx="43">
                  <c:v>9.874213836477988E-2</c:v>
                </c:pt>
                <c:pt idx="44">
                  <c:v>9.874213836477988E-2</c:v>
                </c:pt>
                <c:pt idx="45">
                  <c:v>0.1</c:v>
                </c:pt>
                <c:pt idx="46">
                  <c:v>0.1</c:v>
                </c:pt>
                <c:pt idx="47">
                  <c:v>0.10081761006289308</c:v>
                </c:pt>
                <c:pt idx="48">
                  <c:v>0.10081761006289308</c:v>
                </c:pt>
              </c:numCache>
            </c:numRef>
          </c:xVal>
          <c:yVal>
            <c:numRef>
              <c:f>Summary_updatedformatting!$V$4:$V$52</c:f>
              <c:numCache>
                <c:formatCode>General</c:formatCode>
                <c:ptCount val="49"/>
                <c:pt idx="0">
                  <c:v>-0.94987870640465422</c:v>
                </c:pt>
                <c:pt idx="1">
                  <c:v>-0.94987870640465422</c:v>
                </c:pt>
                <c:pt idx="2">
                  <c:v>-0.28586998712561951</c:v>
                </c:pt>
                <c:pt idx="3">
                  <c:v>-0.28586998712561951</c:v>
                </c:pt>
                <c:pt idx="4">
                  <c:v>-0.23840664091790578</c:v>
                </c:pt>
                <c:pt idx="5">
                  <c:v>-0.23840664091790578</c:v>
                </c:pt>
                <c:pt idx="6">
                  <c:v>-0.23840664091790578</c:v>
                </c:pt>
                <c:pt idx="7">
                  <c:v>-0.23840664091790578</c:v>
                </c:pt>
                <c:pt idx="8">
                  <c:v>-0.14347994850247839</c:v>
                </c:pt>
                <c:pt idx="9">
                  <c:v>-0.14347994850247839</c:v>
                </c:pt>
                <c:pt idx="10">
                  <c:v>-0.13846968723611039</c:v>
                </c:pt>
                <c:pt idx="11">
                  <c:v>-0.13846968723611039</c:v>
                </c:pt>
                <c:pt idx="12">
                  <c:v>7.6573028079437847E-2</c:v>
                </c:pt>
                <c:pt idx="13">
                  <c:v>7.6573028079437847E-2</c:v>
                </c:pt>
                <c:pt idx="14">
                  <c:v>0.50420411664041909</c:v>
                </c:pt>
                <c:pt idx="15">
                  <c:v>0.50420411664041909</c:v>
                </c:pt>
                <c:pt idx="16">
                  <c:v>0.50420411664041909</c:v>
                </c:pt>
                <c:pt idx="17">
                  <c:v>0.50420411664041909</c:v>
                </c:pt>
                <c:pt idx="18">
                  <c:v>1.120169129269551</c:v>
                </c:pt>
                <c:pt idx="19">
                  <c:v>1.120169129269551</c:v>
                </c:pt>
                <c:pt idx="20">
                  <c:v>1.1716638879621391</c:v>
                </c:pt>
                <c:pt idx="21">
                  <c:v>1.1716638879621391</c:v>
                </c:pt>
                <c:pt idx="22">
                  <c:v>2.5208657555515366</c:v>
                </c:pt>
                <c:pt idx="23">
                  <c:v>2.5208657555515366</c:v>
                </c:pt>
                <c:pt idx="24">
                  <c:v>3.6685487435817601</c:v>
                </c:pt>
                <c:pt idx="25">
                  <c:v>3.6685487435817601</c:v>
                </c:pt>
                <c:pt idx="26">
                  <c:v>5.2644586707873833</c:v>
                </c:pt>
                <c:pt idx="27">
                  <c:v>5.2644586707873833</c:v>
                </c:pt>
                <c:pt idx="28">
                  <c:v>5.2644586707873833</c:v>
                </c:pt>
                <c:pt idx="29">
                  <c:v>5.2644586707873833</c:v>
                </c:pt>
                <c:pt idx="30">
                  <c:v>5.2644586707873833</c:v>
                </c:pt>
                <c:pt idx="31">
                  <c:v>5.2644586707873833</c:v>
                </c:pt>
                <c:pt idx="32">
                  <c:v>5.2644586707873833</c:v>
                </c:pt>
                <c:pt idx="33">
                  <c:v>5.2644586707873833</c:v>
                </c:pt>
                <c:pt idx="34">
                  <c:v>5.5908829966703557</c:v>
                </c:pt>
                <c:pt idx="35">
                  <c:v>5.5908829966703557</c:v>
                </c:pt>
                <c:pt idx="36">
                  <c:v>5.7665074158755081</c:v>
                </c:pt>
                <c:pt idx="37">
                  <c:v>5.7665074158755081</c:v>
                </c:pt>
                <c:pt idx="38">
                  <c:v>5.7665074158755081</c:v>
                </c:pt>
                <c:pt idx="39">
                  <c:v>5.7665074158755081</c:v>
                </c:pt>
                <c:pt idx="40">
                  <c:v>5.8352566532463275</c:v>
                </c:pt>
                <c:pt idx="41">
                  <c:v>5.8352566532463275</c:v>
                </c:pt>
                <c:pt idx="42">
                  <c:v>9.2807772763438585</c:v>
                </c:pt>
                <c:pt idx="43">
                  <c:v>9.2807772763438585</c:v>
                </c:pt>
                <c:pt idx="44">
                  <c:v>9.2807772763438585</c:v>
                </c:pt>
                <c:pt idx="45">
                  <c:v>9.2807772763438585</c:v>
                </c:pt>
                <c:pt idx="46">
                  <c:v>14.872122786040128</c:v>
                </c:pt>
                <c:pt idx="47">
                  <c:v>14.872122786040128</c:v>
                </c:pt>
                <c:pt idx="48">
                  <c:v>14.872122786040128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1E-478B-91EC-804A37E77288}"/>
            </c:ext>
          </c:extLst>
        </c:ser>
        <c:ser>
          <c:idx val="1"/>
          <c:order val="1"/>
          <c:tx>
            <c:v>2030</c:v>
          </c:tx>
          <c:spPr>
            <a:ln w="19050" cap="rnd">
              <a:solidFill>
                <a:srgbClr val="006699"/>
              </a:solidFill>
              <a:round/>
            </a:ln>
            <a:effectLst/>
          </c:spPr>
          <c:marker>
            <c:symbol val="none"/>
          </c:marker>
          <c:xVal>
            <c:numRef>
              <c:f>Summary_updatedformatting!$W$4:$W$52</c:f>
              <c:numCache>
                <c:formatCode>General</c:formatCode>
                <c:ptCount val="49"/>
                <c:pt idx="0">
                  <c:v>8.5031446540880518E-3</c:v>
                </c:pt>
                <c:pt idx="1">
                  <c:v>2.4092243186582811E-2</c:v>
                </c:pt>
                <c:pt idx="2">
                  <c:v>2.4092243186582811E-2</c:v>
                </c:pt>
                <c:pt idx="3">
                  <c:v>3.2595387840670863E-2</c:v>
                </c:pt>
                <c:pt idx="4">
                  <c:v>3.2595387840670863E-2</c:v>
                </c:pt>
                <c:pt idx="5">
                  <c:v>3.8264150943396233E-2</c:v>
                </c:pt>
                <c:pt idx="6">
                  <c:v>3.8264150943396233E-2</c:v>
                </c:pt>
                <c:pt idx="7">
                  <c:v>5.2436058700209648E-2</c:v>
                </c:pt>
                <c:pt idx="8">
                  <c:v>5.2436058700209648E-2</c:v>
                </c:pt>
                <c:pt idx="9">
                  <c:v>7.015094339622642E-2</c:v>
                </c:pt>
                <c:pt idx="10">
                  <c:v>7.015094339622642E-2</c:v>
                </c:pt>
                <c:pt idx="11">
                  <c:v>8.7865828092243192E-2</c:v>
                </c:pt>
                <c:pt idx="12">
                  <c:v>8.7865828092243192E-2</c:v>
                </c:pt>
                <c:pt idx="13">
                  <c:v>8.928301886792453E-2</c:v>
                </c:pt>
                <c:pt idx="14">
                  <c:v>8.928301886792453E-2</c:v>
                </c:pt>
                <c:pt idx="15">
                  <c:v>9.0700209643605867E-2</c:v>
                </c:pt>
                <c:pt idx="16">
                  <c:v>9.0700209643605867E-2</c:v>
                </c:pt>
                <c:pt idx="17">
                  <c:v>9.2259119496855349E-2</c:v>
                </c:pt>
                <c:pt idx="18">
                  <c:v>9.2259119496855349E-2</c:v>
                </c:pt>
                <c:pt idx="19">
                  <c:v>9.2967714884696018E-2</c:v>
                </c:pt>
                <c:pt idx="20">
                  <c:v>9.2967714884696018E-2</c:v>
                </c:pt>
                <c:pt idx="21">
                  <c:v>9.5022641509433958E-2</c:v>
                </c:pt>
                <c:pt idx="22">
                  <c:v>9.5022641509433958E-2</c:v>
                </c:pt>
                <c:pt idx="23">
                  <c:v>9.7502725366876306E-2</c:v>
                </c:pt>
                <c:pt idx="24">
                  <c:v>9.7502725366876306E-2</c:v>
                </c:pt>
                <c:pt idx="25">
                  <c:v>9.8565618448637315E-2</c:v>
                </c:pt>
                <c:pt idx="26">
                  <c:v>9.8565618448637315E-2</c:v>
                </c:pt>
                <c:pt idx="27">
                  <c:v>0.10033710691823899</c:v>
                </c:pt>
                <c:pt idx="28">
                  <c:v>0.10033710691823899</c:v>
                </c:pt>
                <c:pt idx="29">
                  <c:v>0.10104570230607966</c:v>
                </c:pt>
                <c:pt idx="30">
                  <c:v>0.10104570230607966</c:v>
                </c:pt>
                <c:pt idx="31">
                  <c:v>0.10217945492662474</c:v>
                </c:pt>
                <c:pt idx="32">
                  <c:v>0.10217945492662474</c:v>
                </c:pt>
                <c:pt idx="33">
                  <c:v>0.10373836477987422</c:v>
                </c:pt>
                <c:pt idx="34">
                  <c:v>0.10373836477987422</c:v>
                </c:pt>
                <c:pt idx="35">
                  <c:v>0.10515555555555556</c:v>
                </c:pt>
                <c:pt idx="36">
                  <c:v>0.10515555555555556</c:v>
                </c:pt>
                <c:pt idx="37">
                  <c:v>0.1065727463312369</c:v>
                </c:pt>
                <c:pt idx="38">
                  <c:v>0.1065727463312369</c:v>
                </c:pt>
                <c:pt idx="39">
                  <c:v>0.10869853249475891</c:v>
                </c:pt>
                <c:pt idx="40">
                  <c:v>0.10869853249475891</c:v>
                </c:pt>
                <c:pt idx="41">
                  <c:v>0.11018658280922432</c:v>
                </c:pt>
                <c:pt idx="42">
                  <c:v>0.11018658280922432</c:v>
                </c:pt>
                <c:pt idx="43">
                  <c:v>0.11124947589098533</c:v>
                </c:pt>
                <c:pt idx="44">
                  <c:v>0.11124947589098533</c:v>
                </c:pt>
                <c:pt idx="45">
                  <c:v>0.11266666666666666</c:v>
                </c:pt>
                <c:pt idx="46">
                  <c:v>0.11266666666666666</c:v>
                </c:pt>
                <c:pt idx="47">
                  <c:v>0.11358784067085954</c:v>
                </c:pt>
                <c:pt idx="48">
                  <c:v>0.11358784067085954</c:v>
                </c:pt>
              </c:numCache>
            </c:numRef>
          </c:xVal>
          <c:yVal>
            <c:numRef>
              <c:f>Summary_updatedformatting!$X$4:$X$52</c:f>
              <c:numCache>
                <c:formatCode>General</c:formatCode>
                <c:ptCount val="49"/>
                <c:pt idx="0">
                  <c:v>-0.95739690044395609</c:v>
                </c:pt>
                <c:pt idx="1">
                  <c:v>-0.95739690044395609</c:v>
                </c:pt>
                <c:pt idx="2">
                  <c:v>-0.29298948905677658</c:v>
                </c:pt>
                <c:pt idx="3">
                  <c:v>-0.29298948905677658</c:v>
                </c:pt>
                <c:pt idx="4">
                  <c:v>-0.25264564478021995</c:v>
                </c:pt>
                <c:pt idx="5">
                  <c:v>-0.25264564478021995</c:v>
                </c:pt>
                <c:pt idx="6">
                  <c:v>-0.25264564478021995</c:v>
                </c:pt>
                <c:pt idx="7">
                  <c:v>-0.25264564478021995</c:v>
                </c:pt>
                <c:pt idx="8">
                  <c:v>-0.17195795622710669</c:v>
                </c:pt>
                <c:pt idx="9">
                  <c:v>-0.17195795622710669</c:v>
                </c:pt>
                <c:pt idx="10">
                  <c:v>-0.15591351986497953</c:v>
                </c:pt>
                <c:pt idx="11">
                  <c:v>-0.15591351986497953</c:v>
                </c:pt>
                <c:pt idx="12">
                  <c:v>9.5315183119666306E-3</c:v>
                </c:pt>
                <c:pt idx="13">
                  <c:v>9.5315183119666306E-3</c:v>
                </c:pt>
                <c:pt idx="14">
                  <c:v>0.36557785644283125</c:v>
                </c:pt>
                <c:pt idx="15">
                  <c:v>0.36557785644283125</c:v>
                </c:pt>
                <c:pt idx="16">
                  <c:v>0.36557785644283125</c:v>
                </c:pt>
                <c:pt idx="17">
                  <c:v>0.36557785644283125</c:v>
                </c:pt>
                <c:pt idx="18">
                  <c:v>0.89129803226173732</c:v>
                </c:pt>
                <c:pt idx="19">
                  <c:v>0.89129803226173732</c:v>
                </c:pt>
                <c:pt idx="20">
                  <c:v>0.93291866206629326</c:v>
                </c:pt>
                <c:pt idx="21">
                  <c:v>0.93291866206629326</c:v>
                </c:pt>
                <c:pt idx="22">
                  <c:v>2.0818901646014245</c:v>
                </c:pt>
                <c:pt idx="23">
                  <c:v>2.0818901646014245</c:v>
                </c:pt>
                <c:pt idx="24">
                  <c:v>3.055270789342972</c:v>
                </c:pt>
                <c:pt idx="25">
                  <c:v>3.055270789342972</c:v>
                </c:pt>
                <c:pt idx="26">
                  <c:v>4.4139441425518946</c:v>
                </c:pt>
                <c:pt idx="27">
                  <c:v>4.4139441425518946</c:v>
                </c:pt>
                <c:pt idx="28">
                  <c:v>4.4139441425518946</c:v>
                </c:pt>
                <c:pt idx="29">
                  <c:v>4.4139441425518946</c:v>
                </c:pt>
                <c:pt idx="30">
                  <c:v>4.4139441425518946</c:v>
                </c:pt>
                <c:pt idx="31">
                  <c:v>4.4139441425518946</c:v>
                </c:pt>
                <c:pt idx="32">
                  <c:v>4.4139441425518946</c:v>
                </c:pt>
                <c:pt idx="33">
                  <c:v>4.4139441425518946</c:v>
                </c:pt>
                <c:pt idx="34">
                  <c:v>4.6914048195524209</c:v>
                </c:pt>
                <c:pt idx="35">
                  <c:v>4.6914048195524209</c:v>
                </c:pt>
                <c:pt idx="36">
                  <c:v>4.8569293787347751</c:v>
                </c:pt>
                <c:pt idx="37">
                  <c:v>4.8569293787347751</c:v>
                </c:pt>
                <c:pt idx="38">
                  <c:v>4.8569293787347751</c:v>
                </c:pt>
                <c:pt idx="39">
                  <c:v>4.8569293787347751</c:v>
                </c:pt>
                <c:pt idx="40">
                  <c:v>4.8969725125578529</c:v>
                </c:pt>
                <c:pt idx="41">
                  <c:v>4.8969725125578529</c:v>
                </c:pt>
                <c:pt idx="42">
                  <c:v>7.8278149572748985</c:v>
                </c:pt>
                <c:pt idx="43">
                  <c:v>7.8278149572748985</c:v>
                </c:pt>
                <c:pt idx="44">
                  <c:v>7.8278149572748985</c:v>
                </c:pt>
                <c:pt idx="45">
                  <c:v>7.8278149572748985</c:v>
                </c:pt>
                <c:pt idx="46">
                  <c:v>12.580458640516728</c:v>
                </c:pt>
                <c:pt idx="47">
                  <c:v>12.580458640516728</c:v>
                </c:pt>
                <c:pt idx="48">
                  <c:v>12.580458640516728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1E-478B-91EC-804A37E77288}"/>
            </c:ext>
          </c:extLst>
        </c:ser>
        <c:ser>
          <c:idx val="2"/>
          <c:order val="2"/>
          <c:tx>
            <c:v>2040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Summary_updatedformatting!$Y$4:$Y$52</c:f>
              <c:numCache>
                <c:formatCode>General</c:formatCode>
                <c:ptCount val="49"/>
                <c:pt idx="0">
                  <c:v>1.4088050314465408E-2</c:v>
                </c:pt>
                <c:pt idx="1">
                  <c:v>3.9916142557651989E-2</c:v>
                </c:pt>
                <c:pt idx="2">
                  <c:v>3.9916142557651989E-2</c:v>
                </c:pt>
                <c:pt idx="3">
                  <c:v>5.4004192872117399E-2</c:v>
                </c:pt>
                <c:pt idx="4">
                  <c:v>5.4004192872117399E-2</c:v>
                </c:pt>
                <c:pt idx="5">
                  <c:v>6.3396226415094334E-2</c:v>
                </c:pt>
                <c:pt idx="6">
                  <c:v>6.3396226415094334E-2</c:v>
                </c:pt>
                <c:pt idx="7">
                  <c:v>8.6876310272536672E-2</c:v>
                </c:pt>
                <c:pt idx="8">
                  <c:v>8.6876310272536672E-2</c:v>
                </c:pt>
                <c:pt idx="9">
                  <c:v>0.11622641509433961</c:v>
                </c:pt>
                <c:pt idx="10">
                  <c:v>0.11622641509433961</c:v>
                </c:pt>
                <c:pt idx="11">
                  <c:v>0.14557651991614254</c:v>
                </c:pt>
                <c:pt idx="12">
                  <c:v>0.14557651991614254</c:v>
                </c:pt>
                <c:pt idx="13">
                  <c:v>0.14792452830188677</c:v>
                </c:pt>
                <c:pt idx="14">
                  <c:v>0.14792452830188677</c:v>
                </c:pt>
                <c:pt idx="15">
                  <c:v>0.15027253668763099</c:v>
                </c:pt>
                <c:pt idx="16">
                  <c:v>0.15027253668763099</c:v>
                </c:pt>
                <c:pt idx="17">
                  <c:v>0.15285534591194966</c:v>
                </c:pt>
                <c:pt idx="18">
                  <c:v>0.15285534591194966</c:v>
                </c:pt>
                <c:pt idx="19">
                  <c:v>0.15402935010482177</c:v>
                </c:pt>
                <c:pt idx="20">
                  <c:v>0.15402935010482177</c:v>
                </c:pt>
                <c:pt idx="21">
                  <c:v>0.15743396226415091</c:v>
                </c:pt>
                <c:pt idx="22">
                  <c:v>0.15743396226415091</c:v>
                </c:pt>
                <c:pt idx="23">
                  <c:v>0.16154297693920333</c:v>
                </c:pt>
                <c:pt idx="24">
                  <c:v>0.16154297693920333</c:v>
                </c:pt>
                <c:pt idx="25">
                  <c:v>0.1633039832285115</c:v>
                </c:pt>
                <c:pt idx="26">
                  <c:v>0.1633039832285115</c:v>
                </c:pt>
                <c:pt idx="27">
                  <c:v>0.16623899371069178</c:v>
                </c:pt>
                <c:pt idx="28">
                  <c:v>0.16623899371069178</c:v>
                </c:pt>
                <c:pt idx="29">
                  <c:v>0.1674129979035639</c:v>
                </c:pt>
                <c:pt idx="30">
                  <c:v>0.1674129979035639</c:v>
                </c:pt>
                <c:pt idx="31">
                  <c:v>0.16929140461215927</c:v>
                </c:pt>
                <c:pt idx="32">
                  <c:v>0.16929140461215927</c:v>
                </c:pt>
                <c:pt idx="33">
                  <c:v>0.17187421383647794</c:v>
                </c:pt>
                <c:pt idx="34">
                  <c:v>0.17187421383647794</c:v>
                </c:pt>
                <c:pt idx="35">
                  <c:v>0.17539622641509428</c:v>
                </c:pt>
                <c:pt idx="36">
                  <c:v>0.17539622641509428</c:v>
                </c:pt>
                <c:pt idx="37">
                  <c:v>0.17774423480083851</c:v>
                </c:pt>
                <c:pt idx="38">
                  <c:v>0.17774423480083851</c:v>
                </c:pt>
                <c:pt idx="39">
                  <c:v>0.18009224318658273</c:v>
                </c:pt>
                <c:pt idx="40">
                  <c:v>0.18009224318658273</c:v>
                </c:pt>
                <c:pt idx="41">
                  <c:v>0.18255765199161417</c:v>
                </c:pt>
                <c:pt idx="42">
                  <c:v>0.18255765199161417</c:v>
                </c:pt>
                <c:pt idx="43">
                  <c:v>0.18431865828092234</c:v>
                </c:pt>
                <c:pt idx="44">
                  <c:v>0.18431865828092234</c:v>
                </c:pt>
                <c:pt idx="45">
                  <c:v>0.18666666666666656</c:v>
                </c:pt>
                <c:pt idx="46">
                  <c:v>0.18666666666666656</c:v>
                </c:pt>
                <c:pt idx="47">
                  <c:v>0.18819287211740032</c:v>
                </c:pt>
                <c:pt idx="48">
                  <c:v>0.18819287211740032</c:v>
                </c:pt>
              </c:numCache>
            </c:numRef>
          </c:xVal>
          <c:yVal>
            <c:numRef>
              <c:f>Summary_updatedformatting!$Z$4:$Z$52</c:f>
              <c:numCache>
                <c:formatCode>General</c:formatCode>
                <c:ptCount val="49"/>
                <c:pt idx="0">
                  <c:v>-0.9699272238427924</c:v>
                </c:pt>
                <c:pt idx="1">
                  <c:v>-0.9699272238427924</c:v>
                </c:pt>
                <c:pt idx="2">
                  <c:v>-0.30485532560870487</c:v>
                </c:pt>
                <c:pt idx="3">
                  <c:v>-0.30485532560870487</c:v>
                </c:pt>
                <c:pt idx="4">
                  <c:v>-0.27637731788407677</c:v>
                </c:pt>
                <c:pt idx="5">
                  <c:v>-0.27637731788407677</c:v>
                </c:pt>
                <c:pt idx="6">
                  <c:v>-0.27637731788407677</c:v>
                </c:pt>
                <c:pt idx="7">
                  <c:v>-0.27637731788407677</c:v>
                </c:pt>
                <c:pt idx="8">
                  <c:v>-0.21942130243482039</c:v>
                </c:pt>
                <c:pt idx="9">
                  <c:v>-0.21942130243482039</c:v>
                </c:pt>
                <c:pt idx="10">
                  <c:v>-0.18498657424642811</c:v>
                </c:pt>
                <c:pt idx="11">
                  <c:v>-0.18498657424642811</c:v>
                </c:pt>
                <c:pt idx="12">
                  <c:v>-0.1022043313004854</c:v>
                </c:pt>
                <c:pt idx="13">
                  <c:v>-0.1022043313004854</c:v>
                </c:pt>
                <c:pt idx="14">
                  <c:v>0.13453408944685141</c:v>
                </c:pt>
                <c:pt idx="15">
                  <c:v>0.13453408944685141</c:v>
                </c:pt>
                <c:pt idx="16">
                  <c:v>0.13453408944685141</c:v>
                </c:pt>
                <c:pt idx="17">
                  <c:v>0.13453408944685141</c:v>
                </c:pt>
                <c:pt idx="18">
                  <c:v>0.50984620391538082</c:v>
                </c:pt>
                <c:pt idx="19">
                  <c:v>0.50984620391538082</c:v>
                </c:pt>
                <c:pt idx="20">
                  <c:v>0.53500995223988312</c:v>
                </c:pt>
                <c:pt idx="21">
                  <c:v>0.53500995223988312</c:v>
                </c:pt>
                <c:pt idx="22">
                  <c:v>1.350264179684572</c:v>
                </c:pt>
                <c:pt idx="23">
                  <c:v>1.350264179684572</c:v>
                </c:pt>
                <c:pt idx="24">
                  <c:v>2.0331408656116561</c:v>
                </c:pt>
                <c:pt idx="25">
                  <c:v>2.0331408656116561</c:v>
                </c:pt>
                <c:pt idx="26">
                  <c:v>2.9964199288260804</c:v>
                </c:pt>
                <c:pt idx="27">
                  <c:v>2.9964199288260804</c:v>
                </c:pt>
                <c:pt idx="28">
                  <c:v>2.9964199288260804</c:v>
                </c:pt>
                <c:pt idx="29">
                  <c:v>2.9964199288260804</c:v>
                </c:pt>
                <c:pt idx="30">
                  <c:v>2.9964199288260804</c:v>
                </c:pt>
                <c:pt idx="31">
                  <c:v>2.9964199288260804</c:v>
                </c:pt>
                <c:pt idx="32">
                  <c:v>2.9964199288260804</c:v>
                </c:pt>
                <c:pt idx="33">
                  <c:v>2.9964199288260804</c:v>
                </c:pt>
                <c:pt idx="34">
                  <c:v>3.1922745243558639</c:v>
                </c:pt>
                <c:pt idx="35">
                  <c:v>3.1922745243558639</c:v>
                </c:pt>
                <c:pt idx="36">
                  <c:v>3.3331656114103958</c:v>
                </c:pt>
                <c:pt idx="37">
                  <c:v>3.3331656114103958</c:v>
                </c:pt>
                <c:pt idx="38">
                  <c:v>3.3409659835002232</c:v>
                </c:pt>
                <c:pt idx="39">
                  <c:v>3.3409659835002232</c:v>
                </c:pt>
                <c:pt idx="40">
                  <c:v>3.3409659835002232</c:v>
                </c:pt>
                <c:pt idx="41">
                  <c:v>3.3409659835002232</c:v>
                </c:pt>
                <c:pt idx="42">
                  <c:v>5.4062110921599649</c:v>
                </c:pt>
                <c:pt idx="43">
                  <c:v>5.4062110921599649</c:v>
                </c:pt>
                <c:pt idx="44">
                  <c:v>5.4062110921599649</c:v>
                </c:pt>
                <c:pt idx="45">
                  <c:v>5.4062110921599649</c:v>
                </c:pt>
                <c:pt idx="46">
                  <c:v>8.7610183979777254</c:v>
                </c:pt>
                <c:pt idx="47">
                  <c:v>8.7610183979777254</c:v>
                </c:pt>
                <c:pt idx="48">
                  <c:v>8.7610183979777254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1E-478B-91EC-804A37E77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6392584"/>
        <c:axId val="1166393240"/>
      </c:scatterChart>
      <c:valAx>
        <c:axId val="116639258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Carbon abated: ktCO2e/yr</a:t>
                </a:r>
              </a:p>
            </c:rich>
          </c:tx>
          <c:layout>
            <c:manualLayout>
              <c:xMode val="edge"/>
              <c:yMode val="edge"/>
              <c:x val="0.38294335083114611"/>
              <c:y val="0.916043543737360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6393240"/>
        <c:crosses val="autoZero"/>
        <c:crossBetween val="midCat"/>
      </c:valAx>
      <c:valAx>
        <c:axId val="1166393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£/tCO2e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6392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48381452318461"/>
          <c:y val="0.17171296296296296"/>
          <c:w val="0.79968263342082235"/>
          <c:h val="0.67456000291630203"/>
        </c:manualLayout>
      </c:layout>
      <c:scatterChart>
        <c:scatterStyle val="lineMarker"/>
        <c:varyColors val="0"/>
        <c:ser>
          <c:idx val="0"/>
          <c:order val="0"/>
          <c:tx>
            <c:v>Large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Summary_updatedformatting!$C$4:$C$52</c:f>
              <c:numCache>
                <c:formatCode>General</c:formatCode>
                <c:ptCount val="49"/>
                <c:pt idx="0">
                  <c:v>8.10062893081761</c:v>
                </c:pt>
                <c:pt idx="1">
                  <c:v>22.951781970649897</c:v>
                </c:pt>
                <c:pt idx="2">
                  <c:v>22.951781970649897</c:v>
                </c:pt>
                <c:pt idx="3">
                  <c:v>31.052410901467507</c:v>
                </c:pt>
                <c:pt idx="4">
                  <c:v>31.052410901467507</c:v>
                </c:pt>
                <c:pt idx="5">
                  <c:v>36.452830188679243</c:v>
                </c:pt>
                <c:pt idx="6">
                  <c:v>36.452830188679243</c:v>
                </c:pt>
                <c:pt idx="7">
                  <c:v>49.953878406708597</c:v>
                </c:pt>
                <c:pt idx="8">
                  <c:v>49.953878406708597</c:v>
                </c:pt>
                <c:pt idx="9">
                  <c:v>66.830188679245282</c:v>
                </c:pt>
                <c:pt idx="10">
                  <c:v>66.830188679245282</c:v>
                </c:pt>
                <c:pt idx="11">
                  <c:v>83.706498951781967</c:v>
                </c:pt>
                <c:pt idx="12">
                  <c:v>83.706498951781967</c:v>
                </c:pt>
                <c:pt idx="13">
                  <c:v>85.056603773584897</c:v>
                </c:pt>
                <c:pt idx="14">
                  <c:v>85.056603773584897</c:v>
                </c:pt>
                <c:pt idx="15">
                  <c:v>86.406708595387826</c:v>
                </c:pt>
                <c:pt idx="16">
                  <c:v>86.406708595387826</c:v>
                </c:pt>
                <c:pt idx="17">
                  <c:v>87.891823899371062</c:v>
                </c:pt>
                <c:pt idx="18">
                  <c:v>87.891823899371062</c:v>
                </c:pt>
                <c:pt idx="19">
                  <c:v>88.566876310272534</c:v>
                </c:pt>
                <c:pt idx="20">
                  <c:v>88.566876310272534</c:v>
                </c:pt>
                <c:pt idx="21">
                  <c:v>90.524528301886789</c:v>
                </c:pt>
                <c:pt idx="22">
                  <c:v>90.524528301886789</c:v>
                </c:pt>
                <c:pt idx="23">
                  <c:v>92.88721174004192</c:v>
                </c:pt>
                <c:pt idx="24">
                  <c:v>92.88721174004192</c:v>
                </c:pt>
                <c:pt idx="25">
                  <c:v>93.899790356394121</c:v>
                </c:pt>
                <c:pt idx="26">
                  <c:v>93.899790356394121</c:v>
                </c:pt>
                <c:pt idx="27">
                  <c:v>95.587421383647794</c:v>
                </c:pt>
                <c:pt idx="28">
                  <c:v>95.587421383647794</c:v>
                </c:pt>
                <c:pt idx="29">
                  <c:v>96.262473794549265</c:v>
                </c:pt>
                <c:pt idx="30">
                  <c:v>96.262473794549265</c:v>
                </c:pt>
                <c:pt idx="31">
                  <c:v>97.342557651991612</c:v>
                </c:pt>
                <c:pt idx="32">
                  <c:v>97.342557651991612</c:v>
                </c:pt>
                <c:pt idx="33">
                  <c:v>98.827672955974847</c:v>
                </c:pt>
                <c:pt idx="34">
                  <c:v>98.827672955974847</c:v>
                </c:pt>
                <c:pt idx="35">
                  <c:v>100.17777777777778</c:v>
                </c:pt>
                <c:pt idx="36">
                  <c:v>100.17777777777778</c:v>
                </c:pt>
                <c:pt idx="37">
                  <c:v>101.52788259958071</c:v>
                </c:pt>
                <c:pt idx="38">
                  <c:v>101.52788259958071</c:v>
                </c:pt>
                <c:pt idx="39">
                  <c:v>103.55303983228511</c:v>
                </c:pt>
                <c:pt idx="40">
                  <c:v>103.55303983228511</c:v>
                </c:pt>
                <c:pt idx="41">
                  <c:v>104.97064989517818</c:v>
                </c:pt>
                <c:pt idx="42">
                  <c:v>104.97064989517818</c:v>
                </c:pt>
                <c:pt idx="43">
                  <c:v>105.98322851153038</c:v>
                </c:pt>
                <c:pt idx="44">
                  <c:v>105.98322851153038</c:v>
                </c:pt>
                <c:pt idx="45">
                  <c:v>107.33333333333331</c:v>
                </c:pt>
                <c:pt idx="46">
                  <c:v>107.33333333333331</c:v>
                </c:pt>
                <c:pt idx="47">
                  <c:v>108.21090146750522</c:v>
                </c:pt>
                <c:pt idx="48">
                  <c:v>108.21090146750522</c:v>
                </c:pt>
              </c:numCache>
            </c:numRef>
          </c:xVal>
          <c:yVal>
            <c:numRef>
              <c:f>Summary_updatedformatting!$D$4:$D$52</c:f>
              <c:numCache>
                <c:formatCode>General</c:formatCode>
                <c:ptCount val="49"/>
                <c:pt idx="0">
                  <c:v>-0.94987870640465422</c:v>
                </c:pt>
                <c:pt idx="1">
                  <c:v>-0.94987870640465422</c:v>
                </c:pt>
                <c:pt idx="2">
                  <c:v>-0.28586998712561951</c:v>
                </c:pt>
                <c:pt idx="3">
                  <c:v>-0.28586998712561951</c:v>
                </c:pt>
                <c:pt idx="4">
                  <c:v>-0.23840664091790578</c:v>
                </c:pt>
                <c:pt idx="5">
                  <c:v>-0.23840664091790578</c:v>
                </c:pt>
                <c:pt idx="6">
                  <c:v>-0.23840664091790578</c:v>
                </c:pt>
                <c:pt idx="7">
                  <c:v>-0.23840664091790578</c:v>
                </c:pt>
                <c:pt idx="8">
                  <c:v>-0.14347994850247839</c:v>
                </c:pt>
                <c:pt idx="9">
                  <c:v>-0.14347994850247839</c:v>
                </c:pt>
                <c:pt idx="10">
                  <c:v>-0.13846968723611039</c:v>
                </c:pt>
                <c:pt idx="11">
                  <c:v>-0.13846968723611039</c:v>
                </c:pt>
                <c:pt idx="12">
                  <c:v>7.6573028079437847E-2</c:v>
                </c:pt>
                <c:pt idx="13">
                  <c:v>7.6573028079437847E-2</c:v>
                </c:pt>
                <c:pt idx="14">
                  <c:v>0.50420411664041909</c:v>
                </c:pt>
                <c:pt idx="15">
                  <c:v>0.50420411664041909</c:v>
                </c:pt>
                <c:pt idx="16">
                  <c:v>0.50420411664041909</c:v>
                </c:pt>
                <c:pt idx="17">
                  <c:v>0.50420411664041909</c:v>
                </c:pt>
                <c:pt idx="18">
                  <c:v>1.120169129269551</c:v>
                </c:pt>
                <c:pt idx="19">
                  <c:v>1.120169129269551</c:v>
                </c:pt>
                <c:pt idx="20">
                  <c:v>1.1716638879621391</c:v>
                </c:pt>
                <c:pt idx="21">
                  <c:v>1.1716638879621391</c:v>
                </c:pt>
                <c:pt idx="22">
                  <c:v>2.5208657555515366</c:v>
                </c:pt>
                <c:pt idx="23">
                  <c:v>2.5208657555515366</c:v>
                </c:pt>
                <c:pt idx="24">
                  <c:v>3.6685487435817601</c:v>
                </c:pt>
                <c:pt idx="25">
                  <c:v>3.6685487435817601</c:v>
                </c:pt>
                <c:pt idx="26">
                  <c:v>5.2644586707873833</c:v>
                </c:pt>
                <c:pt idx="27">
                  <c:v>5.2644586707873833</c:v>
                </c:pt>
                <c:pt idx="28">
                  <c:v>5.2644586707873833</c:v>
                </c:pt>
                <c:pt idx="29">
                  <c:v>5.2644586707873833</c:v>
                </c:pt>
                <c:pt idx="30">
                  <c:v>5.2644586707873833</c:v>
                </c:pt>
                <c:pt idx="31">
                  <c:v>5.2644586707873833</c:v>
                </c:pt>
                <c:pt idx="32">
                  <c:v>5.2644586707873833</c:v>
                </c:pt>
                <c:pt idx="33">
                  <c:v>5.2644586707873833</c:v>
                </c:pt>
                <c:pt idx="34">
                  <c:v>5.5908829966703557</c:v>
                </c:pt>
                <c:pt idx="35">
                  <c:v>5.5908829966703557</c:v>
                </c:pt>
                <c:pt idx="36">
                  <c:v>5.7123614063489203</c:v>
                </c:pt>
                <c:pt idx="37">
                  <c:v>5.7123614063489203</c:v>
                </c:pt>
                <c:pt idx="38">
                  <c:v>5.7123614063489203</c:v>
                </c:pt>
                <c:pt idx="39">
                  <c:v>5.7123614063489203</c:v>
                </c:pt>
                <c:pt idx="40">
                  <c:v>5.8352566532463275</c:v>
                </c:pt>
                <c:pt idx="41">
                  <c:v>5.8352566532463275</c:v>
                </c:pt>
                <c:pt idx="42">
                  <c:v>9.2807772763438585</c:v>
                </c:pt>
                <c:pt idx="43">
                  <c:v>9.2807772763438585</c:v>
                </c:pt>
                <c:pt idx="44">
                  <c:v>9.2807772763438585</c:v>
                </c:pt>
                <c:pt idx="45">
                  <c:v>9.2807772763438585</c:v>
                </c:pt>
                <c:pt idx="46">
                  <c:v>14.872122786040128</c:v>
                </c:pt>
                <c:pt idx="47">
                  <c:v>14.872122786040128</c:v>
                </c:pt>
                <c:pt idx="48">
                  <c:v>14.872122786040128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5B-4CBA-AA56-7BD5DC7B00FA}"/>
            </c:ext>
          </c:extLst>
        </c:ser>
        <c:ser>
          <c:idx val="1"/>
          <c:order val="1"/>
          <c:tx>
            <c:v>Medium</c:v>
          </c:tx>
          <c:spPr>
            <a:ln w="1905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Summary_updatedformatting!$I$4:$I$52</c:f>
              <c:numCache>
                <c:formatCode>General</c:formatCode>
                <c:ptCount val="49"/>
                <c:pt idx="0" formatCode="0.0">
                  <c:v>2.2893081761006289</c:v>
                </c:pt>
                <c:pt idx="1">
                  <c:v>6.4863731656184491</c:v>
                </c:pt>
                <c:pt idx="2" formatCode="0.0">
                  <c:v>6.4863731656184491</c:v>
                </c:pt>
                <c:pt idx="3">
                  <c:v>8.7756813417190784</c:v>
                </c:pt>
                <c:pt idx="4" formatCode="0.0">
                  <c:v>8.7756813417190784</c:v>
                </c:pt>
                <c:pt idx="5">
                  <c:v>10.30188679245283</c:v>
                </c:pt>
                <c:pt idx="6" formatCode="0.0">
                  <c:v>10.30188679245283</c:v>
                </c:pt>
                <c:pt idx="7">
                  <c:v>14.117400419287211</c:v>
                </c:pt>
                <c:pt idx="8" formatCode="0.0">
                  <c:v>14.117400419287211</c:v>
                </c:pt>
                <c:pt idx="9">
                  <c:v>18.886792452830189</c:v>
                </c:pt>
                <c:pt idx="10" formatCode="0.0">
                  <c:v>18.886792452830189</c:v>
                </c:pt>
                <c:pt idx="11">
                  <c:v>23.656184486373167</c:v>
                </c:pt>
                <c:pt idx="12" formatCode="0.0">
                  <c:v>23.656184486373167</c:v>
                </c:pt>
                <c:pt idx="13">
                  <c:v>24.037735849056606</c:v>
                </c:pt>
                <c:pt idx="14" formatCode="0.0">
                  <c:v>24.037735849056606</c:v>
                </c:pt>
                <c:pt idx="15">
                  <c:v>24.419287211740045</c:v>
                </c:pt>
                <c:pt idx="16" formatCode="0.0">
                  <c:v>24.419287211740045</c:v>
                </c:pt>
                <c:pt idx="17">
                  <c:v>24.838993710691827</c:v>
                </c:pt>
                <c:pt idx="18" formatCode="0.0">
                  <c:v>24.838993710691827</c:v>
                </c:pt>
                <c:pt idx="19">
                  <c:v>25.029769392033547</c:v>
                </c:pt>
                <c:pt idx="20" formatCode="0.0">
                  <c:v>25.029769392033547</c:v>
                </c:pt>
                <c:pt idx="21">
                  <c:v>25.583018867924533</c:v>
                </c:pt>
                <c:pt idx="22" formatCode="0.0">
                  <c:v>25.583018867924533</c:v>
                </c:pt>
                <c:pt idx="23">
                  <c:v>26.250733752620551</c:v>
                </c:pt>
                <c:pt idx="24" formatCode="0.0">
                  <c:v>26.250733752620551</c:v>
                </c:pt>
                <c:pt idx="25">
                  <c:v>26.53689727463313</c:v>
                </c:pt>
                <c:pt idx="26" formatCode="0.0">
                  <c:v>26.53689727463313</c:v>
                </c:pt>
                <c:pt idx="27">
                  <c:v>27.013836477987429</c:v>
                </c:pt>
                <c:pt idx="28" formatCode="0.0">
                  <c:v>27.013836477987429</c:v>
                </c:pt>
                <c:pt idx="29">
                  <c:v>27.204612159329148</c:v>
                </c:pt>
                <c:pt idx="30" formatCode="0.0">
                  <c:v>27.204612159329148</c:v>
                </c:pt>
                <c:pt idx="31">
                  <c:v>27.509853249475899</c:v>
                </c:pt>
                <c:pt idx="32" formatCode="0.0">
                  <c:v>27.509853249475899</c:v>
                </c:pt>
                <c:pt idx="33">
                  <c:v>27.929559748427682</c:v>
                </c:pt>
                <c:pt idx="34" formatCode="0.0">
                  <c:v>27.929559748427682</c:v>
                </c:pt>
                <c:pt idx="35">
                  <c:v>28.311111111111121</c:v>
                </c:pt>
                <c:pt idx="36" formatCode="0.0">
                  <c:v>28.311111111111121</c:v>
                </c:pt>
                <c:pt idx="37">
                  <c:v>28.692662473794559</c:v>
                </c:pt>
                <c:pt idx="38" formatCode="0.0">
                  <c:v>28.692662473794559</c:v>
                </c:pt>
                <c:pt idx="39">
                  <c:v>29.264989517819718</c:v>
                </c:pt>
                <c:pt idx="40" formatCode="0.0">
                  <c:v>29.264989517819718</c:v>
                </c:pt>
                <c:pt idx="41">
                  <c:v>29.665618448637328</c:v>
                </c:pt>
                <c:pt idx="42" formatCode="0.0">
                  <c:v>29.665618448637328</c:v>
                </c:pt>
                <c:pt idx="43">
                  <c:v>29.951781970649908</c:v>
                </c:pt>
                <c:pt idx="44" formatCode="0.0">
                  <c:v>29.951781970649908</c:v>
                </c:pt>
                <c:pt idx="45">
                  <c:v>30.333333333333346</c:v>
                </c:pt>
                <c:pt idx="46" formatCode="0.0">
                  <c:v>30.333333333333346</c:v>
                </c:pt>
                <c:pt idx="47">
                  <c:v>30.581341719077582</c:v>
                </c:pt>
                <c:pt idx="48" formatCode="0.0">
                  <c:v>30.581341719077582</c:v>
                </c:pt>
              </c:numCache>
            </c:numRef>
          </c:xVal>
          <c:yVal>
            <c:numRef>
              <c:f>Summary_updatedformatting!$J$4:$J$52</c:f>
              <c:numCache>
                <c:formatCode>General</c:formatCode>
                <c:ptCount val="49"/>
                <c:pt idx="0" formatCode="0.0">
                  <c:v>-0.94987870640465422</c:v>
                </c:pt>
                <c:pt idx="1">
                  <c:v>-0.94987870640465422</c:v>
                </c:pt>
                <c:pt idx="2" formatCode="0.0">
                  <c:v>-0.28586998712561951</c:v>
                </c:pt>
                <c:pt idx="3">
                  <c:v>-0.28586998712561951</c:v>
                </c:pt>
                <c:pt idx="4" formatCode="0.0">
                  <c:v>-0.23840664091790578</c:v>
                </c:pt>
                <c:pt idx="5">
                  <c:v>-0.23840664091790578</c:v>
                </c:pt>
                <c:pt idx="6" formatCode="0.0">
                  <c:v>-0.23840664091790578</c:v>
                </c:pt>
                <c:pt idx="7">
                  <c:v>-0.23840664091790578</c:v>
                </c:pt>
                <c:pt idx="8" formatCode="0.0">
                  <c:v>-0.14347994850247839</c:v>
                </c:pt>
                <c:pt idx="9">
                  <c:v>-0.14347994850247839</c:v>
                </c:pt>
                <c:pt idx="10" formatCode="0.0">
                  <c:v>-0.13846968723611039</c:v>
                </c:pt>
                <c:pt idx="11">
                  <c:v>-0.13846968723611039</c:v>
                </c:pt>
                <c:pt idx="12" formatCode="0.0">
                  <c:v>7.6573028079437847E-2</c:v>
                </c:pt>
                <c:pt idx="13">
                  <c:v>7.6573028079437847E-2</c:v>
                </c:pt>
                <c:pt idx="14" formatCode="0.0">
                  <c:v>0.50420411664041909</c:v>
                </c:pt>
                <c:pt idx="15">
                  <c:v>0.50420411664041909</c:v>
                </c:pt>
                <c:pt idx="16" formatCode="0.0">
                  <c:v>0.50420411664041909</c:v>
                </c:pt>
                <c:pt idx="17">
                  <c:v>0.50420411664041909</c:v>
                </c:pt>
                <c:pt idx="18" formatCode="0.0">
                  <c:v>1.120169129269551</c:v>
                </c:pt>
                <c:pt idx="19">
                  <c:v>1.120169129269551</c:v>
                </c:pt>
                <c:pt idx="20" formatCode="0.0">
                  <c:v>1.1716638879621391</c:v>
                </c:pt>
                <c:pt idx="21">
                  <c:v>1.1716638879621391</c:v>
                </c:pt>
                <c:pt idx="22" formatCode="0.0">
                  <c:v>2.5208657555515366</c:v>
                </c:pt>
                <c:pt idx="23">
                  <c:v>2.5208657555515366</c:v>
                </c:pt>
                <c:pt idx="24" formatCode="0.0">
                  <c:v>3.6685487435817601</c:v>
                </c:pt>
                <c:pt idx="25">
                  <c:v>3.6685487435817601</c:v>
                </c:pt>
                <c:pt idx="26" formatCode="0.0">
                  <c:v>5.2644586707873833</c:v>
                </c:pt>
                <c:pt idx="27">
                  <c:v>5.2644586707873833</c:v>
                </c:pt>
                <c:pt idx="28" formatCode="0.0">
                  <c:v>5.2644586707873833</c:v>
                </c:pt>
                <c:pt idx="29">
                  <c:v>5.2644586707873833</c:v>
                </c:pt>
                <c:pt idx="30" formatCode="0.0">
                  <c:v>5.2644586707873833</c:v>
                </c:pt>
                <c:pt idx="31">
                  <c:v>5.2644586707873833</c:v>
                </c:pt>
                <c:pt idx="32" formatCode="0.0">
                  <c:v>5.2644586707873833</c:v>
                </c:pt>
                <c:pt idx="33">
                  <c:v>5.2644586707873833</c:v>
                </c:pt>
                <c:pt idx="34" formatCode="0.0">
                  <c:v>5.5908829966703557</c:v>
                </c:pt>
                <c:pt idx="35">
                  <c:v>5.5908829966703557</c:v>
                </c:pt>
                <c:pt idx="36" formatCode="0.0">
                  <c:v>5.7665074158755081</c:v>
                </c:pt>
                <c:pt idx="37">
                  <c:v>5.7665074158755081</c:v>
                </c:pt>
                <c:pt idx="38" formatCode="0.0">
                  <c:v>5.7665074158755081</c:v>
                </c:pt>
                <c:pt idx="39">
                  <c:v>5.7665074158755081</c:v>
                </c:pt>
                <c:pt idx="40" formatCode="0.0">
                  <c:v>5.8352566532463275</c:v>
                </c:pt>
                <c:pt idx="41">
                  <c:v>5.8352566532463275</c:v>
                </c:pt>
                <c:pt idx="42" formatCode="0.0">
                  <c:v>9.2807772763438585</c:v>
                </c:pt>
                <c:pt idx="43">
                  <c:v>9.2807772763438585</c:v>
                </c:pt>
                <c:pt idx="44" formatCode="0.0">
                  <c:v>9.2807772763438585</c:v>
                </c:pt>
                <c:pt idx="45">
                  <c:v>9.2807772763438585</c:v>
                </c:pt>
                <c:pt idx="46" formatCode="0.0">
                  <c:v>14.872122786040128</c:v>
                </c:pt>
                <c:pt idx="47">
                  <c:v>14.872122786040128</c:v>
                </c:pt>
                <c:pt idx="48" formatCode="0.0">
                  <c:v>14.872122786040128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5B-4CBA-AA56-7BD5DC7B00FA}"/>
            </c:ext>
          </c:extLst>
        </c:ser>
        <c:ser>
          <c:idx val="2"/>
          <c:order val="2"/>
          <c:tx>
            <c:v>Small</c:v>
          </c:tx>
          <c:spPr>
            <a:ln w="19050" cap="rnd">
              <a:solidFill>
                <a:srgbClr val="339966"/>
              </a:solidFill>
              <a:round/>
            </a:ln>
            <a:effectLst/>
          </c:spPr>
          <c:marker>
            <c:symbol val="none"/>
          </c:marker>
          <c:xVal>
            <c:numRef>
              <c:f>Summary_updatedformatting!$O$4:$O$52</c:f>
              <c:numCache>
                <c:formatCode>General</c:formatCode>
                <c:ptCount val="49"/>
                <c:pt idx="0">
                  <c:v>0.679245283018868</c:v>
                </c:pt>
                <c:pt idx="1">
                  <c:v>1.9245283018867925</c:v>
                </c:pt>
                <c:pt idx="2">
                  <c:v>1.9245283018867925</c:v>
                </c:pt>
                <c:pt idx="3">
                  <c:v>2.6037735849056602</c:v>
                </c:pt>
                <c:pt idx="4">
                  <c:v>2.6037735849056602</c:v>
                </c:pt>
                <c:pt idx="5">
                  <c:v>3.0566037735849054</c:v>
                </c:pt>
                <c:pt idx="6">
                  <c:v>3.0566037735849054</c:v>
                </c:pt>
                <c:pt idx="7">
                  <c:v>4.1886792452830184</c:v>
                </c:pt>
                <c:pt idx="8">
                  <c:v>4.1886792452830184</c:v>
                </c:pt>
                <c:pt idx="9">
                  <c:v>5.6037735849056602</c:v>
                </c:pt>
                <c:pt idx="10">
                  <c:v>5.6037735849056602</c:v>
                </c:pt>
                <c:pt idx="11">
                  <c:v>7.0188679245283021</c:v>
                </c:pt>
                <c:pt idx="12">
                  <c:v>7.0188679245283021</c:v>
                </c:pt>
                <c:pt idx="13">
                  <c:v>7.1320754716981138</c:v>
                </c:pt>
                <c:pt idx="14">
                  <c:v>7.1320754716981138</c:v>
                </c:pt>
                <c:pt idx="15">
                  <c:v>7.2452830188679256</c:v>
                </c:pt>
                <c:pt idx="16">
                  <c:v>7.2452830188679256</c:v>
                </c:pt>
                <c:pt idx="17">
                  <c:v>7.3698113207547182</c:v>
                </c:pt>
                <c:pt idx="18">
                  <c:v>7.3698113207547182</c:v>
                </c:pt>
                <c:pt idx="19">
                  <c:v>7.4264150943396237</c:v>
                </c:pt>
                <c:pt idx="20">
                  <c:v>7.4264150943396237</c:v>
                </c:pt>
                <c:pt idx="21">
                  <c:v>7.5905660377358499</c:v>
                </c:pt>
                <c:pt idx="22">
                  <c:v>7.5905660377358499</c:v>
                </c:pt>
                <c:pt idx="23">
                  <c:v>7.7886792452830198</c:v>
                </c:pt>
                <c:pt idx="24">
                  <c:v>7.7886792452830198</c:v>
                </c:pt>
                <c:pt idx="25">
                  <c:v>7.8735849056603779</c:v>
                </c:pt>
                <c:pt idx="26">
                  <c:v>7.8735849056603779</c:v>
                </c:pt>
                <c:pt idx="27">
                  <c:v>8.0150943396226424</c:v>
                </c:pt>
                <c:pt idx="28">
                  <c:v>8.0150943396226424</c:v>
                </c:pt>
                <c:pt idx="29">
                  <c:v>8.0716981132075478</c:v>
                </c:pt>
                <c:pt idx="30">
                  <c:v>8.0716981132075478</c:v>
                </c:pt>
                <c:pt idx="31">
                  <c:v>8.1622641509433969</c:v>
                </c:pt>
                <c:pt idx="32">
                  <c:v>8.1622641509433969</c:v>
                </c:pt>
                <c:pt idx="33">
                  <c:v>8.2867924528301895</c:v>
                </c:pt>
                <c:pt idx="34">
                  <c:v>8.2867924528301895</c:v>
                </c:pt>
                <c:pt idx="35">
                  <c:v>8.4</c:v>
                </c:pt>
                <c:pt idx="36">
                  <c:v>8.4</c:v>
                </c:pt>
                <c:pt idx="37">
                  <c:v>8.5132075471698112</c:v>
                </c:pt>
                <c:pt idx="38">
                  <c:v>8.5132075471698112</c:v>
                </c:pt>
                <c:pt idx="39">
                  <c:v>8.6830188679245275</c:v>
                </c:pt>
                <c:pt idx="40">
                  <c:v>8.6830188679245275</c:v>
                </c:pt>
                <c:pt idx="41">
                  <c:v>8.8018867924528301</c:v>
                </c:pt>
                <c:pt idx="42">
                  <c:v>8.8018867924528301</c:v>
                </c:pt>
                <c:pt idx="43">
                  <c:v>8.8867924528301891</c:v>
                </c:pt>
                <c:pt idx="44">
                  <c:v>8.8867924528301891</c:v>
                </c:pt>
                <c:pt idx="45">
                  <c:v>9</c:v>
                </c:pt>
                <c:pt idx="46">
                  <c:v>9</c:v>
                </c:pt>
                <c:pt idx="47">
                  <c:v>9.0735849056603772</c:v>
                </c:pt>
                <c:pt idx="48">
                  <c:v>9.0735849056603772</c:v>
                </c:pt>
              </c:numCache>
            </c:numRef>
          </c:xVal>
          <c:yVal>
            <c:numRef>
              <c:f>Summary_updatedformatting!$P$4:$P$52</c:f>
              <c:numCache>
                <c:formatCode>General</c:formatCode>
                <c:ptCount val="49"/>
                <c:pt idx="0">
                  <c:v>-0.94987870640465422</c:v>
                </c:pt>
                <c:pt idx="1">
                  <c:v>-0.94987870640465422</c:v>
                </c:pt>
                <c:pt idx="2">
                  <c:v>-0.28586998712561951</c:v>
                </c:pt>
                <c:pt idx="3">
                  <c:v>-0.28586998712561951</c:v>
                </c:pt>
                <c:pt idx="4">
                  <c:v>-0.23840664091790578</c:v>
                </c:pt>
                <c:pt idx="5">
                  <c:v>-0.23840664091790578</c:v>
                </c:pt>
                <c:pt idx="6">
                  <c:v>-0.23840664091790578</c:v>
                </c:pt>
                <c:pt idx="7">
                  <c:v>-0.23840664091790578</c:v>
                </c:pt>
                <c:pt idx="8">
                  <c:v>-0.14347994850247839</c:v>
                </c:pt>
                <c:pt idx="9">
                  <c:v>-0.14347994850247839</c:v>
                </c:pt>
                <c:pt idx="10">
                  <c:v>-0.13846968723611039</c:v>
                </c:pt>
                <c:pt idx="11">
                  <c:v>-0.13846968723611039</c:v>
                </c:pt>
                <c:pt idx="12">
                  <c:v>7.6573028079437847E-2</c:v>
                </c:pt>
                <c:pt idx="13">
                  <c:v>7.6573028079437847E-2</c:v>
                </c:pt>
                <c:pt idx="14">
                  <c:v>0.50420411664041909</c:v>
                </c:pt>
                <c:pt idx="15">
                  <c:v>0.50420411664041909</c:v>
                </c:pt>
                <c:pt idx="16">
                  <c:v>0.50420411664041909</c:v>
                </c:pt>
                <c:pt idx="17">
                  <c:v>0.50420411664041909</c:v>
                </c:pt>
                <c:pt idx="18">
                  <c:v>1.120169129269551</c:v>
                </c:pt>
                <c:pt idx="19">
                  <c:v>1.120169129269551</c:v>
                </c:pt>
                <c:pt idx="20">
                  <c:v>1.1716638879621391</c:v>
                </c:pt>
                <c:pt idx="21">
                  <c:v>1.1716638879621391</c:v>
                </c:pt>
                <c:pt idx="22">
                  <c:v>2.5208657555515366</c:v>
                </c:pt>
                <c:pt idx="23">
                  <c:v>2.5208657555515366</c:v>
                </c:pt>
                <c:pt idx="24">
                  <c:v>3.6685487435817601</c:v>
                </c:pt>
                <c:pt idx="25">
                  <c:v>3.6685487435817601</c:v>
                </c:pt>
                <c:pt idx="26">
                  <c:v>5.2644586707873833</c:v>
                </c:pt>
                <c:pt idx="27">
                  <c:v>5.2644586707873833</c:v>
                </c:pt>
                <c:pt idx="28">
                  <c:v>5.2644586707873833</c:v>
                </c:pt>
                <c:pt idx="29">
                  <c:v>5.2644586707873833</c:v>
                </c:pt>
                <c:pt idx="30">
                  <c:v>5.2644586707873833</c:v>
                </c:pt>
                <c:pt idx="31">
                  <c:v>5.2644586707873833</c:v>
                </c:pt>
                <c:pt idx="32">
                  <c:v>5.2644586707873833</c:v>
                </c:pt>
                <c:pt idx="33">
                  <c:v>5.2644586707873833</c:v>
                </c:pt>
                <c:pt idx="34">
                  <c:v>5.5908829966703557</c:v>
                </c:pt>
                <c:pt idx="35">
                  <c:v>5.5908829966703557</c:v>
                </c:pt>
                <c:pt idx="36">
                  <c:v>5.7665074158755081</c:v>
                </c:pt>
                <c:pt idx="37">
                  <c:v>5.7665074158755081</c:v>
                </c:pt>
                <c:pt idx="38">
                  <c:v>5.7665074158755081</c:v>
                </c:pt>
                <c:pt idx="39">
                  <c:v>5.7665074158755081</c:v>
                </c:pt>
                <c:pt idx="40">
                  <c:v>5.8352566532463275</c:v>
                </c:pt>
                <c:pt idx="41">
                  <c:v>5.8352566532463275</c:v>
                </c:pt>
                <c:pt idx="42">
                  <c:v>9.2807772763438585</c:v>
                </c:pt>
                <c:pt idx="43">
                  <c:v>9.2807772763438585</c:v>
                </c:pt>
                <c:pt idx="44">
                  <c:v>9.2807772763438585</c:v>
                </c:pt>
                <c:pt idx="45">
                  <c:v>9.2807772763438585</c:v>
                </c:pt>
                <c:pt idx="46">
                  <c:v>14.872122786040128</c:v>
                </c:pt>
                <c:pt idx="47">
                  <c:v>14.872122786040128</c:v>
                </c:pt>
                <c:pt idx="48">
                  <c:v>14.872122786040128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5B-4CBA-AA56-7BD5DC7B00FA}"/>
            </c:ext>
          </c:extLst>
        </c:ser>
        <c:ser>
          <c:idx val="3"/>
          <c:order val="3"/>
          <c:tx>
            <c:v>General Aviation</c:v>
          </c:tx>
          <c:spPr>
            <a:ln w="19050" cap="rnd">
              <a:solidFill>
                <a:srgbClr val="CCCC00"/>
              </a:solidFill>
              <a:round/>
            </a:ln>
            <a:effectLst/>
          </c:spPr>
          <c:marker>
            <c:symbol val="none"/>
          </c:marker>
          <c:xVal>
            <c:numRef>
              <c:f>Summary_updatedformatting!$U$4:$U$52</c:f>
              <c:numCache>
                <c:formatCode>General</c:formatCode>
                <c:ptCount val="49"/>
                <c:pt idx="0">
                  <c:v>7.5471698113207548E-3</c:v>
                </c:pt>
                <c:pt idx="1">
                  <c:v>2.1383647798742137E-2</c:v>
                </c:pt>
                <c:pt idx="2">
                  <c:v>2.1383647798742137E-2</c:v>
                </c:pt>
                <c:pt idx="3">
                  <c:v>2.8930817610062894E-2</c:v>
                </c:pt>
                <c:pt idx="4">
                  <c:v>2.8930817610062894E-2</c:v>
                </c:pt>
                <c:pt idx="5">
                  <c:v>3.3962264150943396E-2</c:v>
                </c:pt>
                <c:pt idx="6">
                  <c:v>3.3962264150943396E-2</c:v>
                </c:pt>
                <c:pt idx="7">
                  <c:v>4.6540880503144651E-2</c:v>
                </c:pt>
                <c:pt idx="8">
                  <c:v>4.6540880503144651E-2</c:v>
                </c:pt>
                <c:pt idx="9">
                  <c:v>6.2264150943396226E-2</c:v>
                </c:pt>
                <c:pt idx="10">
                  <c:v>6.2264150943396226E-2</c:v>
                </c:pt>
                <c:pt idx="11">
                  <c:v>7.7987421383647795E-2</c:v>
                </c:pt>
                <c:pt idx="12">
                  <c:v>7.7987421383647795E-2</c:v>
                </c:pt>
                <c:pt idx="13">
                  <c:v>7.9245283018867921E-2</c:v>
                </c:pt>
                <c:pt idx="14">
                  <c:v>7.9245283018867921E-2</c:v>
                </c:pt>
                <c:pt idx="15">
                  <c:v>8.0503144654088046E-2</c:v>
                </c:pt>
                <c:pt idx="16">
                  <c:v>8.0503144654088046E-2</c:v>
                </c:pt>
                <c:pt idx="17">
                  <c:v>8.188679245283019E-2</c:v>
                </c:pt>
                <c:pt idx="18">
                  <c:v>8.188679245283019E-2</c:v>
                </c:pt>
                <c:pt idx="19">
                  <c:v>8.2515723270440253E-2</c:v>
                </c:pt>
                <c:pt idx="20">
                  <c:v>8.2515723270440253E-2</c:v>
                </c:pt>
                <c:pt idx="21">
                  <c:v>8.4339622641509432E-2</c:v>
                </c:pt>
                <c:pt idx="22">
                  <c:v>8.4339622641509432E-2</c:v>
                </c:pt>
                <c:pt idx="23">
                  <c:v>8.6540880503144652E-2</c:v>
                </c:pt>
                <c:pt idx="24">
                  <c:v>8.6540880503144652E-2</c:v>
                </c:pt>
                <c:pt idx="25">
                  <c:v>8.7484276729559746E-2</c:v>
                </c:pt>
                <c:pt idx="26">
                  <c:v>8.7484276729559746E-2</c:v>
                </c:pt>
                <c:pt idx="27">
                  <c:v>8.9056603773584903E-2</c:v>
                </c:pt>
                <c:pt idx="28">
                  <c:v>8.9056603773584903E-2</c:v>
                </c:pt>
                <c:pt idx="29">
                  <c:v>8.9685534591194965E-2</c:v>
                </c:pt>
                <c:pt idx="30">
                  <c:v>8.9685534591194965E-2</c:v>
                </c:pt>
                <c:pt idx="31">
                  <c:v>9.0691823899371068E-2</c:v>
                </c:pt>
                <c:pt idx="32">
                  <c:v>9.0691823899371068E-2</c:v>
                </c:pt>
                <c:pt idx="33">
                  <c:v>9.2075471698113212E-2</c:v>
                </c:pt>
                <c:pt idx="34">
                  <c:v>9.2075471698113212E-2</c:v>
                </c:pt>
                <c:pt idx="35">
                  <c:v>9.3333333333333338E-2</c:v>
                </c:pt>
                <c:pt idx="36">
                  <c:v>9.3333333333333338E-2</c:v>
                </c:pt>
                <c:pt idx="37">
                  <c:v>9.4591194968553463E-2</c:v>
                </c:pt>
                <c:pt idx="38">
                  <c:v>9.4591194968553463E-2</c:v>
                </c:pt>
                <c:pt idx="39">
                  <c:v>9.6477987421383651E-2</c:v>
                </c:pt>
                <c:pt idx="40">
                  <c:v>9.6477987421383651E-2</c:v>
                </c:pt>
                <c:pt idx="41">
                  <c:v>9.7798742138364786E-2</c:v>
                </c:pt>
                <c:pt idx="42">
                  <c:v>9.7798742138364786E-2</c:v>
                </c:pt>
                <c:pt idx="43">
                  <c:v>9.874213836477988E-2</c:v>
                </c:pt>
                <c:pt idx="44">
                  <c:v>9.874213836477988E-2</c:v>
                </c:pt>
                <c:pt idx="45">
                  <c:v>0.1</c:v>
                </c:pt>
                <c:pt idx="46">
                  <c:v>0.1</c:v>
                </c:pt>
                <c:pt idx="47">
                  <c:v>0.10081761006289308</c:v>
                </c:pt>
                <c:pt idx="48">
                  <c:v>0.10081761006289308</c:v>
                </c:pt>
              </c:numCache>
            </c:numRef>
          </c:xVal>
          <c:yVal>
            <c:numRef>
              <c:f>Summary_updatedformatting!$V$4:$V$52</c:f>
              <c:numCache>
                <c:formatCode>General</c:formatCode>
                <c:ptCount val="49"/>
                <c:pt idx="0">
                  <c:v>-0.94987870640465422</c:v>
                </c:pt>
                <c:pt idx="1">
                  <c:v>-0.94987870640465422</c:v>
                </c:pt>
                <c:pt idx="2">
                  <c:v>-0.28586998712561951</c:v>
                </c:pt>
                <c:pt idx="3">
                  <c:v>-0.28586998712561951</c:v>
                </c:pt>
                <c:pt idx="4">
                  <c:v>-0.23840664091790578</c:v>
                </c:pt>
                <c:pt idx="5">
                  <c:v>-0.23840664091790578</c:v>
                </c:pt>
                <c:pt idx="6">
                  <c:v>-0.23840664091790578</c:v>
                </c:pt>
                <c:pt idx="7">
                  <c:v>-0.23840664091790578</c:v>
                </c:pt>
                <c:pt idx="8">
                  <c:v>-0.14347994850247839</c:v>
                </c:pt>
                <c:pt idx="9">
                  <c:v>-0.14347994850247839</c:v>
                </c:pt>
                <c:pt idx="10">
                  <c:v>-0.13846968723611039</c:v>
                </c:pt>
                <c:pt idx="11">
                  <c:v>-0.13846968723611039</c:v>
                </c:pt>
                <c:pt idx="12">
                  <c:v>7.6573028079437847E-2</c:v>
                </c:pt>
                <c:pt idx="13">
                  <c:v>7.6573028079437847E-2</c:v>
                </c:pt>
                <c:pt idx="14">
                  <c:v>0.50420411664041909</c:v>
                </c:pt>
                <c:pt idx="15">
                  <c:v>0.50420411664041909</c:v>
                </c:pt>
                <c:pt idx="16">
                  <c:v>0.50420411664041909</c:v>
                </c:pt>
                <c:pt idx="17">
                  <c:v>0.50420411664041909</c:v>
                </c:pt>
                <c:pt idx="18">
                  <c:v>1.120169129269551</c:v>
                </c:pt>
                <c:pt idx="19">
                  <c:v>1.120169129269551</c:v>
                </c:pt>
                <c:pt idx="20">
                  <c:v>1.1716638879621391</c:v>
                </c:pt>
                <c:pt idx="21">
                  <c:v>1.1716638879621391</c:v>
                </c:pt>
                <c:pt idx="22">
                  <c:v>2.5208657555515366</c:v>
                </c:pt>
                <c:pt idx="23">
                  <c:v>2.5208657555515366</c:v>
                </c:pt>
                <c:pt idx="24">
                  <c:v>3.6685487435817601</c:v>
                </c:pt>
                <c:pt idx="25">
                  <c:v>3.6685487435817601</c:v>
                </c:pt>
                <c:pt idx="26">
                  <c:v>5.2644586707873833</c:v>
                </c:pt>
                <c:pt idx="27">
                  <c:v>5.2644586707873833</c:v>
                </c:pt>
                <c:pt idx="28">
                  <c:v>5.2644586707873833</c:v>
                </c:pt>
                <c:pt idx="29">
                  <c:v>5.2644586707873833</c:v>
                </c:pt>
                <c:pt idx="30">
                  <c:v>5.2644586707873833</c:v>
                </c:pt>
                <c:pt idx="31">
                  <c:v>5.2644586707873833</c:v>
                </c:pt>
                <c:pt idx="32">
                  <c:v>5.2644586707873833</c:v>
                </c:pt>
                <c:pt idx="33">
                  <c:v>5.2644586707873833</c:v>
                </c:pt>
                <c:pt idx="34">
                  <c:v>5.5908829966703557</c:v>
                </c:pt>
                <c:pt idx="35">
                  <c:v>5.5908829966703557</c:v>
                </c:pt>
                <c:pt idx="36">
                  <c:v>5.7665074158755081</c:v>
                </c:pt>
                <c:pt idx="37">
                  <c:v>5.7665074158755081</c:v>
                </c:pt>
                <c:pt idx="38">
                  <c:v>5.7665074158755081</c:v>
                </c:pt>
                <c:pt idx="39">
                  <c:v>5.7665074158755081</c:v>
                </c:pt>
                <c:pt idx="40">
                  <c:v>5.8352566532463275</c:v>
                </c:pt>
                <c:pt idx="41">
                  <c:v>5.8352566532463275</c:v>
                </c:pt>
                <c:pt idx="42">
                  <c:v>9.2807772763438585</c:v>
                </c:pt>
                <c:pt idx="43">
                  <c:v>9.2807772763438585</c:v>
                </c:pt>
                <c:pt idx="44">
                  <c:v>9.2807772763438585</c:v>
                </c:pt>
                <c:pt idx="45">
                  <c:v>9.2807772763438585</c:v>
                </c:pt>
                <c:pt idx="46">
                  <c:v>14.872122786040128</c:v>
                </c:pt>
                <c:pt idx="47">
                  <c:v>14.872122786040128</c:v>
                </c:pt>
                <c:pt idx="48">
                  <c:v>14.872122786040128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5B-4CBA-AA56-7BD5DC7B0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2479640"/>
        <c:axId val="1032477344"/>
      </c:scatterChart>
      <c:valAx>
        <c:axId val="103247964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Carbon abated: ktCO2e/yr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2477344"/>
        <c:crosses val="autoZero"/>
        <c:crossBetween val="midCat"/>
      </c:valAx>
      <c:valAx>
        <c:axId val="103247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£/tCO2e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2479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2322681539807524"/>
          <c:y val="0.10226851851851854"/>
          <c:w val="0.7591017060367453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9.xml"/><Relationship Id="rId3" Type="http://schemas.openxmlformats.org/officeDocument/2006/relationships/chart" Target="../charts/chart34.xml"/><Relationship Id="rId7" Type="http://schemas.openxmlformats.org/officeDocument/2006/relationships/chart" Target="../charts/chart38.xml"/><Relationship Id="rId12" Type="http://schemas.openxmlformats.org/officeDocument/2006/relationships/chart" Target="../charts/chart43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Relationship Id="rId6" Type="http://schemas.openxmlformats.org/officeDocument/2006/relationships/chart" Target="../charts/chart37.xml"/><Relationship Id="rId11" Type="http://schemas.openxmlformats.org/officeDocument/2006/relationships/chart" Target="../charts/chart42.xml"/><Relationship Id="rId5" Type="http://schemas.openxmlformats.org/officeDocument/2006/relationships/chart" Target="../charts/chart36.xml"/><Relationship Id="rId10" Type="http://schemas.openxmlformats.org/officeDocument/2006/relationships/chart" Target="../charts/chart41.xml"/><Relationship Id="rId4" Type="http://schemas.openxmlformats.org/officeDocument/2006/relationships/chart" Target="../charts/chart35.xml"/><Relationship Id="rId9" Type="http://schemas.openxmlformats.org/officeDocument/2006/relationships/chart" Target="../charts/chart40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1.xml"/><Relationship Id="rId3" Type="http://schemas.openxmlformats.org/officeDocument/2006/relationships/chart" Target="../charts/chart46.xml"/><Relationship Id="rId7" Type="http://schemas.openxmlformats.org/officeDocument/2006/relationships/chart" Target="../charts/chart50.xml"/><Relationship Id="rId12" Type="http://schemas.openxmlformats.org/officeDocument/2006/relationships/chart" Target="../charts/chart55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6" Type="http://schemas.openxmlformats.org/officeDocument/2006/relationships/chart" Target="../charts/chart49.xml"/><Relationship Id="rId11" Type="http://schemas.openxmlformats.org/officeDocument/2006/relationships/chart" Target="../charts/chart54.xml"/><Relationship Id="rId5" Type="http://schemas.openxmlformats.org/officeDocument/2006/relationships/chart" Target="../charts/chart48.xml"/><Relationship Id="rId10" Type="http://schemas.openxmlformats.org/officeDocument/2006/relationships/chart" Target="../charts/chart53.xml"/><Relationship Id="rId4" Type="http://schemas.openxmlformats.org/officeDocument/2006/relationships/chart" Target="../charts/chart47.xml"/><Relationship Id="rId9" Type="http://schemas.openxmlformats.org/officeDocument/2006/relationships/chart" Target="../charts/chart52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3.xml"/><Relationship Id="rId3" Type="http://schemas.openxmlformats.org/officeDocument/2006/relationships/chart" Target="../charts/chart58.xml"/><Relationship Id="rId7" Type="http://schemas.openxmlformats.org/officeDocument/2006/relationships/chart" Target="../charts/chart62.xml"/><Relationship Id="rId12" Type="http://schemas.openxmlformats.org/officeDocument/2006/relationships/chart" Target="../charts/chart67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6" Type="http://schemas.openxmlformats.org/officeDocument/2006/relationships/chart" Target="../charts/chart61.xml"/><Relationship Id="rId11" Type="http://schemas.openxmlformats.org/officeDocument/2006/relationships/chart" Target="../charts/chart66.xml"/><Relationship Id="rId5" Type="http://schemas.openxmlformats.org/officeDocument/2006/relationships/chart" Target="../charts/chart60.xml"/><Relationship Id="rId10" Type="http://schemas.openxmlformats.org/officeDocument/2006/relationships/chart" Target="../charts/chart65.xml"/><Relationship Id="rId4" Type="http://schemas.openxmlformats.org/officeDocument/2006/relationships/chart" Target="../charts/chart59.xml"/><Relationship Id="rId9" Type="http://schemas.openxmlformats.org/officeDocument/2006/relationships/chart" Target="../charts/chart6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0.xml"/><Relationship Id="rId2" Type="http://schemas.openxmlformats.org/officeDocument/2006/relationships/chart" Target="../charts/chart69.xml"/><Relationship Id="rId1" Type="http://schemas.openxmlformats.org/officeDocument/2006/relationships/chart" Target="../charts/chart68.xml"/><Relationship Id="rId5" Type="http://schemas.openxmlformats.org/officeDocument/2006/relationships/chart" Target="../charts/chart72.xml"/><Relationship Id="rId4" Type="http://schemas.openxmlformats.org/officeDocument/2006/relationships/chart" Target="../charts/chart7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5" Type="http://schemas.openxmlformats.org/officeDocument/2006/relationships/chart" Target="../charts/chart77.xml"/><Relationship Id="rId4" Type="http://schemas.openxmlformats.org/officeDocument/2006/relationships/chart" Target="../charts/chart7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196850</xdr:colOff>
      <xdr:row>1</xdr:row>
      <xdr:rowOff>38100</xdr:rowOff>
    </xdr:from>
    <xdr:to>
      <xdr:col>12</xdr:col>
      <xdr:colOff>558800</xdr:colOff>
      <xdr:row>27</xdr:row>
      <xdr:rowOff>146050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8C475D0-A21C-F683-8678-055CAC616186}"/>
            </a:ext>
          </a:extLst>
        </xdr:cNvPr>
        <xdr:cNvSpPr txBox="1"/>
      </xdr:nvSpPr>
      <xdr:spPr>
        <a:xfrm>
          <a:off x="806450" y="222250"/>
          <a:ext cx="7067550" cy="4895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Model user guide</a:t>
          </a: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main inputs that users can review and change are the yellow cells in the “Time-factors” sheet.  These include:</a:t>
          </a: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capex figures and emissions levels per intervention</a:t>
          </a: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capex reduction factors by intervention category</a:t>
          </a: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discount rates and amortisation periods by intervention category</a:t>
          </a:r>
        </a:p>
        <a:p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inputs need to be specified per year but not by airport size as all the calculations are done on a specific unit size.  The MACCs are then shown by £/tCOe for cumulative tonnage of emissions abated.</a:t>
          </a:r>
        </a:p>
        <a:p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There are a few inputs in the snapshot year sheets, which include:</a:t>
          </a: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Energy prices for the interventions</a:t>
          </a: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Displaced energy by intervention</a:t>
          </a: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Emission factors</a:t>
          </a: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Carbon prices (set to zero by default)</a:t>
          </a:r>
        </a:p>
        <a:p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There are three macros which provide automatic sorting of the data to generate the MACCs.</a:t>
          </a:r>
        </a:p>
        <a:p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Sortdata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– (run by hitting control+shift S) sorts the calculated cost data to provide the 20 MACCs for the five snapshot years and 4 airport sizes</a:t>
          </a:r>
        </a:p>
        <a:p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Resetdata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– (run by hitting control+shift R) resorts the data into the intervention categories which aligns with the input data ordering.</a:t>
          </a:r>
        </a:p>
        <a:p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Sumchart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– (run by hitting control+shift C) which copies the sorted data results into the summary sheet to provide a summary charts for each airport size showing 2019, 2030 and 2040 MACCs.</a:t>
          </a: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149225</xdr:rowOff>
    </xdr:from>
    <xdr:to>
      <xdr:col>12</xdr:col>
      <xdr:colOff>536575</xdr:colOff>
      <xdr:row>15</xdr:row>
      <xdr:rowOff>130175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B7BC45A-C0E1-E473-C3F6-4D3F408F7F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391297</xdr:colOff>
      <xdr:row>33</xdr:row>
      <xdr:rowOff>101485</xdr:rowOff>
    </xdr:from>
    <xdr:to>
      <xdr:col>16</xdr:col>
      <xdr:colOff>66360</xdr:colOff>
      <xdr:row>48</xdr:row>
      <xdr:rowOff>98739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8F70BC-12B5-9A02-4080-3285AA539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311207</xdr:colOff>
      <xdr:row>451</xdr:row>
      <xdr:rowOff>170134</xdr:rowOff>
    </xdr:from>
    <xdr:to>
      <xdr:col>15</xdr:col>
      <xdr:colOff>598387</xdr:colOff>
      <xdr:row>466</xdr:row>
      <xdr:rowOff>167389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F44EAAB-D9B0-1628-A12D-372556D87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28</xdr:row>
      <xdr:rowOff>111125</xdr:rowOff>
    </xdr:from>
    <xdr:to>
      <xdr:col>17</xdr:col>
      <xdr:colOff>390525</xdr:colOff>
      <xdr:row>43</xdr:row>
      <xdr:rowOff>92075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934C0E-DB37-1533-04E6-95713845E1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9525</xdr:colOff>
      <xdr:row>28</xdr:row>
      <xdr:rowOff>149225</xdr:rowOff>
    </xdr:from>
    <xdr:to>
      <xdr:col>25</xdr:col>
      <xdr:colOff>314325</xdr:colOff>
      <xdr:row>43</xdr:row>
      <xdr:rowOff>130175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F5BFC91-ECDD-2225-2397-8DAAA037F3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66675</xdr:colOff>
      <xdr:row>28</xdr:row>
      <xdr:rowOff>117475</xdr:rowOff>
    </xdr:from>
    <xdr:to>
      <xdr:col>34</xdr:col>
      <xdr:colOff>53975</xdr:colOff>
      <xdr:row>43</xdr:row>
      <xdr:rowOff>98425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4646705-8474-D3A3-E273-18724E1C38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40901</xdr:colOff>
      <xdr:row>34</xdr:row>
      <xdr:rowOff>36419</xdr:rowOff>
    </xdr:from>
    <xdr:to>
      <xdr:col>17</xdr:col>
      <xdr:colOff>345701</xdr:colOff>
      <xdr:row>47</xdr:row>
      <xdr:rowOff>308721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99C214-F52D-4D36-909A-C05115DA2E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651995</xdr:colOff>
      <xdr:row>34</xdr:row>
      <xdr:rowOff>74519</xdr:rowOff>
    </xdr:from>
    <xdr:to>
      <xdr:col>25</xdr:col>
      <xdr:colOff>269501</xdr:colOff>
      <xdr:row>47</xdr:row>
      <xdr:rowOff>346821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BF2D99-3727-4562-88AB-6E04C143AA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85725</xdr:colOff>
      <xdr:row>73</xdr:row>
      <xdr:rowOff>111125</xdr:rowOff>
    </xdr:from>
    <xdr:to>
      <xdr:col>17</xdr:col>
      <xdr:colOff>390525</xdr:colOff>
      <xdr:row>88</xdr:row>
      <xdr:rowOff>92075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DFC58B-7BF0-475B-86A7-E8AA38D0A7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9525</xdr:colOff>
      <xdr:row>73</xdr:row>
      <xdr:rowOff>149225</xdr:rowOff>
    </xdr:from>
    <xdr:to>
      <xdr:col>25</xdr:col>
      <xdr:colOff>314325</xdr:colOff>
      <xdr:row>88</xdr:row>
      <xdr:rowOff>130175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86C4D7D-63B7-41D5-A6FA-63C7274E4D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66675</xdr:colOff>
      <xdr:row>73</xdr:row>
      <xdr:rowOff>117475</xdr:rowOff>
    </xdr:from>
    <xdr:to>
      <xdr:col>34</xdr:col>
      <xdr:colOff>53975</xdr:colOff>
      <xdr:row>88</xdr:row>
      <xdr:rowOff>98425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9B3F7DF-5B00-45A4-B5ED-AD60200C7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85725</xdr:colOff>
      <xdr:row>118</xdr:row>
      <xdr:rowOff>111125</xdr:rowOff>
    </xdr:from>
    <xdr:to>
      <xdr:col>17</xdr:col>
      <xdr:colOff>390525</xdr:colOff>
      <xdr:row>133</xdr:row>
      <xdr:rowOff>92075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F5E0D38-3FF8-47C5-9CDC-093B7FBE37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9525</xdr:colOff>
      <xdr:row>118</xdr:row>
      <xdr:rowOff>149225</xdr:rowOff>
    </xdr:from>
    <xdr:to>
      <xdr:col>25</xdr:col>
      <xdr:colOff>314325</xdr:colOff>
      <xdr:row>133</xdr:row>
      <xdr:rowOff>130175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7C0E9AD-821B-47B3-BAFB-DE2E966DA2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66675</xdr:colOff>
      <xdr:row>118</xdr:row>
      <xdr:rowOff>117475</xdr:rowOff>
    </xdr:from>
    <xdr:to>
      <xdr:col>34</xdr:col>
      <xdr:colOff>53975</xdr:colOff>
      <xdr:row>133</xdr:row>
      <xdr:rowOff>98425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F30CA10-7F54-4684-BFCC-A5A83024C0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28</xdr:col>
      <xdr:colOff>193301</xdr:colOff>
      <xdr:row>34</xdr:row>
      <xdr:rowOff>185084</xdr:rowOff>
    </xdr:from>
    <xdr:to>
      <xdr:col>36</xdr:col>
      <xdr:colOff>536201</xdr:colOff>
      <xdr:row>47</xdr:row>
      <xdr:rowOff>457386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B0EF7627-9E3D-7CDA-C8DF-CBBBD8F194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39</xdr:col>
      <xdr:colOff>447674</xdr:colOff>
      <xdr:row>6</xdr:row>
      <xdr:rowOff>101600</xdr:rowOff>
    </xdr:from>
    <xdr:to>
      <xdr:col>48</xdr:col>
      <xdr:colOff>114299</xdr:colOff>
      <xdr:row>24</xdr:row>
      <xdr:rowOff>136525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3DE5980-776B-87C1-5D33-00402B2E75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85725</xdr:colOff>
      <xdr:row>163</xdr:row>
      <xdr:rowOff>111125</xdr:rowOff>
    </xdr:from>
    <xdr:to>
      <xdr:col>17</xdr:col>
      <xdr:colOff>390525</xdr:colOff>
      <xdr:row>178</xdr:row>
      <xdr:rowOff>92075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F3AE899-2E20-4FDC-9CE3-B6C92A81C6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9525</xdr:colOff>
      <xdr:row>163</xdr:row>
      <xdr:rowOff>149225</xdr:rowOff>
    </xdr:from>
    <xdr:to>
      <xdr:col>25</xdr:col>
      <xdr:colOff>314325</xdr:colOff>
      <xdr:row>178</xdr:row>
      <xdr:rowOff>130175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21612BF6-A689-4117-98F5-6F24F5B8A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26</xdr:col>
      <xdr:colOff>66675</xdr:colOff>
      <xdr:row>163</xdr:row>
      <xdr:rowOff>117475</xdr:rowOff>
    </xdr:from>
    <xdr:to>
      <xdr:col>34</xdr:col>
      <xdr:colOff>53975</xdr:colOff>
      <xdr:row>178</xdr:row>
      <xdr:rowOff>98425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8C52067D-F3C9-4C22-AF69-85DED8CD5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28</xdr:row>
      <xdr:rowOff>111125</xdr:rowOff>
    </xdr:from>
    <xdr:to>
      <xdr:col>17</xdr:col>
      <xdr:colOff>390525</xdr:colOff>
      <xdr:row>43</xdr:row>
      <xdr:rowOff>92075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93D00B-7A95-43B8-BD72-8324FF2FA3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9525</xdr:colOff>
      <xdr:row>28</xdr:row>
      <xdr:rowOff>149225</xdr:rowOff>
    </xdr:from>
    <xdr:to>
      <xdr:col>25</xdr:col>
      <xdr:colOff>314325</xdr:colOff>
      <xdr:row>43</xdr:row>
      <xdr:rowOff>130175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A2B23A-7B6C-4A13-8C9B-3BF233974E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66675</xdr:colOff>
      <xdr:row>28</xdr:row>
      <xdr:rowOff>117475</xdr:rowOff>
    </xdr:from>
    <xdr:to>
      <xdr:col>34</xdr:col>
      <xdr:colOff>53975</xdr:colOff>
      <xdr:row>43</xdr:row>
      <xdr:rowOff>98425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03CFB4-EAED-49C0-BE29-D029FB78EF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85725</xdr:colOff>
      <xdr:row>73</xdr:row>
      <xdr:rowOff>111125</xdr:rowOff>
    </xdr:from>
    <xdr:to>
      <xdr:col>17</xdr:col>
      <xdr:colOff>390525</xdr:colOff>
      <xdr:row>88</xdr:row>
      <xdr:rowOff>92075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2510729-2D98-4E42-9450-F52ABB200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9525</xdr:colOff>
      <xdr:row>73</xdr:row>
      <xdr:rowOff>149225</xdr:rowOff>
    </xdr:from>
    <xdr:to>
      <xdr:col>25</xdr:col>
      <xdr:colOff>314325</xdr:colOff>
      <xdr:row>88</xdr:row>
      <xdr:rowOff>130175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A934201-4CEF-4796-8828-7BD3DEE369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66675</xdr:colOff>
      <xdr:row>73</xdr:row>
      <xdr:rowOff>117475</xdr:rowOff>
    </xdr:from>
    <xdr:to>
      <xdr:col>34</xdr:col>
      <xdr:colOff>53975</xdr:colOff>
      <xdr:row>88</xdr:row>
      <xdr:rowOff>98425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F56C37D-4400-4C84-91CD-558514337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85725</xdr:colOff>
      <xdr:row>118</xdr:row>
      <xdr:rowOff>111125</xdr:rowOff>
    </xdr:from>
    <xdr:to>
      <xdr:col>17</xdr:col>
      <xdr:colOff>390525</xdr:colOff>
      <xdr:row>133</xdr:row>
      <xdr:rowOff>92075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051E356-D416-4FA9-9BDB-CEFD2508DD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9525</xdr:colOff>
      <xdr:row>118</xdr:row>
      <xdr:rowOff>149225</xdr:rowOff>
    </xdr:from>
    <xdr:to>
      <xdr:col>25</xdr:col>
      <xdr:colOff>314325</xdr:colOff>
      <xdr:row>133</xdr:row>
      <xdr:rowOff>130175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7014C78-A2EB-4FAE-8F54-DF4604B3C2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66675</xdr:colOff>
      <xdr:row>118</xdr:row>
      <xdr:rowOff>117475</xdr:rowOff>
    </xdr:from>
    <xdr:to>
      <xdr:col>34</xdr:col>
      <xdr:colOff>53975</xdr:colOff>
      <xdr:row>133</xdr:row>
      <xdr:rowOff>98425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6EB5775-3618-4A7B-AF98-81F3A32F43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85725</xdr:colOff>
      <xdr:row>163</xdr:row>
      <xdr:rowOff>111125</xdr:rowOff>
    </xdr:from>
    <xdr:to>
      <xdr:col>17</xdr:col>
      <xdr:colOff>390525</xdr:colOff>
      <xdr:row>178</xdr:row>
      <xdr:rowOff>92075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DBFF4AF-9526-4E11-ADC2-F29E0551B7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9525</xdr:colOff>
      <xdr:row>163</xdr:row>
      <xdr:rowOff>149225</xdr:rowOff>
    </xdr:from>
    <xdr:to>
      <xdr:col>25</xdr:col>
      <xdr:colOff>314325</xdr:colOff>
      <xdr:row>178</xdr:row>
      <xdr:rowOff>130175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A5C0FA6-E0B0-41EC-AB3B-A270BB61C8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26</xdr:col>
      <xdr:colOff>66675</xdr:colOff>
      <xdr:row>163</xdr:row>
      <xdr:rowOff>117475</xdr:rowOff>
    </xdr:from>
    <xdr:to>
      <xdr:col>34</xdr:col>
      <xdr:colOff>53975</xdr:colOff>
      <xdr:row>178</xdr:row>
      <xdr:rowOff>98425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14D6C19-A69A-437F-BBD7-09497EF2AB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28</xdr:row>
      <xdr:rowOff>111125</xdr:rowOff>
    </xdr:from>
    <xdr:to>
      <xdr:col>17</xdr:col>
      <xdr:colOff>390525</xdr:colOff>
      <xdr:row>43</xdr:row>
      <xdr:rowOff>92075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BD74DC-137E-4444-A42A-B4E05DC5BF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9525</xdr:colOff>
      <xdr:row>28</xdr:row>
      <xdr:rowOff>149225</xdr:rowOff>
    </xdr:from>
    <xdr:to>
      <xdr:col>25</xdr:col>
      <xdr:colOff>314325</xdr:colOff>
      <xdr:row>43</xdr:row>
      <xdr:rowOff>130175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D3098E-C1BC-4996-8AB7-8D1CE042BC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66675</xdr:colOff>
      <xdr:row>28</xdr:row>
      <xdr:rowOff>117475</xdr:rowOff>
    </xdr:from>
    <xdr:to>
      <xdr:col>34</xdr:col>
      <xdr:colOff>53975</xdr:colOff>
      <xdr:row>43</xdr:row>
      <xdr:rowOff>98425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47F03A0-03F5-4C7D-9766-528495AC0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85725</xdr:colOff>
      <xdr:row>73</xdr:row>
      <xdr:rowOff>111125</xdr:rowOff>
    </xdr:from>
    <xdr:to>
      <xdr:col>17</xdr:col>
      <xdr:colOff>390525</xdr:colOff>
      <xdr:row>88</xdr:row>
      <xdr:rowOff>92075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B4CC97C-3FA9-4D18-9014-FEEABE0FF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9525</xdr:colOff>
      <xdr:row>73</xdr:row>
      <xdr:rowOff>149225</xdr:rowOff>
    </xdr:from>
    <xdr:to>
      <xdr:col>25</xdr:col>
      <xdr:colOff>314325</xdr:colOff>
      <xdr:row>88</xdr:row>
      <xdr:rowOff>130175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CAC91AE-D4F6-4B49-A59E-A0CE2B894F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66675</xdr:colOff>
      <xdr:row>73</xdr:row>
      <xdr:rowOff>117475</xdr:rowOff>
    </xdr:from>
    <xdr:to>
      <xdr:col>34</xdr:col>
      <xdr:colOff>53975</xdr:colOff>
      <xdr:row>88</xdr:row>
      <xdr:rowOff>98425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1213B2C-3636-4840-87F1-3C5DDFB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85725</xdr:colOff>
      <xdr:row>118</xdr:row>
      <xdr:rowOff>111125</xdr:rowOff>
    </xdr:from>
    <xdr:to>
      <xdr:col>17</xdr:col>
      <xdr:colOff>390525</xdr:colOff>
      <xdr:row>133</xdr:row>
      <xdr:rowOff>92075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94E9599-E9BC-4562-9668-984227464D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9525</xdr:colOff>
      <xdr:row>118</xdr:row>
      <xdr:rowOff>149225</xdr:rowOff>
    </xdr:from>
    <xdr:to>
      <xdr:col>25</xdr:col>
      <xdr:colOff>314325</xdr:colOff>
      <xdr:row>133</xdr:row>
      <xdr:rowOff>130175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9D3C680-D530-4667-8A83-EC3740A2BA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66675</xdr:colOff>
      <xdr:row>118</xdr:row>
      <xdr:rowOff>117475</xdr:rowOff>
    </xdr:from>
    <xdr:to>
      <xdr:col>34</xdr:col>
      <xdr:colOff>53975</xdr:colOff>
      <xdr:row>133</xdr:row>
      <xdr:rowOff>98425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8499584-B136-419D-8E72-72F78713CC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85725</xdr:colOff>
      <xdr:row>163</xdr:row>
      <xdr:rowOff>111125</xdr:rowOff>
    </xdr:from>
    <xdr:to>
      <xdr:col>17</xdr:col>
      <xdr:colOff>390525</xdr:colOff>
      <xdr:row>178</xdr:row>
      <xdr:rowOff>92075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71A37AA-6AEF-4D4B-B5BD-DF0A321C4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9525</xdr:colOff>
      <xdr:row>163</xdr:row>
      <xdr:rowOff>149225</xdr:rowOff>
    </xdr:from>
    <xdr:to>
      <xdr:col>25</xdr:col>
      <xdr:colOff>314325</xdr:colOff>
      <xdr:row>178</xdr:row>
      <xdr:rowOff>130175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7B059B28-3C33-4A49-A162-2A37DF0CE1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26</xdr:col>
      <xdr:colOff>66675</xdr:colOff>
      <xdr:row>163</xdr:row>
      <xdr:rowOff>117475</xdr:rowOff>
    </xdr:from>
    <xdr:to>
      <xdr:col>34</xdr:col>
      <xdr:colOff>53975</xdr:colOff>
      <xdr:row>178</xdr:row>
      <xdr:rowOff>98425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8C79FC67-E675-4F92-BEC5-8808D06552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28</xdr:row>
      <xdr:rowOff>111125</xdr:rowOff>
    </xdr:from>
    <xdr:to>
      <xdr:col>17</xdr:col>
      <xdr:colOff>390525</xdr:colOff>
      <xdr:row>43</xdr:row>
      <xdr:rowOff>92075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C9B95E7-0B31-491C-9FCB-1471E35D07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9525</xdr:colOff>
      <xdr:row>28</xdr:row>
      <xdr:rowOff>149225</xdr:rowOff>
    </xdr:from>
    <xdr:to>
      <xdr:col>25</xdr:col>
      <xdr:colOff>314325</xdr:colOff>
      <xdr:row>43</xdr:row>
      <xdr:rowOff>130175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DB83D14-3A7F-413D-A9D1-85BAAE972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66675</xdr:colOff>
      <xdr:row>28</xdr:row>
      <xdr:rowOff>117475</xdr:rowOff>
    </xdr:from>
    <xdr:to>
      <xdr:col>34</xdr:col>
      <xdr:colOff>53975</xdr:colOff>
      <xdr:row>43</xdr:row>
      <xdr:rowOff>98425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34ECAF-1CB3-450E-AC2C-C266A90B09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85725</xdr:colOff>
      <xdr:row>73</xdr:row>
      <xdr:rowOff>111125</xdr:rowOff>
    </xdr:from>
    <xdr:to>
      <xdr:col>17</xdr:col>
      <xdr:colOff>390525</xdr:colOff>
      <xdr:row>88</xdr:row>
      <xdr:rowOff>92075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7119FFB-B37A-4E9F-BAD3-C32C5D9374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9525</xdr:colOff>
      <xdr:row>73</xdr:row>
      <xdr:rowOff>149225</xdr:rowOff>
    </xdr:from>
    <xdr:to>
      <xdr:col>25</xdr:col>
      <xdr:colOff>314325</xdr:colOff>
      <xdr:row>88</xdr:row>
      <xdr:rowOff>130175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9BC07D7-D740-45A5-92EE-28EB453100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66675</xdr:colOff>
      <xdr:row>73</xdr:row>
      <xdr:rowOff>117475</xdr:rowOff>
    </xdr:from>
    <xdr:to>
      <xdr:col>34</xdr:col>
      <xdr:colOff>53975</xdr:colOff>
      <xdr:row>88</xdr:row>
      <xdr:rowOff>98425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633157-4C74-4D56-A72B-0F877F452C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85725</xdr:colOff>
      <xdr:row>118</xdr:row>
      <xdr:rowOff>111125</xdr:rowOff>
    </xdr:from>
    <xdr:to>
      <xdr:col>17</xdr:col>
      <xdr:colOff>390525</xdr:colOff>
      <xdr:row>133</xdr:row>
      <xdr:rowOff>92075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08698DB-FDC6-4803-9D6B-6D46EC42C1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9525</xdr:colOff>
      <xdr:row>118</xdr:row>
      <xdr:rowOff>149225</xdr:rowOff>
    </xdr:from>
    <xdr:to>
      <xdr:col>25</xdr:col>
      <xdr:colOff>314325</xdr:colOff>
      <xdr:row>133</xdr:row>
      <xdr:rowOff>130175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EC3D9F0-B8E8-4B77-90DE-3FF32C5AED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66675</xdr:colOff>
      <xdr:row>118</xdr:row>
      <xdr:rowOff>117475</xdr:rowOff>
    </xdr:from>
    <xdr:to>
      <xdr:col>34</xdr:col>
      <xdr:colOff>53975</xdr:colOff>
      <xdr:row>133</xdr:row>
      <xdr:rowOff>98425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3E2D361-70EC-42B0-A4ED-461D2AE863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85725</xdr:colOff>
      <xdr:row>163</xdr:row>
      <xdr:rowOff>111125</xdr:rowOff>
    </xdr:from>
    <xdr:to>
      <xdr:col>17</xdr:col>
      <xdr:colOff>390525</xdr:colOff>
      <xdr:row>178</xdr:row>
      <xdr:rowOff>92075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A7C4EE0-A92E-443E-B04C-EB5578D73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9525</xdr:colOff>
      <xdr:row>163</xdr:row>
      <xdr:rowOff>149225</xdr:rowOff>
    </xdr:from>
    <xdr:to>
      <xdr:col>25</xdr:col>
      <xdr:colOff>314325</xdr:colOff>
      <xdr:row>178</xdr:row>
      <xdr:rowOff>130175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B1143E5-9614-4998-8FE5-047539674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26</xdr:col>
      <xdr:colOff>66675</xdr:colOff>
      <xdr:row>163</xdr:row>
      <xdr:rowOff>117475</xdr:rowOff>
    </xdr:from>
    <xdr:to>
      <xdr:col>34</xdr:col>
      <xdr:colOff>53975</xdr:colOff>
      <xdr:row>178</xdr:row>
      <xdr:rowOff>98425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5EB6A25-4884-4D9D-94DD-AE7AE8AB6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28</xdr:row>
      <xdr:rowOff>111125</xdr:rowOff>
    </xdr:from>
    <xdr:to>
      <xdr:col>17</xdr:col>
      <xdr:colOff>390525</xdr:colOff>
      <xdr:row>43</xdr:row>
      <xdr:rowOff>92075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2DED92-AA97-4C41-9C24-4EA236E08E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9525</xdr:colOff>
      <xdr:row>28</xdr:row>
      <xdr:rowOff>149225</xdr:rowOff>
    </xdr:from>
    <xdr:to>
      <xdr:col>25</xdr:col>
      <xdr:colOff>314325</xdr:colOff>
      <xdr:row>43</xdr:row>
      <xdr:rowOff>130175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C79B784-6C4E-476C-A194-6D7AAC2FB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66675</xdr:colOff>
      <xdr:row>28</xdr:row>
      <xdr:rowOff>117475</xdr:rowOff>
    </xdr:from>
    <xdr:to>
      <xdr:col>34</xdr:col>
      <xdr:colOff>53975</xdr:colOff>
      <xdr:row>43</xdr:row>
      <xdr:rowOff>98425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934C808-4D42-48D9-B7AF-F7993ADF63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85725</xdr:colOff>
      <xdr:row>73</xdr:row>
      <xdr:rowOff>111125</xdr:rowOff>
    </xdr:from>
    <xdr:to>
      <xdr:col>17</xdr:col>
      <xdr:colOff>390525</xdr:colOff>
      <xdr:row>88</xdr:row>
      <xdr:rowOff>92075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BEF1FFA-7039-4EEE-AEE1-CFD015A7B6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9525</xdr:colOff>
      <xdr:row>73</xdr:row>
      <xdr:rowOff>149225</xdr:rowOff>
    </xdr:from>
    <xdr:to>
      <xdr:col>25</xdr:col>
      <xdr:colOff>314325</xdr:colOff>
      <xdr:row>88</xdr:row>
      <xdr:rowOff>130175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5F343DD-F78B-4EB6-9238-91ED87E81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66675</xdr:colOff>
      <xdr:row>73</xdr:row>
      <xdr:rowOff>117475</xdr:rowOff>
    </xdr:from>
    <xdr:to>
      <xdr:col>34</xdr:col>
      <xdr:colOff>53975</xdr:colOff>
      <xdr:row>88</xdr:row>
      <xdr:rowOff>98425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EE983AB-418B-40C5-B25B-31E114B190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85725</xdr:colOff>
      <xdr:row>118</xdr:row>
      <xdr:rowOff>111125</xdr:rowOff>
    </xdr:from>
    <xdr:to>
      <xdr:col>17</xdr:col>
      <xdr:colOff>390525</xdr:colOff>
      <xdr:row>133</xdr:row>
      <xdr:rowOff>92075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48F47C9-9AAB-4A8A-884E-2459D6911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9525</xdr:colOff>
      <xdr:row>118</xdr:row>
      <xdr:rowOff>149225</xdr:rowOff>
    </xdr:from>
    <xdr:to>
      <xdr:col>25</xdr:col>
      <xdr:colOff>314325</xdr:colOff>
      <xdr:row>133</xdr:row>
      <xdr:rowOff>130175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B141B3A-7B96-4E07-976B-B6D372EBC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66675</xdr:colOff>
      <xdr:row>118</xdr:row>
      <xdr:rowOff>117475</xdr:rowOff>
    </xdr:from>
    <xdr:to>
      <xdr:col>34</xdr:col>
      <xdr:colOff>53975</xdr:colOff>
      <xdr:row>133</xdr:row>
      <xdr:rowOff>98425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49897E0-ECCE-4603-8678-20F60F0AD6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85725</xdr:colOff>
      <xdr:row>163</xdr:row>
      <xdr:rowOff>111125</xdr:rowOff>
    </xdr:from>
    <xdr:to>
      <xdr:col>17</xdr:col>
      <xdr:colOff>390525</xdr:colOff>
      <xdr:row>178</xdr:row>
      <xdr:rowOff>92075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40C1981-C068-447C-971B-95FF9D955F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9525</xdr:colOff>
      <xdr:row>163</xdr:row>
      <xdr:rowOff>149225</xdr:rowOff>
    </xdr:from>
    <xdr:to>
      <xdr:col>25</xdr:col>
      <xdr:colOff>314325</xdr:colOff>
      <xdr:row>178</xdr:row>
      <xdr:rowOff>130175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39D95E3-E9E4-46A4-8D52-B311AE0A5A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26</xdr:col>
      <xdr:colOff>66675</xdr:colOff>
      <xdr:row>163</xdr:row>
      <xdr:rowOff>117475</xdr:rowOff>
    </xdr:from>
    <xdr:to>
      <xdr:col>34</xdr:col>
      <xdr:colOff>53975</xdr:colOff>
      <xdr:row>178</xdr:row>
      <xdr:rowOff>98425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C5A25E07-F1F7-4858-A08C-A9C90D994E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422274</xdr:colOff>
      <xdr:row>12</xdr:row>
      <xdr:rowOff>47625</xdr:rowOff>
    </xdr:from>
    <xdr:to>
      <xdr:col>8</xdr:col>
      <xdr:colOff>552449</xdr:colOff>
      <xdr:row>27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A6DB913-2D52-2DA0-6D3C-D6001408C7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79375</xdr:colOff>
      <xdr:row>26</xdr:row>
      <xdr:rowOff>15875</xdr:rowOff>
    </xdr:from>
    <xdr:to>
      <xdr:col>13</xdr:col>
      <xdr:colOff>384175</xdr:colOff>
      <xdr:row>40</xdr:row>
      <xdr:rowOff>174625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7791534-42A8-8B2E-8B49-91797E6592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371475</xdr:colOff>
      <xdr:row>10</xdr:row>
      <xdr:rowOff>66675</xdr:rowOff>
    </xdr:from>
    <xdr:to>
      <xdr:col>21</xdr:col>
      <xdr:colOff>66675</xdr:colOff>
      <xdr:row>25</xdr:row>
      <xdr:rowOff>47625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B2A58B5-C6A5-4634-8E1D-F8EF9832EF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79375</xdr:colOff>
      <xdr:row>28</xdr:row>
      <xdr:rowOff>174625</xdr:rowOff>
    </xdr:from>
    <xdr:to>
      <xdr:col>25</xdr:col>
      <xdr:colOff>384175</xdr:colOff>
      <xdr:row>43</xdr:row>
      <xdr:rowOff>155575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E8B0207-3F79-C6AA-4848-5F807E79DB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42</xdr:row>
      <xdr:rowOff>0</xdr:rowOff>
    </xdr:from>
    <xdr:to>
      <xdr:col>10</xdr:col>
      <xdr:colOff>304800</xdr:colOff>
      <xdr:row>56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BA1003-F3F9-4F96-ABF2-4F31617D00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460374</xdr:colOff>
      <xdr:row>73</xdr:row>
      <xdr:rowOff>12700</xdr:rowOff>
    </xdr:from>
    <xdr:to>
      <xdr:col>9</xdr:col>
      <xdr:colOff>266700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0C933A-73C8-4742-97A9-7F9848D35A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441324</xdr:colOff>
      <xdr:row>73</xdr:row>
      <xdr:rowOff>3174</xdr:rowOff>
    </xdr:from>
    <xdr:to>
      <xdr:col>18</xdr:col>
      <xdr:colOff>584199</xdr:colOff>
      <xdr:row>90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694DA1-A981-4C59-8B19-F076B5D007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15874</xdr:colOff>
      <xdr:row>73</xdr:row>
      <xdr:rowOff>3174</xdr:rowOff>
    </xdr:from>
    <xdr:to>
      <xdr:col>29</xdr:col>
      <xdr:colOff>44450</xdr:colOff>
      <xdr:row>90</xdr:row>
      <xdr:rowOff>12699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74757A-0B2D-4005-8B4A-D711435B84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434974</xdr:colOff>
      <xdr:row>91</xdr:row>
      <xdr:rowOff>92074</xdr:rowOff>
    </xdr:from>
    <xdr:to>
      <xdr:col>19</xdr:col>
      <xdr:colOff>6350</xdr:colOff>
      <xdr:row>108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7C221CA-CBCA-43E5-AF53-B57009B34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444500</xdr:colOff>
      <xdr:row>91</xdr:row>
      <xdr:rowOff>88900</xdr:rowOff>
    </xdr:from>
    <xdr:to>
      <xdr:col>9</xdr:col>
      <xdr:colOff>254000</xdr:colOff>
      <xdr:row>108</xdr:row>
      <xdr:rowOff>69850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7CAB226-20B5-452F-B384-E6962AD209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B\wba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B! Status"/>
      <sheetName val="Sheet1"/>
      <sheetName val="Private"/>
      <sheetName val="WBUsers"/>
      <sheetName val="Commons"/>
      <sheetName val="WBToolBar"/>
    </sheetNames>
    <definedNames>
      <definedName name="WB"/>
      <definedName name="WBDUAL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ustainable-bus.com/news/electric-bus-range-electricity-consumption/" TargetMode="External"/><Relationship Id="rId13" Type="http://schemas.openxmlformats.org/officeDocument/2006/relationships/hyperlink" Target="https://core.ac.uk/download/pdf/222875995.pdf" TargetMode="External"/><Relationship Id="rId18" Type="http://schemas.openxmlformats.org/officeDocument/2006/relationships/hyperlink" Target="https://www.edfenergy.com/energywise/why-EVs-are-efficient" TargetMode="External"/><Relationship Id="rId26" Type="http://schemas.openxmlformats.org/officeDocument/2006/relationships/drawing" Target="../drawings/drawing2.xml"/><Relationship Id="rId3" Type="http://schemas.openxmlformats.org/officeDocument/2006/relationships/hyperlink" Target="https://core.ac.uk/download/pdf/55627041.pdf" TargetMode="External"/><Relationship Id="rId21" Type="http://schemas.openxmlformats.org/officeDocument/2006/relationships/hyperlink" Target="https://cleantechnica.com/2018/03/10/electric-car-myth-buster-efficiency/" TargetMode="External"/><Relationship Id="rId7" Type="http://schemas.openxmlformats.org/officeDocument/2006/relationships/hyperlink" Target="https://www.ampcontrol.io/post/a-case-study-how-to-charge-100-electric-buses" TargetMode="External"/><Relationship Id="rId12" Type="http://schemas.openxmlformats.org/officeDocument/2006/relationships/hyperlink" Target="https://www.mobilityhouse.com/int_en/knowledge-center/charging-time-summary" TargetMode="External"/><Relationship Id="rId17" Type="http://schemas.openxmlformats.org/officeDocument/2006/relationships/hyperlink" Target="https://www.topgear.com/car-news/electric/electric-truck-needs-420kwh-battery-do-250-miles" TargetMode="External"/><Relationship Id="rId25" Type="http://schemas.openxmlformats.org/officeDocument/2006/relationships/printerSettings" Target="../printerSettings/printerSettings1.bin"/><Relationship Id="rId2" Type="http://schemas.openxmlformats.org/officeDocument/2006/relationships/hyperlink" Target="https://interestingengineering.com/transportation/diesel-engine-vs-ev-which-is-better" TargetMode="External"/><Relationship Id="rId16" Type="http://schemas.openxmlformats.org/officeDocument/2006/relationships/hyperlink" Target="https://www.truckinginfo.com/10166691/what-fleets-need-to-know-about-electric-truck-batteries" TargetMode="External"/><Relationship Id="rId20" Type="http://schemas.openxmlformats.org/officeDocument/2006/relationships/hyperlink" Target="https://www.moveelectric.com/e-cars/how-efficient-are-electric-cars" TargetMode="External"/><Relationship Id="rId1" Type="http://schemas.openxmlformats.org/officeDocument/2006/relationships/hyperlink" Target="https://www.vanarama.com/guides/cars/electric-cars-vs-petrol-diesel-hybrid" TargetMode="External"/><Relationship Id="rId6" Type="http://schemas.openxmlformats.org/officeDocument/2006/relationships/hyperlink" Target="https://www.renaultgroup.com/en/news-on-air/news/the-energy-efficiency-of-an-electric-car-motor/" TargetMode="External"/><Relationship Id="rId11" Type="http://schemas.openxmlformats.org/officeDocument/2006/relationships/hyperlink" Target="https://afdc.energy.gov/fuels/electricity_charging_home.html" TargetMode="External"/><Relationship Id="rId24" Type="http://schemas.openxmlformats.org/officeDocument/2006/relationships/hyperlink" Target="https://www.energysage.com/electric-vehicles/101/pros-and-cons-electric-cars/" TargetMode="External"/><Relationship Id="rId5" Type="http://schemas.openxmlformats.org/officeDocument/2006/relationships/hyperlink" Target="https://www.energycouncil.com.au/analysis/evs-are-they-really-more-efficient/" TargetMode="External"/><Relationship Id="rId15" Type="http://schemas.openxmlformats.org/officeDocument/2006/relationships/hyperlink" Target="https://milence.com/story/truck-charging-101/" TargetMode="External"/><Relationship Id="rId23" Type="http://schemas.openxmlformats.org/officeDocument/2006/relationships/hyperlink" Target="https://cleanchargenetwork.com/efficiency-how-evs-use-fuel-better/" TargetMode="External"/><Relationship Id="rId10" Type="http://schemas.openxmlformats.org/officeDocument/2006/relationships/hyperlink" Target="https://pod-point.com/guides/driver/cost-of-charging-electric-car" TargetMode="External"/><Relationship Id="rId19" Type="http://schemas.openxmlformats.org/officeDocument/2006/relationships/hyperlink" Target="https://octopusev.com/ev-hub/our-guide-to-electric-car-efficiency" TargetMode="External"/><Relationship Id="rId4" Type="http://schemas.openxmlformats.org/officeDocument/2006/relationships/hyperlink" Target="https://www.autocar.co.uk/car-news/move-electric/how-efficient-are-electric-cars" TargetMode="External"/><Relationship Id="rId9" Type="http://schemas.openxmlformats.org/officeDocument/2006/relationships/hyperlink" Target="https://cleantechnica.com/2022/02/02/school-bus-electrification-charging-qa/" TargetMode="External"/><Relationship Id="rId14" Type="http://schemas.openxmlformats.org/officeDocument/2006/relationships/hyperlink" Target="https://iopscience.iop.org/article/10.1088/1755-1315/105/1/012041/pdf" TargetMode="External"/><Relationship Id="rId22" Type="http://schemas.openxmlformats.org/officeDocument/2006/relationships/hyperlink" Target="https://www.motortrend.com/news/evs-more-efficient-than-internal-combustion-engines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6E5C4-ABE2-465B-80A0-BD977DAEC71F}">
  <sheetPr codeName="Sheet12"/>
  <dimension ref="A1"/>
  <sheetViews>
    <sheetView workbookViewId="0">
      <selection activeCell="P12" sqref="P12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6B5DB-772A-4F4E-8B52-4997A1FC3B66}">
  <sheetPr codeName="Sheet1">
    <tabColor rgb="FFFF0000"/>
  </sheetPr>
  <dimension ref="B2:U45"/>
  <sheetViews>
    <sheetView topLeftCell="A16" workbookViewId="0">
      <selection activeCell="F33" sqref="F33"/>
    </sheetView>
  </sheetViews>
  <sheetFormatPr defaultRowHeight="14.5" x14ac:dyDescent="0.35"/>
  <cols>
    <col min="2" max="2" width="9.1796875" bestFit="1" customWidth="1"/>
    <col min="3" max="3" width="13.453125" customWidth="1"/>
    <col min="4" max="4" width="10.453125" customWidth="1"/>
    <col min="5" max="5" width="8.7265625" customWidth="1"/>
    <col min="6" max="6" width="9.26953125" customWidth="1"/>
    <col min="7" max="7" width="11.81640625" customWidth="1"/>
    <col min="8" max="8" width="16" customWidth="1"/>
    <col min="11" max="11" width="10.1796875" bestFit="1" customWidth="1"/>
    <col min="18" max="18" width="15" bestFit="1" customWidth="1"/>
    <col min="19" max="20" width="14.453125" bestFit="1" customWidth="1"/>
    <col min="21" max="21" width="91.26953125" bestFit="1" customWidth="1"/>
  </cols>
  <sheetData>
    <row r="2" spans="3:21" x14ac:dyDescent="0.35">
      <c r="R2" s="180" t="s">
        <v>218</v>
      </c>
      <c r="S2" s="181"/>
      <c r="T2" s="181"/>
      <c r="U2" s="182"/>
    </row>
    <row r="3" spans="3:21" x14ac:dyDescent="0.35">
      <c r="R3" s="69" t="s">
        <v>207</v>
      </c>
      <c r="S3" s="68" t="s">
        <v>11</v>
      </c>
      <c r="T3" s="68" t="s">
        <v>209</v>
      </c>
      <c r="U3" s="69" t="s">
        <v>208</v>
      </c>
    </row>
    <row r="4" spans="3:21" x14ac:dyDescent="0.35">
      <c r="C4" t="s">
        <v>284</v>
      </c>
      <c r="E4">
        <f>D6+D11</f>
        <v>135.30000000000001</v>
      </c>
      <c r="R4" s="70">
        <v>0.25</v>
      </c>
      <c r="S4" s="72">
        <v>0.95</v>
      </c>
      <c r="T4" s="72"/>
      <c r="U4" s="76" t="s">
        <v>210</v>
      </c>
    </row>
    <row r="5" spans="3:21" x14ac:dyDescent="0.35">
      <c r="D5" t="s">
        <v>3</v>
      </c>
      <c r="R5" s="70">
        <v>0.19</v>
      </c>
      <c r="S5" s="72">
        <v>0.875</v>
      </c>
      <c r="T5" s="72"/>
      <c r="U5" s="77" t="s">
        <v>211</v>
      </c>
    </row>
    <row r="6" spans="3:21" x14ac:dyDescent="0.35">
      <c r="C6" t="s">
        <v>178</v>
      </c>
      <c r="D6">
        <f>SUM(D7:D9)</f>
        <v>99</v>
      </c>
      <c r="R6" s="70">
        <v>0.16</v>
      </c>
      <c r="S6" s="72">
        <v>0.92</v>
      </c>
      <c r="T6" s="72"/>
      <c r="U6" s="77" t="s">
        <v>212</v>
      </c>
    </row>
    <row r="7" spans="3:21" x14ac:dyDescent="0.35">
      <c r="C7" t="s">
        <v>179</v>
      </c>
      <c r="D7">
        <v>71</v>
      </c>
      <c r="F7" t="s">
        <v>269</v>
      </c>
      <c r="G7">
        <f>D7</f>
        <v>71</v>
      </c>
      <c r="R7" s="70">
        <v>0.19</v>
      </c>
      <c r="S7" s="72">
        <v>0.875</v>
      </c>
      <c r="T7" s="72"/>
      <c r="U7" s="78"/>
    </row>
    <row r="8" spans="3:21" x14ac:dyDescent="0.35">
      <c r="C8" t="s">
        <v>180</v>
      </c>
      <c r="D8">
        <v>25</v>
      </c>
      <c r="F8" t="s">
        <v>140</v>
      </c>
      <c r="G8">
        <f>D8</f>
        <v>25</v>
      </c>
      <c r="R8" s="70"/>
      <c r="S8" s="72">
        <v>0.9</v>
      </c>
      <c r="T8" s="72"/>
      <c r="U8" s="77" t="s">
        <v>214</v>
      </c>
    </row>
    <row r="9" spans="3:21" x14ac:dyDescent="0.35">
      <c r="C9" t="s">
        <v>181</v>
      </c>
      <c r="D9">
        <v>3</v>
      </c>
      <c r="F9" t="s">
        <v>265</v>
      </c>
      <c r="G9">
        <f>D9</f>
        <v>3</v>
      </c>
      <c r="R9" s="70">
        <v>0.19500000000000001</v>
      </c>
      <c r="S9" s="72">
        <v>0.875</v>
      </c>
      <c r="T9" s="72"/>
      <c r="U9" s="77" t="s">
        <v>215</v>
      </c>
    </row>
    <row r="10" spans="3:21" x14ac:dyDescent="0.35">
      <c r="F10" t="s">
        <v>4</v>
      </c>
      <c r="G10">
        <f>D11</f>
        <v>36.299999999999997</v>
      </c>
      <c r="R10" s="70"/>
      <c r="S10" s="72">
        <v>0.9</v>
      </c>
      <c r="T10" s="72"/>
      <c r="U10" s="77" t="s">
        <v>216</v>
      </c>
    </row>
    <row r="11" spans="3:21" x14ac:dyDescent="0.35">
      <c r="C11" t="s">
        <v>4</v>
      </c>
      <c r="D11">
        <f>SUM(D13:D21)</f>
        <v>36.299999999999997</v>
      </c>
      <c r="E11" t="s">
        <v>206</v>
      </c>
      <c r="F11" t="s">
        <v>266</v>
      </c>
      <c r="G11">
        <v>25</v>
      </c>
      <c r="R11" s="70">
        <v>0.4</v>
      </c>
      <c r="S11" s="72"/>
      <c r="T11" s="72">
        <v>0.8</v>
      </c>
      <c r="U11" s="87" t="s">
        <v>229</v>
      </c>
    </row>
    <row r="12" spans="3:21" x14ac:dyDescent="0.35">
      <c r="G12">
        <f>SUM(G7:G11)</f>
        <v>160.30000000000001</v>
      </c>
      <c r="R12" s="70"/>
      <c r="S12" s="72"/>
      <c r="T12" s="72">
        <v>0.78749999999999998</v>
      </c>
      <c r="U12" s="87" t="s">
        <v>230</v>
      </c>
    </row>
    <row r="13" spans="3:21" x14ac:dyDescent="0.35">
      <c r="C13" t="s">
        <v>182</v>
      </c>
      <c r="D13">
        <v>19</v>
      </c>
      <c r="E13" s="52">
        <v>0.75</v>
      </c>
      <c r="R13" s="70"/>
      <c r="S13" s="72">
        <v>0.7</v>
      </c>
      <c r="T13" s="72"/>
      <c r="U13" s="65" t="s">
        <v>238</v>
      </c>
    </row>
    <row r="14" spans="3:21" x14ac:dyDescent="0.35">
      <c r="C14" t="s">
        <v>58</v>
      </c>
      <c r="D14">
        <v>1</v>
      </c>
      <c r="E14" s="52">
        <v>0</v>
      </c>
      <c r="R14" s="70">
        <v>0.21</v>
      </c>
      <c r="S14" s="72">
        <v>0.77</v>
      </c>
      <c r="T14" s="72"/>
      <c r="U14" s="65" t="s">
        <v>213</v>
      </c>
    </row>
    <row r="15" spans="3:21" x14ac:dyDescent="0.35">
      <c r="C15" t="s">
        <v>183</v>
      </c>
      <c r="E15" s="52"/>
      <c r="R15" s="70">
        <v>0.4</v>
      </c>
      <c r="S15" s="72">
        <v>0.9</v>
      </c>
      <c r="T15" s="72"/>
      <c r="U15" s="65" t="s">
        <v>239</v>
      </c>
    </row>
    <row r="16" spans="3:21" x14ac:dyDescent="0.35">
      <c r="C16" t="s">
        <v>184</v>
      </c>
      <c r="D16">
        <v>7.5</v>
      </c>
      <c r="E16" s="52">
        <v>0.75</v>
      </c>
      <c r="R16" s="70">
        <v>0.19</v>
      </c>
      <c r="S16" s="72">
        <v>0.875</v>
      </c>
      <c r="T16" s="72"/>
      <c r="U16" s="65" t="s">
        <v>240</v>
      </c>
    </row>
    <row r="17" spans="2:21" x14ac:dyDescent="0.35">
      <c r="C17" t="s">
        <v>185</v>
      </c>
      <c r="D17">
        <v>1.5</v>
      </c>
      <c r="E17" s="52">
        <v>0</v>
      </c>
      <c r="R17" s="70">
        <v>0.2</v>
      </c>
      <c r="S17" s="72">
        <v>0.75</v>
      </c>
      <c r="T17" s="72"/>
      <c r="U17" s="65" t="s">
        <v>241</v>
      </c>
    </row>
    <row r="18" spans="2:21" x14ac:dyDescent="0.35">
      <c r="C18" t="s">
        <v>186</v>
      </c>
      <c r="D18">
        <v>1.9</v>
      </c>
      <c r="E18" s="52">
        <v>0</v>
      </c>
      <c r="R18" s="70">
        <v>0.21</v>
      </c>
      <c r="S18" s="72">
        <v>0.76</v>
      </c>
      <c r="T18" s="72"/>
      <c r="U18" s="65" t="s">
        <v>242</v>
      </c>
    </row>
    <row r="19" spans="2:21" x14ac:dyDescent="0.35">
      <c r="C19" t="s">
        <v>34</v>
      </c>
      <c r="D19">
        <v>2</v>
      </c>
      <c r="E19" s="52">
        <v>0</v>
      </c>
      <c r="R19" s="71">
        <v>0.19</v>
      </c>
      <c r="S19" s="73"/>
      <c r="T19" s="73"/>
      <c r="U19" s="65" t="s">
        <v>243</v>
      </c>
    </row>
    <row r="20" spans="2:21" x14ac:dyDescent="0.35">
      <c r="C20" t="s">
        <v>187</v>
      </c>
      <c r="D20">
        <v>0.4</v>
      </c>
      <c r="E20" s="52">
        <v>0.25</v>
      </c>
      <c r="R20" s="79">
        <f>IFERROR(AVERAGE(R4:R19),"")</f>
        <v>0.23208333333333334</v>
      </c>
      <c r="S20" s="79">
        <f>IFERROR(AVERAGE(S4:S19),"")</f>
        <v>0.85000000000000009</v>
      </c>
      <c r="T20" s="79">
        <f>IFERROR(AVERAGE(T4:T19),"")</f>
        <v>0.79374999999999996</v>
      </c>
    </row>
    <row r="21" spans="2:21" x14ac:dyDescent="0.35">
      <c r="C21" t="s">
        <v>264</v>
      </c>
      <c r="D21">
        <v>3</v>
      </c>
      <c r="E21" s="52">
        <v>0.75</v>
      </c>
      <c r="R21" s="80" t="s">
        <v>217</v>
      </c>
      <c r="S21" s="75">
        <f>IFERROR(IF(ISBLANK(S20),"",S20/$R$20),"")</f>
        <v>3.6624775583482947</v>
      </c>
      <c r="T21" s="75">
        <f>IFERROR(IF(ISBLANK(T20),"",T20/$R$20),"")</f>
        <v>3.4201077199281866</v>
      </c>
      <c r="U21" s="67"/>
    </row>
    <row r="22" spans="2:21" x14ac:dyDescent="0.35">
      <c r="E22" s="52"/>
      <c r="R22" s="164"/>
      <c r="S22" s="165"/>
      <c r="T22" s="165"/>
      <c r="U22" s="67"/>
    </row>
    <row r="23" spans="2:21" x14ac:dyDescent="0.35">
      <c r="B23" s="4" t="s">
        <v>277</v>
      </c>
      <c r="R23" s="64"/>
      <c r="S23" s="64"/>
      <c r="T23" s="64"/>
      <c r="U23" s="66"/>
    </row>
    <row r="24" spans="2:21" ht="36" x14ac:dyDescent="0.35">
      <c r="C24" s="50" t="s">
        <v>190</v>
      </c>
      <c r="D24" s="50" t="s">
        <v>270</v>
      </c>
      <c r="E24" s="50" t="s">
        <v>189</v>
      </c>
      <c r="F24" s="50" t="s">
        <v>271</v>
      </c>
      <c r="G24" s="51" t="s">
        <v>272</v>
      </c>
      <c r="H24" s="50" t="s">
        <v>191</v>
      </c>
      <c r="I24" s="50" t="s">
        <v>194</v>
      </c>
      <c r="J24" s="50" t="s">
        <v>192</v>
      </c>
      <c r="K24" s="50" t="s">
        <v>193</v>
      </c>
      <c r="L24" s="50" t="s">
        <v>196</v>
      </c>
      <c r="M24" s="51" t="s">
        <v>195</v>
      </c>
      <c r="Q24" s="183" t="s">
        <v>228</v>
      </c>
      <c r="R24" s="184"/>
      <c r="S24" s="184"/>
      <c r="T24" s="184"/>
      <c r="U24" s="185"/>
    </row>
    <row r="25" spans="2:21" x14ac:dyDescent="0.35">
      <c r="B25" t="s">
        <v>50</v>
      </c>
      <c r="D25" s="1">
        <v>6300</v>
      </c>
      <c r="Q25" s="81" t="s">
        <v>52</v>
      </c>
      <c r="R25" s="82" t="s">
        <v>221</v>
      </c>
      <c r="S25" s="82" t="s">
        <v>219</v>
      </c>
      <c r="T25" s="82" t="s">
        <v>221</v>
      </c>
      <c r="U25" s="81" t="s">
        <v>208</v>
      </c>
    </row>
    <row r="26" spans="2:21" x14ac:dyDescent="0.35">
      <c r="B26" t="s">
        <v>128</v>
      </c>
      <c r="C26" s="52">
        <v>0.6</v>
      </c>
      <c r="D26">
        <f>D25*C26</f>
        <v>3780</v>
      </c>
      <c r="E26" s="143">
        <f>SUMPRODUCT(D13:D21,E13:E21)</f>
        <v>22.225000000000001</v>
      </c>
      <c r="F26" s="6">
        <f>E26/D26*1000</f>
        <v>5.8796296296296298</v>
      </c>
      <c r="G26" s="1">
        <v>2.68</v>
      </c>
      <c r="H26" s="6">
        <f>F26/G26/0.85</f>
        <v>2.5810490033492668</v>
      </c>
      <c r="I26" s="1">
        <v>35</v>
      </c>
      <c r="J26" s="6">
        <f>I26/2.82</f>
        <v>12.411347517730498</v>
      </c>
      <c r="K26" s="7">
        <f>J26*H26*1000</f>
        <v>32034.296140859697</v>
      </c>
      <c r="L26" s="49">
        <f>H26*38</f>
        <v>98.079862127272136</v>
      </c>
      <c r="M26" s="49">
        <f>L26*0.277</f>
        <v>27.168121809254384</v>
      </c>
      <c r="O26">
        <f>M26/H26</f>
        <v>10.526</v>
      </c>
      <c r="Q26" s="83"/>
      <c r="R26" s="74"/>
      <c r="S26" s="74">
        <v>193</v>
      </c>
      <c r="T26" s="74">
        <v>300</v>
      </c>
      <c r="U26" s="92" t="s">
        <v>220</v>
      </c>
    </row>
    <row r="27" spans="2:21" x14ac:dyDescent="0.35">
      <c r="B27" t="s">
        <v>188</v>
      </c>
      <c r="C27" s="52">
        <v>0.4</v>
      </c>
      <c r="D27">
        <f>D25-D26</f>
        <v>2520</v>
      </c>
      <c r="E27" s="143">
        <f>D11-E26</f>
        <v>14.074999999999996</v>
      </c>
      <c r="F27" s="6">
        <f>E27/D27*1000</f>
        <v>5.5853174603174587</v>
      </c>
      <c r="G27" s="1">
        <v>2.68</v>
      </c>
      <c r="H27" s="6">
        <f>F27/G27/0.85</f>
        <v>2.4518513873210965</v>
      </c>
      <c r="I27" s="1">
        <v>7</v>
      </c>
      <c r="J27" s="6">
        <f>I27/2.82</f>
        <v>2.4822695035460995</v>
      </c>
      <c r="K27" s="7">
        <f>J27*H27*1000</f>
        <v>6086.1559259743535</v>
      </c>
      <c r="L27" s="49">
        <f>H27*38</f>
        <v>93.17035271820167</v>
      </c>
      <c r="M27" s="49">
        <f>L27*0.277</f>
        <v>25.808187702941865</v>
      </c>
      <c r="O27">
        <f>M27/H27</f>
        <v>10.526000000000002</v>
      </c>
      <c r="Q27" s="83"/>
      <c r="R27" s="74"/>
      <c r="S27" s="74">
        <f>(480/T27)*100</f>
        <v>120</v>
      </c>
      <c r="T27" s="74">
        <v>400</v>
      </c>
      <c r="U27" s="92" t="s">
        <v>222</v>
      </c>
    </row>
    <row r="28" spans="2:21" ht="43" x14ac:dyDescent="0.35">
      <c r="H28" t="s">
        <v>197</v>
      </c>
      <c r="J28" s="62" t="s">
        <v>200</v>
      </c>
      <c r="L28" s="63" t="s">
        <v>201</v>
      </c>
      <c r="Q28" s="84"/>
      <c r="R28" s="85"/>
      <c r="S28" s="85">
        <v>83</v>
      </c>
      <c r="T28" s="85">
        <v>100</v>
      </c>
      <c r="U28" s="92" t="s">
        <v>223</v>
      </c>
    </row>
    <row r="29" spans="2:21" x14ac:dyDescent="0.35">
      <c r="B29" s="4" t="s">
        <v>276</v>
      </c>
      <c r="Q29" s="84"/>
      <c r="R29" s="85"/>
      <c r="S29" s="85">
        <v>120</v>
      </c>
      <c r="T29" s="85">
        <v>400</v>
      </c>
      <c r="U29" s="87" t="s">
        <v>233</v>
      </c>
    </row>
    <row r="30" spans="2:21" x14ac:dyDescent="0.35">
      <c r="Q30" s="84"/>
      <c r="R30" s="85"/>
      <c r="S30" s="90">
        <v>81.25</v>
      </c>
      <c r="T30" s="85"/>
      <c r="U30" s="87" t="s">
        <v>236</v>
      </c>
    </row>
    <row r="31" spans="2:21" x14ac:dyDescent="0.35">
      <c r="C31" t="s">
        <v>227</v>
      </c>
      <c r="D31" t="s">
        <v>234</v>
      </c>
      <c r="E31" t="s">
        <v>273</v>
      </c>
      <c r="F31" t="s">
        <v>274</v>
      </c>
      <c r="G31" t="s">
        <v>275</v>
      </c>
      <c r="H31" t="s">
        <v>235</v>
      </c>
      <c r="Q31" s="84"/>
      <c r="R31" s="85"/>
      <c r="S31" s="90">
        <v>105</v>
      </c>
      <c r="T31" s="85">
        <v>420</v>
      </c>
      <c r="U31" s="87" t="s">
        <v>237</v>
      </c>
    </row>
    <row r="32" spans="2:21" x14ac:dyDescent="0.35">
      <c r="B32" t="s">
        <v>128</v>
      </c>
      <c r="C32" s="31">
        <f>K26</f>
        <v>32034.296140859697</v>
      </c>
      <c r="D32" s="31">
        <f>(R44/Q44)*100</f>
        <v>427.00156985871268</v>
      </c>
      <c r="E32" s="31">
        <f>C32/D32</f>
        <v>75.021495006351572</v>
      </c>
      <c r="F32" s="31">
        <f>R44</f>
        <v>85</v>
      </c>
      <c r="G32" s="7">
        <f>F32*E32</f>
        <v>6376.8270755398835</v>
      </c>
      <c r="H32" s="130">
        <f>G32/1000</f>
        <v>6.3768270755398833</v>
      </c>
      <c r="Q32" s="84">
        <v>19</v>
      </c>
      <c r="R32" s="90">
        <v>60</v>
      </c>
      <c r="S32" s="85"/>
      <c r="T32" s="85"/>
      <c r="U32" s="92" t="s">
        <v>224</v>
      </c>
    </row>
    <row r="33" spans="2:21" x14ac:dyDescent="0.35">
      <c r="B33" t="s">
        <v>188</v>
      </c>
      <c r="C33" s="31">
        <f>K27</f>
        <v>6086.1559259743535</v>
      </c>
      <c r="D33" s="31">
        <f>(T44/S44)*100</f>
        <v>276.8244927020292</v>
      </c>
      <c r="E33" s="31">
        <f>C33/D33</f>
        <v>21.985612134853341</v>
      </c>
      <c r="F33" s="31">
        <f>T44</f>
        <v>324</v>
      </c>
      <c r="G33" s="7">
        <f>F33*E33</f>
        <v>7123.3383316924828</v>
      </c>
      <c r="H33" s="130">
        <f>G33/1000</f>
        <v>7.1233383316924828</v>
      </c>
      <c r="Q33" s="89">
        <v>16.875</v>
      </c>
      <c r="R33" s="90"/>
      <c r="S33" s="85"/>
      <c r="T33" s="85"/>
      <c r="U33" s="92" t="s">
        <v>225</v>
      </c>
    </row>
    <row r="34" spans="2:21" x14ac:dyDescent="0.35">
      <c r="H34" s="93"/>
      <c r="Q34" s="89">
        <v>20</v>
      </c>
      <c r="R34" s="90">
        <v>70</v>
      </c>
      <c r="S34" s="85"/>
      <c r="T34" s="85"/>
      <c r="U34" s="77" t="s">
        <v>226</v>
      </c>
    </row>
    <row r="35" spans="2:21" x14ac:dyDescent="0.35">
      <c r="D35" s="31"/>
      <c r="Q35" s="89">
        <v>21</v>
      </c>
      <c r="R35" s="90">
        <v>75</v>
      </c>
      <c r="S35" s="85"/>
      <c r="T35" s="85"/>
      <c r="U35" s="77" t="s">
        <v>226</v>
      </c>
    </row>
    <row r="36" spans="2:21" x14ac:dyDescent="0.35">
      <c r="C36" s="31"/>
      <c r="D36" s="31"/>
      <c r="E36" s="31"/>
      <c r="Q36" s="89">
        <v>21</v>
      </c>
      <c r="R36" s="90">
        <v>90</v>
      </c>
      <c r="S36" s="85"/>
      <c r="T36" s="85"/>
      <c r="U36" s="77" t="s">
        <v>226</v>
      </c>
    </row>
    <row r="37" spans="2:21" x14ac:dyDescent="0.35">
      <c r="C37" s="31"/>
      <c r="D37" s="31"/>
      <c r="E37" s="31"/>
      <c r="F37" s="94"/>
      <c r="Q37" s="89">
        <v>21</v>
      </c>
      <c r="R37" s="90">
        <v>100</v>
      </c>
      <c r="S37" s="85"/>
      <c r="T37" s="85"/>
      <c r="U37" s="77" t="s">
        <v>226</v>
      </c>
    </row>
    <row r="38" spans="2:21" x14ac:dyDescent="0.35">
      <c r="Q38" s="89">
        <v>21</v>
      </c>
      <c r="R38" s="90">
        <v>100</v>
      </c>
      <c r="S38" s="85"/>
      <c r="T38" s="85"/>
      <c r="U38" s="77" t="s">
        <v>226</v>
      </c>
    </row>
    <row r="39" spans="2:21" x14ac:dyDescent="0.35">
      <c r="Q39" s="89">
        <v>20.8</v>
      </c>
      <c r="R39" s="90">
        <v>75</v>
      </c>
      <c r="S39" s="85"/>
      <c r="T39" s="85"/>
      <c r="U39" s="77" t="s">
        <v>226</v>
      </c>
    </row>
    <row r="40" spans="2:21" x14ac:dyDescent="0.35">
      <c r="Q40" s="89">
        <v>20.8</v>
      </c>
      <c r="R40" s="90">
        <v>90</v>
      </c>
      <c r="S40" s="85"/>
      <c r="T40" s="85"/>
      <c r="U40" s="77" t="s">
        <v>226</v>
      </c>
    </row>
    <row r="41" spans="2:21" x14ac:dyDescent="0.35">
      <c r="Q41" s="89">
        <v>20.8</v>
      </c>
      <c r="R41" s="90">
        <v>100</v>
      </c>
      <c r="S41" s="85"/>
      <c r="T41" s="85"/>
      <c r="U41" s="77" t="s">
        <v>226</v>
      </c>
    </row>
    <row r="42" spans="2:21" x14ac:dyDescent="0.35">
      <c r="Q42" s="89">
        <v>22.6</v>
      </c>
      <c r="R42" s="90">
        <v>100</v>
      </c>
      <c r="S42" s="85"/>
      <c r="T42" s="85"/>
      <c r="U42" s="77" t="s">
        <v>226</v>
      </c>
    </row>
    <row r="43" spans="2:21" x14ac:dyDescent="0.35">
      <c r="Q43" s="127">
        <v>14</v>
      </c>
      <c r="R43" s="128">
        <v>75</v>
      </c>
      <c r="S43" s="86"/>
      <c r="T43" s="86"/>
      <c r="U43" s="91" t="s">
        <v>226</v>
      </c>
    </row>
    <row r="44" spans="2:21" x14ac:dyDescent="0.35">
      <c r="Q44" s="88">
        <f>IFERROR(AVERAGE(Q26:Q43),"")</f>
        <v>19.906250000000004</v>
      </c>
      <c r="R44" s="88">
        <f>IFERROR(AVERAGE(R26:R43),"")</f>
        <v>85</v>
      </c>
      <c r="S44" s="88">
        <f>IFERROR(AVERAGE(S26:S43),"")</f>
        <v>117.04166666666667</v>
      </c>
      <c r="T44" s="88">
        <f>IFERROR(AVERAGE(T26:T43),"")</f>
        <v>324</v>
      </c>
    </row>
    <row r="45" spans="2:21" x14ac:dyDescent="0.35">
      <c r="J45" s="31"/>
      <c r="K45" s="31"/>
    </row>
  </sheetData>
  <mergeCells count="2">
    <mergeCell ref="R2:U2"/>
    <mergeCell ref="Q24:U24"/>
  </mergeCells>
  <hyperlinks>
    <hyperlink ref="U4" r:id="rId1" display="https://www.vanarama.com/guides/cars/electric-cars-vs-petrol-diesel-hybrid" xr:uid="{1F40A3A3-92B5-4E49-9DAB-5D16C5291A08}"/>
    <hyperlink ref="U5" r:id="rId2" display="https://interestingengineering.com/transportation/diesel-engine-vs-ev-which-is-better" xr:uid="{5443995A-0A81-46C3-BDD5-2308B7966520}"/>
    <hyperlink ref="U6" r:id="rId3" display="https://core.ac.uk/download/pdf/55627041.pdf" xr:uid="{2EDF26EB-5209-4915-86E1-BFA45E5F385D}"/>
    <hyperlink ref="U8" r:id="rId4" display="https://www.autocar.co.uk/car-news/move-electric/how-efficient-are-electric-cars" xr:uid="{61509442-D06C-4B06-917A-32A71FE8285D}"/>
    <hyperlink ref="U9" r:id="rId5" display="https://www.energycouncil.com.au/analysis/evs-are-they-really-more-efficient/" xr:uid="{FB9442CC-F4BB-4464-9274-F83F2C094437}"/>
    <hyperlink ref="U10" r:id="rId6" display="https://www.renaultgroup.com/en/news-on-air/news/the-energy-efficiency-of-an-electric-car-motor/" xr:uid="{F7FB10A9-77EC-4799-B11B-F5D46AB4986E}"/>
    <hyperlink ref="U27" r:id="rId7" display="https://www.ampcontrol.io/post/a-case-study-how-to-charge-100-electric-buses" xr:uid="{E05E78FA-B77E-4DD4-B66E-67A232508237}"/>
    <hyperlink ref="U26" r:id="rId8" location=":~:text=Power%20consumption%20on%20buses%20with,2.35%20on%20electrically%20heated%20ones." display="https://www.sustainable-bus.com/news/electric-bus-range-electricity-consumption/ - :~:text=Power%20consumption%20on%20buses%20with,2.35%20on%20electrically%20heated%20ones." xr:uid="{915DF7D4-28C8-4A8B-9280-B345D50DA021}"/>
    <hyperlink ref="U28" r:id="rId9" display="https://cleantechnica.com/2022/02/02/school-bus-electrification-charging-qa/" xr:uid="{A320D962-4517-4ED9-8307-6294761A56E5}"/>
    <hyperlink ref="U32" r:id="rId10" display="https://pod-point.com/guides/driver/cost-of-charging-electric-car" xr:uid="{23430B5C-9AEB-4DFE-8C81-5A002145BEEB}"/>
    <hyperlink ref="U33" r:id="rId11" display="https://afdc.energy.gov/fuels/electricity_charging_home.html" xr:uid="{1E41B1BE-FE9D-4C89-8C77-078BD6AF131F}"/>
    <hyperlink ref="U34:U43" r:id="rId12" display="https://www.mobilityhouse.com/int_en/knowledge-center/charging-time-summary" xr:uid="{7408865A-BB73-4243-8C3A-58D896AD48DF}"/>
    <hyperlink ref="U11" r:id="rId13" display="https://core.ac.uk/download/pdf/222875995.pdf" xr:uid="{826DF531-8841-453E-BC4E-6821E33E1076}"/>
    <hyperlink ref="U12" r:id="rId14" display="https://iopscience.iop.org/article/10.1088/1755-1315/105/1/012041/pdf" xr:uid="{9B1D18CB-1EAF-489E-AC72-F66220549DC6}"/>
    <hyperlink ref="U29" r:id="rId15" display="https://milence.com/story/truck-charging-101/" xr:uid="{23BC855D-76BF-47B7-B68B-61E4B8F70DF5}"/>
    <hyperlink ref="U30" r:id="rId16" display="https://www.truckinginfo.com/10166691/what-fleets-need-to-know-about-electric-truck-batteries" xr:uid="{7A7C69AE-FB84-4E4D-A56F-A3433B05360C}"/>
    <hyperlink ref="U31" r:id="rId17" display="https://www.topgear.com/car-news/electric/electric-truck-needs-420kwh-battery-do-250-miles" xr:uid="{8CC39424-7D6D-48DC-8757-95910BC9D9A7}"/>
    <hyperlink ref="U13" r:id="rId18" location=":~:text=An%20EV%20directly%20converts%20electricity,moment%20you%20turn%20it%20on%3F" display="https://www.edfenergy.com/energywise/why-EVs-are-efficient - :~:text=An%20EV%20directly%20converts%20electricity,moment%20you%20turn%20it%20on%3F" xr:uid="{168C2E8B-12C9-4CBF-8F29-7B178F7FFAE7}"/>
    <hyperlink ref="U14" r:id="rId19" display="https://octopusev.com/ev-hub/our-guide-to-electric-car-efficiency" xr:uid="{3C1FF755-5DC8-43A4-A68A-37EAB2EA9640}"/>
    <hyperlink ref="U15" r:id="rId20" display="https://www.moveelectric.com/e-cars/how-efficient-are-electric-cars" xr:uid="{D9491E06-926B-4807-BA59-73F6340412FA}"/>
    <hyperlink ref="U16" r:id="rId21" display="https://cleantechnica.com/2018/03/10/electric-car-myth-buster-efficiency/" xr:uid="{9DD43B77-746D-465F-8132-7E33CE9F5800}"/>
    <hyperlink ref="U17" r:id="rId22" display="https://www.motortrend.com/news/evs-more-efficient-than-internal-combustion-engines/" xr:uid="{89FE6804-4B83-4856-BE7E-2EB8B5ABF132}"/>
    <hyperlink ref="U18" r:id="rId23" display="https://cleanchargenetwork.com/efficiency-how-evs-use-fuel-better/" xr:uid="{868F1A0B-D95D-4FCC-A4D4-4CFC888596A9}"/>
    <hyperlink ref="U19" r:id="rId24" display="https://www.energysage.com/electric-vehicles/101/pros-and-cons-electric-cars/" xr:uid="{488EBE99-07E5-4E85-AB13-5B84E86F49D0}"/>
  </hyperlinks>
  <pageMargins left="0.7" right="0.7" top="0.75" bottom="0.75" header="0.3" footer="0.3"/>
  <pageSetup paperSize="9" orientation="portrait" r:id="rId25"/>
  <drawing r:id="rId2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DDFF3-BB39-44EB-BF24-0C88B85775EF}">
  <sheetPr codeName="Sheet2"/>
  <dimension ref="A2:M777"/>
  <sheetViews>
    <sheetView topLeftCell="A58" zoomScale="111" zoomScaleNormal="111" workbookViewId="0">
      <selection activeCell="J699" sqref="J699:K699"/>
    </sheetView>
  </sheetViews>
  <sheetFormatPr defaultRowHeight="14.5" x14ac:dyDescent="0.35"/>
  <cols>
    <col min="2" max="2" width="32.1796875" customWidth="1"/>
    <col min="3" max="3" width="9" customWidth="1"/>
    <col min="4" max="4" width="8.81640625" bestFit="1" customWidth="1"/>
    <col min="5" max="5" width="9.1796875" bestFit="1" customWidth="1"/>
    <col min="6" max="8" width="10.1796875" bestFit="1" customWidth="1"/>
  </cols>
  <sheetData>
    <row r="2" spans="2:10" x14ac:dyDescent="0.35">
      <c r="C2" t="s">
        <v>0</v>
      </c>
      <c r="D2" s="37">
        <v>2020</v>
      </c>
      <c r="E2" s="37">
        <v>2025</v>
      </c>
      <c r="F2" s="37">
        <v>2030</v>
      </c>
      <c r="G2" s="37">
        <v>2035</v>
      </c>
      <c r="H2" s="37">
        <v>2040</v>
      </c>
    </row>
    <row r="3" spans="2:10" x14ac:dyDescent="0.35">
      <c r="B3" s="4" t="s">
        <v>1</v>
      </c>
      <c r="C3" t="s">
        <v>81</v>
      </c>
      <c r="D3" s="1">
        <v>100</v>
      </c>
      <c r="E3" s="1">
        <v>105</v>
      </c>
      <c r="F3" s="1">
        <v>110</v>
      </c>
      <c r="G3" s="1">
        <v>115</v>
      </c>
      <c r="H3" s="1">
        <v>120</v>
      </c>
      <c r="I3" s="24" t="s">
        <v>93</v>
      </c>
    </row>
    <row r="4" spans="2:10" x14ac:dyDescent="0.35">
      <c r="B4" t="s">
        <v>2</v>
      </c>
      <c r="C4" t="s">
        <v>3</v>
      </c>
      <c r="D4" s="2">
        <f>SUM(D5:D6)</f>
        <v>1120</v>
      </c>
      <c r="E4" s="2">
        <f>SUM(E5:E6)</f>
        <v>1176</v>
      </c>
      <c r="F4" s="2">
        <f>SUM(F5:F6)</f>
        <v>1232</v>
      </c>
      <c r="G4" s="2">
        <f>SUM(G5:G6)</f>
        <v>1288</v>
      </c>
      <c r="H4" s="2">
        <f>SUM(H5:H6)</f>
        <v>1344</v>
      </c>
    </row>
    <row r="5" spans="2:10" x14ac:dyDescent="0.35">
      <c r="B5" t="s">
        <v>4</v>
      </c>
      <c r="C5" t="s">
        <v>3</v>
      </c>
      <c r="D5" s="33">
        <f>D19</f>
        <v>640</v>
      </c>
      <c r="E5">
        <f>D5*(E$3/D$3)</f>
        <v>672</v>
      </c>
      <c r="F5">
        <f>E5*(F3/E3)</f>
        <v>704</v>
      </c>
      <c r="G5">
        <f>F5*(G3/F3)</f>
        <v>736</v>
      </c>
      <c r="H5">
        <f>G5*(H3/G3)</f>
        <v>768</v>
      </c>
      <c r="I5" s="24" t="s">
        <v>5</v>
      </c>
    </row>
    <row r="6" spans="2:10" x14ac:dyDescent="0.35">
      <c r="B6" t="s">
        <v>66</v>
      </c>
      <c r="C6" t="s">
        <v>3</v>
      </c>
      <c r="D6" s="33">
        <f>D20</f>
        <v>480</v>
      </c>
      <c r="E6">
        <f>D6*(E$3/D$3)</f>
        <v>504</v>
      </c>
      <c r="F6">
        <f>E6*(F$3/E$3)</f>
        <v>528</v>
      </c>
      <c r="G6">
        <f>F6*(G$3/F$3)</f>
        <v>552</v>
      </c>
      <c r="H6">
        <f>G6*(H$3/G$3)</f>
        <v>576</v>
      </c>
    </row>
    <row r="7" spans="2:10" x14ac:dyDescent="0.35">
      <c r="B7" t="s">
        <v>80</v>
      </c>
      <c r="J7" s="12">
        <f>SUM(I106:I777)</f>
        <v>51696.914272040165</v>
      </c>
    </row>
    <row r="8" spans="2:10" x14ac:dyDescent="0.35">
      <c r="B8" t="s">
        <v>4</v>
      </c>
      <c r="C8" t="s">
        <v>6</v>
      </c>
      <c r="D8" s="3">
        <v>0</v>
      </c>
      <c r="E8" s="3">
        <v>0.01</v>
      </c>
      <c r="F8" s="3">
        <v>0.02</v>
      </c>
      <c r="G8" s="3">
        <v>0.03</v>
      </c>
      <c r="H8" s="3">
        <v>0.04</v>
      </c>
      <c r="I8" s="24" t="s">
        <v>79</v>
      </c>
    </row>
    <row r="9" spans="2:10" x14ac:dyDescent="0.35">
      <c r="B9" t="s">
        <v>66</v>
      </c>
      <c r="C9" t="s">
        <v>6</v>
      </c>
      <c r="D9" s="3">
        <v>0</v>
      </c>
      <c r="E9" s="3">
        <v>0.01</v>
      </c>
      <c r="F9" s="3">
        <v>0.02</v>
      </c>
      <c r="G9" s="3">
        <v>3.5000000000000003E-2</v>
      </c>
      <c r="H9" s="3">
        <v>0.05</v>
      </c>
    </row>
    <row r="11" spans="2:10" x14ac:dyDescent="0.35">
      <c r="B11" s="4" t="s">
        <v>7</v>
      </c>
      <c r="C11" t="s">
        <v>3</v>
      </c>
      <c r="D11" s="2">
        <f>SUM(D12:D13)</f>
        <v>1120</v>
      </c>
      <c r="E11" s="2">
        <f>SUM(E12:E13)</f>
        <v>1164.24</v>
      </c>
      <c r="F11" s="2">
        <f>SUM(F12:F13)</f>
        <v>1207.3599999999999</v>
      </c>
      <c r="G11" s="2">
        <f>SUM(G12:G13)</f>
        <v>1246.5999999999999</v>
      </c>
      <c r="H11" s="2">
        <f>SUM(H12:H13)</f>
        <v>1284.48</v>
      </c>
      <c r="I11" s="2"/>
    </row>
    <row r="12" spans="2:10" x14ac:dyDescent="0.35">
      <c r="B12" t="s">
        <v>4</v>
      </c>
      <c r="C12" t="s">
        <v>3</v>
      </c>
      <c r="D12">
        <f>D31</f>
        <v>640</v>
      </c>
      <c r="E12">
        <f t="shared" ref="E12:H13" si="0">E5*(1-E8)</f>
        <v>665.28</v>
      </c>
      <c r="F12">
        <f t="shared" si="0"/>
        <v>689.92</v>
      </c>
      <c r="G12">
        <f t="shared" si="0"/>
        <v>713.92</v>
      </c>
      <c r="H12">
        <f t="shared" si="0"/>
        <v>737.28</v>
      </c>
    </row>
    <row r="13" spans="2:10" x14ac:dyDescent="0.35">
      <c r="B13" t="s">
        <v>66</v>
      </c>
      <c r="C13" t="s">
        <v>3</v>
      </c>
      <c r="D13">
        <f>D6</f>
        <v>480</v>
      </c>
      <c r="E13">
        <f t="shared" si="0"/>
        <v>498.96</v>
      </c>
      <c r="F13">
        <f t="shared" si="0"/>
        <v>517.43999999999994</v>
      </c>
      <c r="G13">
        <f t="shared" si="0"/>
        <v>532.67999999999995</v>
      </c>
      <c r="H13">
        <f t="shared" si="0"/>
        <v>547.19999999999993</v>
      </c>
    </row>
    <row r="15" spans="2:10" x14ac:dyDescent="0.35">
      <c r="B15" s="4" t="s">
        <v>28</v>
      </c>
      <c r="C15" t="s">
        <v>3</v>
      </c>
      <c r="D15">
        <f>D21</f>
        <v>1120</v>
      </c>
      <c r="E15" s="1">
        <v>1050</v>
      </c>
      <c r="F15" s="1">
        <v>950</v>
      </c>
      <c r="G15" s="1">
        <v>800</v>
      </c>
      <c r="H15" s="1">
        <v>500</v>
      </c>
      <c r="I15" t="s">
        <v>94</v>
      </c>
    </row>
    <row r="16" spans="2:10" x14ac:dyDescent="0.35">
      <c r="B16" s="4" t="s">
        <v>29</v>
      </c>
      <c r="C16" t="s">
        <v>3</v>
      </c>
      <c r="E16" s="34" t="str" cm="1">
        <f t="array" ref="E16">[1]!WB(E15-E21,"&gt;=",0)</f>
        <v>Not &gt;=</v>
      </c>
      <c r="F16" s="34" t="str" cm="1">
        <f t="array" ref="F16">[1]!WB(F15-F21,"&gt;=",0)</f>
        <v>Not &gt;=</v>
      </c>
      <c r="G16" s="34" t="str" cm="1">
        <f t="array" ref="G16">[1]!WB(G15-G21,"&gt;=",0)</f>
        <v>Not &gt;=</v>
      </c>
      <c r="H16" s="34" t="str" cm="1">
        <f t="array" ref="H16">[1]!WB(H15-H21,"&gt;=",0)</f>
        <v>Not &gt;=</v>
      </c>
    </row>
    <row r="17" spans="2:8" x14ac:dyDescent="0.35">
      <c r="B17" s="4"/>
      <c r="E17" s="22">
        <f>[1]!WBDUAL(E16,-67.5315554882552)</f>
        <v>-67.531555488255194</v>
      </c>
      <c r="F17" s="22">
        <f>[1]!WBDUAL(F16,-59.6518221650169)</f>
        <v>-59.651822165016902</v>
      </c>
      <c r="G17" s="22">
        <f>[1]!WBDUAL(G16,-62.4425610503305)</f>
        <v>-62.442561050330497</v>
      </c>
      <c r="H17" s="22">
        <f>[1]!WBDUAL(H16,-65.3261768927809)</f>
        <v>-65.326176892780893</v>
      </c>
    </row>
    <row r="18" spans="2:8" x14ac:dyDescent="0.35">
      <c r="B18" s="4" t="s">
        <v>8</v>
      </c>
    </row>
    <row r="19" spans="2:8" x14ac:dyDescent="0.35">
      <c r="B19" s="4" t="s">
        <v>4</v>
      </c>
      <c r="C19" t="s">
        <v>3</v>
      </c>
      <c r="D19">
        <f>D31</f>
        <v>640</v>
      </c>
      <c r="E19">
        <f>E31</f>
        <v>623.04000000000019</v>
      </c>
      <c r="F19">
        <f>F31</f>
        <v>626.46</v>
      </c>
      <c r="G19">
        <f>G31</f>
        <v>567.80750000000012</v>
      </c>
      <c r="H19">
        <f>H31</f>
        <v>406.63999999999993</v>
      </c>
    </row>
    <row r="20" spans="2:8" x14ac:dyDescent="0.35">
      <c r="B20" s="4" t="s">
        <v>66</v>
      </c>
      <c r="C20" t="s">
        <v>3</v>
      </c>
      <c r="D20">
        <f>D454</f>
        <v>480</v>
      </c>
      <c r="E20">
        <f>E454</f>
        <v>436.96</v>
      </c>
      <c r="F20">
        <f>F454</f>
        <v>343.53999999999996</v>
      </c>
      <c r="G20">
        <f>G454</f>
        <v>282.19249999999994</v>
      </c>
      <c r="H20">
        <f>H454</f>
        <v>173.35999999999996</v>
      </c>
    </row>
    <row r="21" spans="2:8" x14ac:dyDescent="0.35">
      <c r="B21" s="4" t="s">
        <v>50</v>
      </c>
      <c r="C21" t="s">
        <v>3</v>
      </c>
      <c r="D21">
        <f>SUM(D19:D20)</f>
        <v>1120</v>
      </c>
      <c r="E21">
        <f>SUM(E19:E20)</f>
        <v>1060.0000000000002</v>
      </c>
      <c r="F21">
        <f>SUM(F19:F20)</f>
        <v>970</v>
      </c>
      <c r="G21">
        <f>SUM(G19:G20)</f>
        <v>850</v>
      </c>
      <c r="H21">
        <f>SUM(H19:H20)</f>
        <v>579.99999999999989</v>
      </c>
    </row>
    <row r="22" spans="2:8" x14ac:dyDescent="0.35">
      <c r="B22" s="4"/>
    </row>
    <row r="23" spans="2:8" x14ac:dyDescent="0.35">
      <c r="B23" s="4" t="s">
        <v>85</v>
      </c>
      <c r="C23" t="s">
        <v>89</v>
      </c>
      <c r="D23">
        <f>D25*D26*0.001</f>
        <v>0</v>
      </c>
      <c r="E23">
        <f>E25*E26*0.001</f>
        <v>11.635199999999871</v>
      </c>
      <c r="F23">
        <f>F25*F26*0.001</f>
        <v>32.322399999999952</v>
      </c>
      <c r="G23">
        <f>G25*G26*0.001</f>
        <v>72.444999999999936</v>
      </c>
      <c r="H23">
        <f>H25*H26*0.001</f>
        <v>153.99745272906753</v>
      </c>
    </row>
    <row r="24" spans="2:8" x14ac:dyDescent="0.35">
      <c r="B24" s="23" t="s">
        <v>84</v>
      </c>
      <c r="D24" s="1">
        <v>0.4</v>
      </c>
      <c r="E24" s="1">
        <v>0.4</v>
      </c>
      <c r="F24" s="1">
        <v>0.4</v>
      </c>
      <c r="G24" s="1">
        <v>0.4</v>
      </c>
      <c r="H24" s="1">
        <v>0.4</v>
      </c>
    </row>
    <row r="25" spans="2:8" x14ac:dyDescent="0.35">
      <c r="B25" s="23" t="s">
        <v>86</v>
      </c>
      <c r="C25" t="s">
        <v>3</v>
      </c>
      <c r="D25">
        <f>SUM(D59,D108,D157,D206,D256,D305,D354,D403,D729)*D24</f>
        <v>0</v>
      </c>
      <c r="E25">
        <f>SUM(E59,E108,E157,E206,E256,E305,E354,E403,E729)*E24</f>
        <v>9.6959999999998931</v>
      </c>
      <c r="F25">
        <f>SUM(F59,F108,F157,F206,F256,F305,F354,F403,F729)*F24</f>
        <v>29.383999999999958</v>
      </c>
      <c r="G25">
        <f>SUM(G59,G108,G157,G206,G256,G305,G354,G403,G729)*G24</f>
        <v>72.444999999999936</v>
      </c>
      <c r="H25">
        <f>SUM(H59,H108,H157,H206,H256,H305,H354,H403,H729)*H24</f>
        <v>153.99745272906753</v>
      </c>
    </row>
    <row r="26" spans="2:8" x14ac:dyDescent="0.35">
      <c r="B26" s="23" t="s">
        <v>87</v>
      </c>
      <c r="C26" t="s">
        <v>88</v>
      </c>
      <c r="D26" s="1">
        <v>600</v>
      </c>
      <c r="E26" s="1">
        <v>1200</v>
      </c>
      <c r="F26" s="1">
        <v>1100</v>
      </c>
      <c r="G26" s="1">
        <v>1000</v>
      </c>
      <c r="H26" s="1">
        <v>1000</v>
      </c>
    </row>
    <row r="27" spans="2:8" x14ac:dyDescent="0.35">
      <c r="B27" s="23" t="s">
        <v>90</v>
      </c>
      <c r="C27" t="s">
        <v>91</v>
      </c>
      <c r="D27" s="1">
        <v>70</v>
      </c>
      <c r="E27" s="1">
        <v>90</v>
      </c>
      <c r="F27" s="1">
        <v>100</v>
      </c>
      <c r="G27" s="1">
        <v>110</v>
      </c>
      <c r="H27" s="1">
        <v>120</v>
      </c>
    </row>
    <row r="28" spans="2:8" x14ac:dyDescent="0.35">
      <c r="B28" s="4" t="s">
        <v>92</v>
      </c>
      <c r="C28" t="s">
        <v>89</v>
      </c>
      <c r="D28">
        <f>D25/D24*D27*0.001</f>
        <v>0</v>
      </c>
      <c r="E28">
        <f>E25/E24*E27*0.001</f>
        <v>2.181599999999976</v>
      </c>
      <c r="F28">
        <f>F25/F24*F27*0.001</f>
        <v>7.3459999999999894</v>
      </c>
      <c r="G28">
        <f>G25/G24*G27*0.001</f>
        <v>19.922374999999981</v>
      </c>
      <c r="H28">
        <f>H25/H24*H27*0.001</f>
        <v>46.199235818720254</v>
      </c>
    </row>
    <row r="29" spans="2:8" x14ac:dyDescent="0.35">
      <c r="B29" s="4"/>
    </row>
    <row r="30" spans="2:8" x14ac:dyDescent="0.35">
      <c r="B30" s="25" t="s">
        <v>4</v>
      </c>
      <c r="C30" s="26"/>
      <c r="D30" s="26">
        <f>D2</f>
        <v>2020</v>
      </c>
      <c r="E30" s="26">
        <f>E2</f>
        <v>2025</v>
      </c>
      <c r="F30" s="26">
        <f>F2</f>
        <v>2030</v>
      </c>
      <c r="G30" s="26">
        <f>G2</f>
        <v>2035</v>
      </c>
      <c r="H30" s="26">
        <f>H2</f>
        <v>2040</v>
      </c>
    </row>
    <row r="31" spans="2:8" x14ac:dyDescent="0.35">
      <c r="B31" t="s">
        <v>9</v>
      </c>
      <c r="C31" t="s">
        <v>3</v>
      </c>
      <c r="D31">
        <f>D32+D33</f>
        <v>640</v>
      </c>
      <c r="E31">
        <f>E32+E33</f>
        <v>623.04000000000019</v>
      </c>
      <c r="F31">
        <f>F32+F33</f>
        <v>626.46</v>
      </c>
      <c r="G31">
        <f>G32+G33</f>
        <v>567.80750000000012</v>
      </c>
      <c r="H31">
        <f>H32+H33</f>
        <v>406.63999999999993</v>
      </c>
    </row>
    <row r="32" spans="2:8" x14ac:dyDescent="0.35">
      <c r="B32" s="23" t="s">
        <v>35</v>
      </c>
      <c r="C32" t="s">
        <v>3</v>
      </c>
      <c r="D32">
        <f>D36+D37+D38+D39</f>
        <v>225</v>
      </c>
      <c r="E32">
        <f>E36+E37+E38+E39</f>
        <v>221.64750000000026</v>
      </c>
      <c r="F32">
        <f>F36+F37+F38+F39</f>
        <v>209.09000000000006</v>
      </c>
      <c r="G32">
        <f>G36+G37+G38+G39</f>
        <v>159.87500000000014</v>
      </c>
      <c r="H32">
        <f>H36+H37+H38+H39</f>
        <v>18.559999999999988</v>
      </c>
    </row>
    <row r="33" spans="2:8" x14ac:dyDescent="0.35">
      <c r="B33" s="23" t="s">
        <v>47</v>
      </c>
      <c r="C33" t="s">
        <v>3</v>
      </c>
      <c r="D33">
        <f>D42+D43+D44+D45</f>
        <v>415</v>
      </c>
      <c r="E33">
        <f>E42+E43+E44+E45</f>
        <v>401.39249999999993</v>
      </c>
      <c r="F33">
        <f>F42+F43+F44+F45</f>
        <v>417.36999999999995</v>
      </c>
      <c r="G33">
        <f>G42+G43+G44+G45</f>
        <v>407.93249999999995</v>
      </c>
      <c r="H33">
        <f>H42+H43+H44+H45</f>
        <v>388.07999999999993</v>
      </c>
    </row>
    <row r="35" spans="2:8" x14ac:dyDescent="0.35">
      <c r="B35" s="4" t="s">
        <v>48</v>
      </c>
      <c r="C35" t="s">
        <v>3</v>
      </c>
    </row>
    <row r="36" spans="2:8" x14ac:dyDescent="0.35">
      <c r="B36" t="s">
        <v>49</v>
      </c>
      <c r="C36" t="s">
        <v>3</v>
      </c>
      <c r="D36" s="1">
        <v>80</v>
      </c>
      <c r="E36">
        <f>($D36*(E$12/$D$12))-SUM(E60:E62)</f>
        <v>83.16</v>
      </c>
      <c r="F36">
        <f>($D36*(F$12/$D$12))-SUM(F60:F62)</f>
        <v>86.239999999999981</v>
      </c>
      <c r="G36">
        <f>($D36*(G$12/$D$12))-SUM(G60:G62)</f>
        <v>58.12750000000014</v>
      </c>
      <c r="H36">
        <f>($D36*(H$12/$D$12))-SUM(H60:H62)</f>
        <v>12.159999999999997</v>
      </c>
    </row>
    <row r="37" spans="2:8" x14ac:dyDescent="0.35">
      <c r="B37" t="s">
        <v>58</v>
      </c>
      <c r="C37" t="s">
        <v>3</v>
      </c>
      <c r="D37" s="1">
        <v>75</v>
      </c>
      <c r="E37">
        <f>($D37*(E$12/$D12))-SUM(E109:E111)</f>
        <v>65.722500000000252</v>
      </c>
      <c r="F37">
        <f>($D37*(F$12/$D$12))-SUM(F109:F111)</f>
        <v>47.390000000000093</v>
      </c>
      <c r="G37">
        <f>($D37*(G$12/$D$12))-SUM(G109:G111)</f>
        <v>23.662499999999994</v>
      </c>
      <c r="H37">
        <f>($D37*(H$12/$D$12))-SUM(H109:H111)</f>
        <v>6.3999999999999915</v>
      </c>
    </row>
    <row r="38" spans="2:8" x14ac:dyDescent="0.35">
      <c r="B38" s="23" t="s">
        <v>57</v>
      </c>
      <c r="C38" t="s">
        <v>3</v>
      </c>
      <c r="D38" s="1">
        <v>40</v>
      </c>
      <c r="E38">
        <f>($D38*(E$12/$D$12))-SUM(E158:E160)</f>
        <v>41.58</v>
      </c>
      <c r="F38">
        <f>($D38*(F$12/$D$12))-SUM(F158:F160)</f>
        <v>43.11999999999999</v>
      </c>
      <c r="G38">
        <f>($D38*(G$12/$D$12))-SUM(G158:G160)</f>
        <v>44.62</v>
      </c>
      <c r="H38">
        <f>($D38*(H$12/$D$12))-SUM(H158:H160)</f>
        <v>0</v>
      </c>
    </row>
    <row r="39" spans="2:8" x14ac:dyDescent="0.35">
      <c r="B39" s="23" t="s">
        <v>59</v>
      </c>
      <c r="C39" t="s">
        <v>3</v>
      </c>
      <c r="D39" s="1">
        <v>30</v>
      </c>
      <c r="E39">
        <f>($D39*(E$12/$D$12))-SUM(E207:E209)</f>
        <v>31.184999999999995</v>
      </c>
      <c r="F39">
        <f>($D39*(F$12/$D$12))-SUM(F207:F209)</f>
        <v>32.339999999999996</v>
      </c>
      <c r="G39">
        <f>($D39*(G$12/$D$12))-SUM(G207:G209)</f>
        <v>33.464999999999996</v>
      </c>
      <c r="H39">
        <f>($D39*(H$12/$D$12))-SUM(H207:H209)</f>
        <v>0</v>
      </c>
    </row>
    <row r="41" spans="2:8" x14ac:dyDescent="0.35">
      <c r="B41" s="4" t="s">
        <v>47</v>
      </c>
    </row>
    <row r="42" spans="2:8" x14ac:dyDescent="0.35">
      <c r="B42" t="s">
        <v>49</v>
      </c>
      <c r="C42" t="s">
        <v>3</v>
      </c>
      <c r="D42" s="1">
        <v>150</v>
      </c>
      <c r="E42">
        <f>($D42*(E$12/$D$12))-SUM(E257:E259)</f>
        <v>155.92499999999998</v>
      </c>
      <c r="F42">
        <f>($D42*(F$12/$D$12))-SUM(F257:F259)</f>
        <v>161.69999999999999</v>
      </c>
      <c r="G42">
        <f>($D42*(G$12/$D$12))-SUM(G257:G259)</f>
        <v>142.32499999999999</v>
      </c>
      <c r="H42">
        <f>($D42*(H$12/$D$12))-SUM(H257:H259)</f>
        <v>132.79999999999998</v>
      </c>
    </row>
    <row r="43" spans="2:8" x14ac:dyDescent="0.35">
      <c r="B43" t="s">
        <v>58</v>
      </c>
      <c r="C43" t="s">
        <v>3</v>
      </c>
      <c r="D43" s="1">
        <v>125</v>
      </c>
      <c r="E43">
        <f>($D43*(E$12/$D$12))-SUM(E306:E308)</f>
        <v>129.93749999999997</v>
      </c>
      <c r="F43">
        <f>($D43*(F$12/$D$12))-SUM(F306:F308)</f>
        <v>134.74999999999997</v>
      </c>
      <c r="G43">
        <f>($D43*(G$12/$D$12))-SUM(G306:G308)</f>
        <v>139.4375</v>
      </c>
      <c r="H43">
        <f>($D43*(H$12/$D$12))-SUM(H306:H308)</f>
        <v>124</v>
      </c>
    </row>
    <row r="44" spans="2:8" x14ac:dyDescent="0.35">
      <c r="B44" s="23" t="s">
        <v>57</v>
      </c>
      <c r="C44" t="s">
        <v>3</v>
      </c>
      <c r="D44" s="1">
        <v>75</v>
      </c>
      <c r="E44">
        <f>($D44*(E$12/$D$12))-SUM(E364:E366)</f>
        <v>77.962499999999991</v>
      </c>
      <c r="F44">
        <f>($D44*(F$12/$D$12))-SUM(F364:F366)</f>
        <v>80.849999999999994</v>
      </c>
      <c r="G44">
        <f>($D44*(G$12/$D$12))-SUM(G364:G366)</f>
        <v>83.662499999999994</v>
      </c>
      <c r="H44">
        <f>($D44*(H$12/$D$12))-SUM(H364:H366)</f>
        <v>86.399999999999991</v>
      </c>
    </row>
    <row r="45" spans="2:8" x14ac:dyDescent="0.35">
      <c r="B45" s="23" t="s">
        <v>59</v>
      </c>
      <c r="C45" t="s">
        <v>3</v>
      </c>
      <c r="D45" s="1">
        <v>65</v>
      </c>
      <c r="E45">
        <f>($D45*(E$12/$D$12))-SUM(E421:E423)</f>
        <v>37.567499999999995</v>
      </c>
      <c r="F45">
        <f>($D45*(F$12/$D$12))-SUM(F421:F423)</f>
        <v>40.069999999999993</v>
      </c>
      <c r="G45">
        <f>($D45*(G$12/$D$12))-SUM(G421:G423)</f>
        <v>42.507499999999993</v>
      </c>
      <c r="H45">
        <f>($D45*(H$12/$D$12))-SUM(H421:H423)</f>
        <v>44.879999999999995</v>
      </c>
    </row>
    <row r="46" spans="2:8" x14ac:dyDescent="0.35">
      <c r="B46" s="23" t="s">
        <v>51</v>
      </c>
      <c r="C46" t="s">
        <v>3</v>
      </c>
    </row>
    <row r="47" spans="2:8" x14ac:dyDescent="0.35">
      <c r="B47" s="23"/>
    </row>
    <row r="48" spans="2:8" x14ac:dyDescent="0.35">
      <c r="B48" s="23" t="s">
        <v>51</v>
      </c>
    </row>
    <row r="49" spans="2:11" x14ac:dyDescent="0.35">
      <c r="B49" t="s">
        <v>69</v>
      </c>
      <c r="D49">
        <v>0</v>
      </c>
      <c r="E49" s="32" t="str" cm="1">
        <f t="array" ref="E49">[1]!WB(E36,"&gt;=",0)</f>
        <v>&gt;=</v>
      </c>
      <c r="F49" s="32" t="str" cm="1">
        <f t="array" ref="F49">[1]!WB(F36,"&gt;=",0)</f>
        <v>&gt;=</v>
      </c>
      <c r="G49" s="32" t="str" cm="1">
        <f t="array" ref="G49">[1]!WB(G36,"&gt;=",0)</f>
        <v>&gt;=</v>
      </c>
      <c r="H49" s="32" t="str" cm="1">
        <f t="array" ref="H49">[1]!WB(H36,"&gt;=",0)</f>
        <v>&gt;=</v>
      </c>
    </row>
    <row r="50" spans="2:11" x14ac:dyDescent="0.35">
      <c r="B50" s="23" t="s">
        <v>71</v>
      </c>
      <c r="D50">
        <v>0</v>
      </c>
      <c r="E50" s="32" t="str" cm="1">
        <f t="array" ref="E50">[1]!WB(E37,"&gt;=",0)</f>
        <v>&gt;=</v>
      </c>
      <c r="F50" s="32" t="str" cm="1">
        <f t="array" ref="F50">[1]!WB(F37,"&gt;=",0)</f>
        <v>&gt;=</v>
      </c>
      <c r="G50" s="32" t="str" cm="1">
        <f t="array" ref="G50">[1]!WB(G37,"&gt;=",0)</f>
        <v>&gt;=</v>
      </c>
      <c r="H50" s="32" t="str" cm="1">
        <f t="array" ref="H50">[1]!WB(H37,"&gt;=",0)</f>
        <v>&gt;=</v>
      </c>
    </row>
    <row r="51" spans="2:11" x14ac:dyDescent="0.35">
      <c r="B51" s="23" t="s">
        <v>70</v>
      </c>
      <c r="D51">
        <v>0</v>
      </c>
      <c r="E51" s="32" t="str" cm="1">
        <f t="array" ref="E51">[1]!WB(E38,"&gt;=",0)</f>
        <v>&gt;=</v>
      </c>
      <c r="F51" s="32" t="str" cm="1">
        <f t="array" ref="F51">[1]!WB(F38,"&gt;=",0)</f>
        <v>&gt;=</v>
      </c>
      <c r="G51" s="32" t="str" cm="1">
        <f t="array" ref="G51">[1]!WB(G38,"&gt;=",0)</f>
        <v>&gt;=</v>
      </c>
      <c r="H51" s="32" t="str" cm="1">
        <f t="array" ref="H51">[1]!WB(H38,"&gt;=",0)</f>
        <v>=&gt;=</v>
      </c>
    </row>
    <row r="52" spans="2:11" x14ac:dyDescent="0.35">
      <c r="B52" s="23" t="s">
        <v>72</v>
      </c>
      <c r="D52">
        <v>0</v>
      </c>
      <c r="E52" s="32" t="str" cm="1">
        <f t="array" ref="E52">[1]!WB(E39,"&gt;=",0)</f>
        <v>&gt;=</v>
      </c>
      <c r="F52" s="32" t="str" cm="1">
        <f t="array" ref="F52">[1]!WB(F39,"&gt;=",0)</f>
        <v>&gt;=</v>
      </c>
      <c r="G52" s="32" t="str" cm="1">
        <f t="array" ref="G52">[1]!WB(G39,"&gt;=",0)</f>
        <v>&gt;=</v>
      </c>
      <c r="H52" s="32" t="str" cm="1">
        <f t="array" ref="H52">[1]!WB(H39,"&gt;=",0)</f>
        <v>=&gt;=</v>
      </c>
      <c r="K52" t="s">
        <v>77</v>
      </c>
    </row>
    <row r="53" spans="2:11" x14ac:dyDescent="0.35">
      <c r="B53" t="s">
        <v>73</v>
      </c>
      <c r="D53">
        <v>0</v>
      </c>
      <c r="E53" s="32" t="str" cm="1">
        <f t="array" ref="E53">[1]!WB(E42,"&gt;=",0)</f>
        <v>&gt;=</v>
      </c>
      <c r="F53" s="32" t="str" cm="1">
        <f t="array" ref="F53">[1]!WB(F42,"&gt;=",0)</f>
        <v>&gt;=</v>
      </c>
      <c r="G53" s="32" t="str" cm="1">
        <f t="array" ref="G53">[1]!WB(G42,"&gt;=",0)</f>
        <v>&gt;=</v>
      </c>
      <c r="H53" s="32" t="str" cm="1">
        <f t="array" ref="H53">[1]!WB(H42,"&gt;=",0)</f>
        <v>&gt;=</v>
      </c>
      <c r="K53" t="s">
        <v>78</v>
      </c>
    </row>
    <row r="54" spans="2:11" x14ac:dyDescent="0.35">
      <c r="B54" s="23" t="s">
        <v>74</v>
      </c>
      <c r="D54">
        <v>0</v>
      </c>
      <c r="E54" s="32" t="str" cm="1">
        <f t="array" ref="E54">[1]!WB(E43,"&gt;=",0)</f>
        <v>&gt;=</v>
      </c>
      <c r="F54" s="32" t="str" cm="1">
        <f t="array" ref="F54">[1]!WB(F43,"&gt;=",0)</f>
        <v>&gt;=</v>
      </c>
      <c r="G54" s="32" t="str" cm="1">
        <f t="array" ref="G54">[1]!WB(G43,"&gt;=",0)</f>
        <v>&gt;=</v>
      </c>
      <c r="H54" s="32" t="str" cm="1">
        <f t="array" ref="H54">[1]!WB(H43,"&gt;=",0)</f>
        <v>&gt;=</v>
      </c>
    </row>
    <row r="55" spans="2:11" x14ac:dyDescent="0.35">
      <c r="B55" s="23" t="s">
        <v>75</v>
      </c>
      <c r="D55">
        <v>0</v>
      </c>
      <c r="E55" s="32" t="str" cm="1">
        <f t="array" ref="E55">[1]!WB(E44,"&gt;=",0)</f>
        <v>&gt;=</v>
      </c>
      <c r="F55" s="32" t="str" cm="1">
        <f t="array" ref="F55">[1]!WB(F44,"&gt;=",0)</f>
        <v>&gt;=</v>
      </c>
      <c r="G55" s="32" t="str" cm="1">
        <f t="array" ref="G55">[1]!WB(G44,"&gt;=",0)</f>
        <v>&gt;=</v>
      </c>
      <c r="H55" s="32" t="str" cm="1">
        <f t="array" ref="H55">[1]!WB(H44,"&gt;=",0)</f>
        <v>&gt;=</v>
      </c>
    </row>
    <row r="56" spans="2:11" x14ac:dyDescent="0.35">
      <c r="B56" s="23" t="s">
        <v>76</v>
      </c>
      <c r="D56">
        <v>0</v>
      </c>
      <c r="E56" s="32" t="str" cm="1">
        <f t="array" ref="E56">[1]!WB(E45,"&gt;=",0)</f>
        <v>&gt;=</v>
      </c>
      <c r="F56" s="32" t="str" cm="1">
        <f t="array" ref="F56">[1]!WB(F45,"&gt;=",0)</f>
        <v>&gt;=</v>
      </c>
      <c r="G56" s="32" t="str" cm="1">
        <f t="array" ref="G56">[1]!WB(G45,"&gt;=",0)</f>
        <v>&gt;=</v>
      </c>
      <c r="H56" s="32" t="str" cm="1">
        <f t="array" ref="H56">[1]!WB(H45,"&gt;=",0)</f>
        <v>&gt;=</v>
      </c>
    </row>
    <row r="58" spans="2:11" x14ac:dyDescent="0.35">
      <c r="B58" s="30" t="s">
        <v>54</v>
      </c>
    </row>
    <row r="59" spans="2:11" ht="15" thickBot="1" x14ac:dyDescent="0.4">
      <c r="B59" s="4" t="s">
        <v>10</v>
      </c>
      <c r="E59">
        <f>SUM(E60:E62)</f>
        <v>0</v>
      </c>
      <c r="F59">
        <f>SUM(F60:F62)</f>
        <v>0</v>
      </c>
      <c r="G59">
        <f>SUM(G60:G62)</f>
        <v>31.112499999999855</v>
      </c>
      <c r="H59">
        <f>SUM(H60:H62)</f>
        <v>80</v>
      </c>
    </row>
    <row r="60" spans="2:11" x14ac:dyDescent="0.35">
      <c r="B60" t="s">
        <v>13</v>
      </c>
      <c r="C60" t="s">
        <v>3</v>
      </c>
      <c r="D60">
        <v>0</v>
      </c>
      <c r="E60" s="13">
        <v>0</v>
      </c>
      <c r="F60" s="14">
        <v>0</v>
      </c>
      <c r="G60" s="14">
        <v>0</v>
      </c>
      <c r="H60" s="15">
        <v>0</v>
      </c>
    </row>
    <row r="61" spans="2:11" x14ac:dyDescent="0.35">
      <c r="B61" t="s">
        <v>11</v>
      </c>
      <c r="C61" t="s">
        <v>3</v>
      </c>
      <c r="D61">
        <v>0</v>
      </c>
      <c r="E61" s="16">
        <v>0</v>
      </c>
      <c r="F61" s="17">
        <v>0</v>
      </c>
      <c r="G61" s="17">
        <v>31.112499999999855</v>
      </c>
      <c r="H61" s="18">
        <v>80</v>
      </c>
    </row>
    <row r="62" spans="2:11" ht="15" thickBot="1" x14ac:dyDescent="0.4">
      <c r="B62" t="s">
        <v>12</v>
      </c>
      <c r="C62" t="s">
        <v>3</v>
      </c>
      <c r="D62">
        <v>0</v>
      </c>
      <c r="E62" s="19">
        <v>0</v>
      </c>
      <c r="F62" s="20">
        <v>0</v>
      </c>
      <c r="G62" s="20">
        <v>0</v>
      </c>
      <c r="H62" s="21">
        <v>0</v>
      </c>
    </row>
    <row r="63" spans="2:11" x14ac:dyDescent="0.35">
      <c r="B63" s="4" t="s">
        <v>26</v>
      </c>
      <c r="E63" s="8"/>
      <c r="F63" s="8"/>
      <c r="G63" s="8"/>
      <c r="H63" s="8"/>
    </row>
    <row r="64" spans="2:11" x14ac:dyDescent="0.35">
      <c r="B64" t="s">
        <v>13</v>
      </c>
      <c r="C64" t="s">
        <v>3</v>
      </c>
      <c r="D64">
        <v>0</v>
      </c>
      <c r="E64" s="10">
        <v>50</v>
      </c>
      <c r="F64" s="10">
        <v>50</v>
      </c>
      <c r="G64" s="10">
        <v>50</v>
      </c>
      <c r="H64" s="10">
        <v>50</v>
      </c>
    </row>
    <row r="65" spans="2:13" x14ac:dyDescent="0.35">
      <c r="B65" t="s">
        <v>11</v>
      </c>
      <c r="C65" t="s">
        <v>3</v>
      </c>
      <c r="D65">
        <v>0</v>
      </c>
      <c r="E65" s="10">
        <v>20</v>
      </c>
      <c r="F65" s="10">
        <v>40</v>
      </c>
      <c r="G65" s="10">
        <v>60</v>
      </c>
      <c r="H65" s="10">
        <v>80</v>
      </c>
    </row>
    <row r="66" spans="2:13" x14ac:dyDescent="0.35">
      <c r="B66" t="s">
        <v>12</v>
      </c>
      <c r="C66" t="s">
        <v>3</v>
      </c>
      <c r="D66">
        <v>0</v>
      </c>
      <c r="E66" s="10">
        <v>5</v>
      </c>
      <c r="F66" s="10">
        <v>20</v>
      </c>
      <c r="G66" s="10">
        <v>25</v>
      </c>
      <c r="H66" s="10">
        <v>30</v>
      </c>
    </row>
    <row r="67" spans="2:13" x14ac:dyDescent="0.35">
      <c r="B67" t="s">
        <v>27</v>
      </c>
      <c r="E67" s="8"/>
      <c r="F67" s="8"/>
      <c r="G67" s="8"/>
      <c r="H67" s="8"/>
      <c r="J67" t="s">
        <v>30</v>
      </c>
    </row>
    <row r="68" spans="2:13" x14ac:dyDescent="0.35">
      <c r="B68" t="s">
        <v>13</v>
      </c>
      <c r="C68" t="s">
        <v>3</v>
      </c>
      <c r="D68">
        <v>0</v>
      </c>
      <c r="E68" s="11" t="str" cm="1">
        <f t="array" ref="E68">[1]!WB(E64-E60,"&gt;=",0)</f>
        <v>&gt;=</v>
      </c>
      <c r="F68" s="11" t="str" cm="1">
        <f t="array" ref="F68">[1]!WB(F64-F60,"&gt;=",0)</f>
        <v>&gt;=</v>
      </c>
      <c r="G68" s="11" t="str" cm="1">
        <f t="array" ref="G68">[1]!WB(G64-G60,"&gt;=",0)</f>
        <v>&gt;=</v>
      </c>
      <c r="H68" s="11" t="str" cm="1">
        <f t="array" ref="H68">[1]!WB(H64-H60,"&gt;=",0)</f>
        <v>&gt;=</v>
      </c>
      <c r="J68" s="11">
        <f>[1]!WBDUAL(E68,0)</f>
        <v>0</v>
      </c>
      <c r="K68" s="11">
        <f>[1]!WBDUAL(F68,0)</f>
        <v>0</v>
      </c>
      <c r="L68" s="11">
        <f>[1]!WBDUAL(G68,0)</f>
        <v>0</v>
      </c>
      <c r="M68" s="11">
        <f>[1]!WBDUAL(H68,0)</f>
        <v>0</v>
      </c>
    </row>
    <row r="69" spans="2:13" x14ac:dyDescent="0.35">
      <c r="B69" t="s">
        <v>11</v>
      </c>
      <c r="C69" t="s">
        <v>3</v>
      </c>
      <c r="D69">
        <v>0</v>
      </c>
      <c r="E69" s="11" t="str" cm="1">
        <f t="array" ref="E69">[1]!WB(E65-E61,"&gt;=",0)</f>
        <v>&gt;=</v>
      </c>
      <c r="F69" s="11" t="str" cm="1">
        <f t="array" ref="F69">[1]!WB(F65-F61,"&gt;=",0)</f>
        <v>&gt;=</v>
      </c>
      <c r="G69" s="11" t="str" cm="1">
        <f t="array" ref="G69">[1]!WB(G65-G61,"&gt;=",0)</f>
        <v>&gt;=</v>
      </c>
      <c r="H69" s="11" t="str" cm="1">
        <f t="array" ref="H69">[1]!WB(H65-H61,"&gt;=",0)</f>
        <v>=&gt;=</v>
      </c>
      <c r="J69" s="11">
        <f>[1]!WBDUAL(E69,0)</f>
        <v>0</v>
      </c>
      <c r="K69" s="11">
        <f>[1]!WBDUAL(F69,0)</f>
        <v>0</v>
      </c>
      <c r="L69" s="11">
        <f>[1]!WBDUAL(G69,0)</f>
        <v>0</v>
      </c>
      <c r="M69" s="11">
        <f>[1]!WBDUAL(H69,-9.99999999999999)</f>
        <v>-9.9999999999999893</v>
      </c>
    </row>
    <row r="70" spans="2:13" x14ac:dyDescent="0.35">
      <c r="B70" t="s">
        <v>12</v>
      </c>
      <c r="C70" t="s">
        <v>3</v>
      </c>
      <c r="D70">
        <v>0</v>
      </c>
      <c r="E70" s="11" t="str" cm="1">
        <f t="array" ref="E70">[1]!WB(E66-E62,"&gt;=",0)</f>
        <v>&gt;=</v>
      </c>
      <c r="F70" s="11" t="str" cm="1">
        <f t="array" ref="F70">[1]!WB(F66-F62,"&gt;=",0)</f>
        <v>&gt;=</v>
      </c>
      <c r="G70" s="11" t="str" cm="1">
        <f t="array" ref="G70">[1]!WB(G66-G62,"&gt;=",0)</f>
        <v>&gt;=</v>
      </c>
      <c r="H70" s="11" t="str" cm="1">
        <f t="array" ref="H70">[1]!WB(H66-H62,"&gt;=",0)</f>
        <v>&gt;=</v>
      </c>
      <c r="J70" s="11">
        <f>[1]!WBDUAL(E70,0)</f>
        <v>0</v>
      </c>
      <c r="K70" s="11">
        <f>[1]!WBDUAL(F70,0)</f>
        <v>0</v>
      </c>
      <c r="L70" s="11">
        <f>[1]!WBDUAL(G70,0)</f>
        <v>0</v>
      </c>
      <c r="M70" s="11">
        <f>[1]!WBDUAL(H70,0)</f>
        <v>0</v>
      </c>
    </row>
    <row r="71" spans="2:13" x14ac:dyDescent="0.35">
      <c r="E71" s="8"/>
      <c r="F71" s="8"/>
      <c r="G71" s="8"/>
      <c r="H71" s="8"/>
    </row>
    <row r="72" spans="2:13" x14ac:dyDescent="0.35">
      <c r="B72" s="4" t="s">
        <v>14</v>
      </c>
      <c r="C72" t="s">
        <v>15</v>
      </c>
    </row>
    <row r="73" spans="2:13" x14ac:dyDescent="0.35">
      <c r="B73" t="s">
        <v>13</v>
      </c>
      <c r="C73" t="s">
        <v>15</v>
      </c>
      <c r="D73" s="1">
        <v>20</v>
      </c>
      <c r="E73">
        <f>D73</f>
        <v>20</v>
      </c>
      <c r="F73">
        <f>E73</f>
        <v>20</v>
      </c>
      <c r="G73">
        <f>F73</f>
        <v>20</v>
      </c>
      <c r="H73">
        <f>G73</f>
        <v>20</v>
      </c>
    </row>
    <row r="74" spans="2:13" x14ac:dyDescent="0.35">
      <c r="B74" t="s">
        <v>11</v>
      </c>
      <c r="C74" t="s">
        <v>15</v>
      </c>
      <c r="D74" s="1">
        <v>500</v>
      </c>
      <c r="E74">
        <f t="shared" ref="E74:H75" si="1">D74*0.85</f>
        <v>425</v>
      </c>
      <c r="F74">
        <f t="shared" si="1"/>
        <v>361.25</v>
      </c>
      <c r="G74">
        <f t="shared" si="1"/>
        <v>307.0625</v>
      </c>
      <c r="H74">
        <f t="shared" si="1"/>
        <v>261.00312500000001</v>
      </c>
    </row>
    <row r="75" spans="2:13" x14ac:dyDescent="0.35">
      <c r="B75" t="s">
        <v>12</v>
      </c>
      <c r="C75" t="s">
        <v>15</v>
      </c>
      <c r="D75" s="1">
        <v>1200</v>
      </c>
      <c r="E75">
        <f t="shared" si="1"/>
        <v>1020</v>
      </c>
      <c r="F75">
        <f t="shared" si="1"/>
        <v>867</v>
      </c>
      <c r="G75">
        <f t="shared" si="1"/>
        <v>736.94999999999993</v>
      </c>
      <c r="H75">
        <f t="shared" si="1"/>
        <v>626.40749999999991</v>
      </c>
    </row>
    <row r="76" spans="2:13" x14ac:dyDescent="0.35">
      <c r="B76" s="4" t="s">
        <v>19</v>
      </c>
      <c r="C76" t="s">
        <v>18</v>
      </c>
    </row>
    <row r="77" spans="2:13" x14ac:dyDescent="0.35">
      <c r="B77" t="s">
        <v>13</v>
      </c>
      <c r="C77" t="s">
        <v>18</v>
      </c>
      <c r="D77" s="1">
        <v>10</v>
      </c>
      <c r="E77" s="1">
        <v>10</v>
      </c>
      <c r="F77" s="1">
        <v>10</v>
      </c>
      <c r="G77" s="1">
        <v>10</v>
      </c>
      <c r="H77" s="1">
        <v>10</v>
      </c>
    </row>
    <row r="78" spans="2:13" x14ac:dyDescent="0.35">
      <c r="B78" t="s">
        <v>11</v>
      </c>
      <c r="C78" t="s">
        <v>18</v>
      </c>
      <c r="D78" s="1">
        <v>10</v>
      </c>
      <c r="E78" s="1">
        <v>10</v>
      </c>
      <c r="F78" s="1">
        <v>10</v>
      </c>
      <c r="G78" s="1">
        <v>10</v>
      </c>
      <c r="H78" s="1">
        <v>10</v>
      </c>
    </row>
    <row r="79" spans="2:13" x14ac:dyDescent="0.35">
      <c r="B79" t="s">
        <v>12</v>
      </c>
      <c r="C79" t="s">
        <v>18</v>
      </c>
      <c r="D79" s="1">
        <v>10</v>
      </c>
      <c r="E79" s="1">
        <v>10</v>
      </c>
      <c r="F79" s="1">
        <v>10</v>
      </c>
      <c r="G79" s="1">
        <v>10</v>
      </c>
      <c r="H79" s="1">
        <v>10</v>
      </c>
    </row>
    <row r="80" spans="2:13" x14ac:dyDescent="0.35">
      <c r="B80" s="4" t="s">
        <v>21</v>
      </c>
      <c r="C80" t="s">
        <v>6</v>
      </c>
      <c r="D80" s="3">
        <v>0.05</v>
      </c>
      <c r="E80" s="3">
        <v>0.05</v>
      </c>
      <c r="F80" s="3">
        <v>0.05</v>
      </c>
      <c r="G80" s="3">
        <v>0.05</v>
      </c>
      <c r="H80" s="3">
        <v>0.05</v>
      </c>
    </row>
    <row r="81" spans="2:8" x14ac:dyDescent="0.35">
      <c r="B81" s="9" t="s">
        <v>16</v>
      </c>
      <c r="C81" t="s">
        <v>15</v>
      </c>
    </row>
    <row r="82" spans="2:8" x14ac:dyDescent="0.35">
      <c r="B82" t="s">
        <v>13</v>
      </c>
      <c r="C82" t="s">
        <v>15</v>
      </c>
      <c r="D82" s="5">
        <f>PMT(D$80,D77,-D73)</f>
        <v>2.5900914993091333</v>
      </c>
      <c r="E82" s="5">
        <f>PMT(E$80,E77,-E73)</f>
        <v>2.5900914993091333</v>
      </c>
      <c r="F82" s="5">
        <f>PMT(F$80,F77,-F73)</f>
        <v>2.5900914993091333</v>
      </c>
      <c r="G82" s="5">
        <f>PMT(G$80,G77,-G73)</f>
        <v>2.5900914993091333</v>
      </c>
      <c r="H82" s="5">
        <f>PMT(H$80,H77,-H73)</f>
        <v>2.5900914993091333</v>
      </c>
    </row>
    <row r="83" spans="2:8" x14ac:dyDescent="0.35">
      <c r="B83" t="s">
        <v>11</v>
      </c>
      <c r="C83" t="s">
        <v>15</v>
      </c>
      <c r="D83" s="5">
        <f t="shared" ref="D83:H84" si="2">PMT(D$80,D78,-D74)</f>
        <v>64.752287482728335</v>
      </c>
      <c r="E83" s="5">
        <f t="shared" si="2"/>
        <v>55.039444360319081</v>
      </c>
      <c r="F83" s="5">
        <f t="shared" si="2"/>
        <v>46.783527706271222</v>
      </c>
      <c r="G83" s="5">
        <f t="shared" si="2"/>
        <v>39.765998550330536</v>
      </c>
      <c r="H83" s="5">
        <f t="shared" si="2"/>
        <v>33.801098767780957</v>
      </c>
    </row>
    <row r="84" spans="2:8" x14ac:dyDescent="0.35">
      <c r="B84" t="s">
        <v>12</v>
      </c>
      <c r="C84" t="s">
        <v>15</v>
      </c>
      <c r="D84" s="5">
        <f t="shared" si="2"/>
        <v>155.405489958548</v>
      </c>
      <c r="E84" s="5">
        <f t="shared" si="2"/>
        <v>132.09466646476579</v>
      </c>
      <c r="F84" s="5">
        <f t="shared" si="2"/>
        <v>112.28046649505093</v>
      </c>
      <c r="G84" s="5">
        <f t="shared" si="2"/>
        <v>95.438396520793276</v>
      </c>
      <c r="H84" s="5">
        <f t="shared" si="2"/>
        <v>81.122637042674285</v>
      </c>
    </row>
    <row r="85" spans="2:8" x14ac:dyDescent="0.35">
      <c r="B85" s="4" t="s">
        <v>20</v>
      </c>
      <c r="C85" t="s">
        <v>6</v>
      </c>
    </row>
    <row r="86" spans="2:8" x14ac:dyDescent="0.35">
      <c r="B86" t="s">
        <v>13</v>
      </c>
      <c r="C86" t="s">
        <v>6</v>
      </c>
      <c r="D86" s="3">
        <v>0.1</v>
      </c>
      <c r="E86" s="3">
        <v>0.1</v>
      </c>
      <c r="F86" s="3">
        <v>0.1</v>
      </c>
      <c r="G86" s="3">
        <v>0.1</v>
      </c>
      <c r="H86" s="3">
        <v>0.1</v>
      </c>
    </row>
    <row r="87" spans="2:8" x14ac:dyDescent="0.35">
      <c r="B87" t="s">
        <v>11</v>
      </c>
      <c r="C87" t="s">
        <v>6</v>
      </c>
      <c r="D87" s="3">
        <v>2.5000000000000001E-2</v>
      </c>
      <c r="E87" s="3">
        <v>2.5000000000000001E-2</v>
      </c>
      <c r="F87" s="3">
        <v>2.5000000000000001E-2</v>
      </c>
      <c r="G87" s="3">
        <v>2.5000000000000001E-2</v>
      </c>
      <c r="H87" s="3">
        <v>2.5000000000000001E-2</v>
      </c>
    </row>
    <row r="88" spans="2:8" x14ac:dyDescent="0.35">
      <c r="B88" t="s">
        <v>12</v>
      </c>
      <c r="C88" t="s">
        <v>6</v>
      </c>
      <c r="D88" s="3">
        <v>0.03</v>
      </c>
      <c r="E88" s="3">
        <v>0.03</v>
      </c>
      <c r="F88" s="3">
        <v>0.03</v>
      </c>
      <c r="G88" s="3">
        <v>0.03</v>
      </c>
      <c r="H88" s="3">
        <v>0.03</v>
      </c>
    </row>
    <row r="89" spans="2:8" x14ac:dyDescent="0.35">
      <c r="B89" s="4" t="s">
        <v>17</v>
      </c>
      <c r="C89" t="s">
        <v>15</v>
      </c>
    </row>
    <row r="90" spans="2:8" x14ac:dyDescent="0.35">
      <c r="B90" t="s">
        <v>13</v>
      </c>
      <c r="C90" t="s">
        <v>15</v>
      </c>
      <c r="D90" s="6">
        <f t="shared" ref="D90:H92" si="3">D86*D73</f>
        <v>2</v>
      </c>
      <c r="E90" s="6">
        <f t="shared" si="3"/>
        <v>2</v>
      </c>
      <c r="F90" s="6">
        <f t="shared" si="3"/>
        <v>2</v>
      </c>
      <c r="G90" s="6">
        <f t="shared" si="3"/>
        <v>2</v>
      </c>
      <c r="H90" s="6">
        <f t="shared" si="3"/>
        <v>2</v>
      </c>
    </row>
    <row r="91" spans="2:8" x14ac:dyDescent="0.35">
      <c r="B91" t="s">
        <v>11</v>
      </c>
      <c r="C91" t="s">
        <v>15</v>
      </c>
      <c r="D91" s="6">
        <f t="shared" si="3"/>
        <v>12.5</v>
      </c>
      <c r="E91" s="6">
        <f t="shared" si="3"/>
        <v>10.625</v>
      </c>
      <c r="F91" s="6">
        <f t="shared" si="3"/>
        <v>9.03125</v>
      </c>
      <c r="G91" s="6">
        <f t="shared" si="3"/>
        <v>7.6765625000000002</v>
      </c>
      <c r="H91" s="6">
        <f t="shared" si="3"/>
        <v>6.5250781250000003</v>
      </c>
    </row>
    <row r="92" spans="2:8" x14ac:dyDescent="0.35">
      <c r="B92" t="s">
        <v>12</v>
      </c>
      <c r="C92" t="s">
        <v>15</v>
      </c>
      <c r="D92" s="6">
        <f t="shared" si="3"/>
        <v>36</v>
      </c>
      <c r="E92" s="6">
        <f t="shared" si="3"/>
        <v>30.599999999999998</v>
      </c>
      <c r="F92" s="6">
        <f t="shared" si="3"/>
        <v>26.009999999999998</v>
      </c>
      <c r="G92" s="6">
        <f t="shared" si="3"/>
        <v>22.108499999999996</v>
      </c>
      <c r="H92" s="6">
        <f t="shared" si="3"/>
        <v>18.792224999999998</v>
      </c>
    </row>
    <row r="93" spans="2:8" x14ac:dyDescent="0.35">
      <c r="B93" s="4" t="s">
        <v>22</v>
      </c>
      <c r="C93" t="s">
        <v>15</v>
      </c>
    </row>
    <row r="94" spans="2:8" x14ac:dyDescent="0.35">
      <c r="B94" t="s">
        <v>13</v>
      </c>
      <c r="C94" t="s">
        <v>15</v>
      </c>
      <c r="D94" s="1">
        <v>75</v>
      </c>
      <c r="E94" s="1">
        <v>75</v>
      </c>
      <c r="F94" s="1">
        <v>75</v>
      </c>
      <c r="G94" s="1">
        <v>75</v>
      </c>
      <c r="H94" s="1">
        <v>75</v>
      </c>
    </row>
    <row r="95" spans="2:8" x14ac:dyDescent="0.35">
      <c r="B95" t="s">
        <v>11</v>
      </c>
      <c r="C95" t="s">
        <v>15</v>
      </c>
      <c r="D95" s="1">
        <v>15</v>
      </c>
      <c r="E95" s="1">
        <v>15</v>
      </c>
      <c r="F95" s="1">
        <v>15</v>
      </c>
      <c r="G95" s="1">
        <v>15</v>
      </c>
      <c r="H95" s="1">
        <v>15</v>
      </c>
    </row>
    <row r="96" spans="2:8" x14ac:dyDescent="0.35">
      <c r="B96" t="s">
        <v>12</v>
      </c>
      <c r="C96" t="s">
        <v>15</v>
      </c>
      <c r="D96" s="1">
        <v>60</v>
      </c>
      <c r="E96" s="1">
        <v>60</v>
      </c>
      <c r="F96" s="1">
        <v>60</v>
      </c>
      <c r="G96" s="1">
        <v>60</v>
      </c>
      <c r="H96" s="1">
        <v>60</v>
      </c>
    </row>
    <row r="97" spans="2:13" x14ac:dyDescent="0.35">
      <c r="B97" s="4" t="s">
        <v>25</v>
      </c>
      <c r="C97" t="s">
        <v>15</v>
      </c>
      <c r="J97" t="s">
        <v>82</v>
      </c>
    </row>
    <row r="98" spans="2:13" x14ac:dyDescent="0.35">
      <c r="B98" t="s">
        <v>13</v>
      </c>
      <c r="C98" t="s">
        <v>15</v>
      </c>
      <c r="D98" s="40">
        <f>D82+D90+D94</f>
        <v>79.590091499309139</v>
      </c>
      <c r="E98" s="40">
        <f>E82+E90+E94</f>
        <v>79.590091499309139</v>
      </c>
      <c r="F98" s="40">
        <f>F82+F90+F94</f>
        <v>79.590091499309139</v>
      </c>
      <c r="G98" s="40">
        <f>G82+G90+G94</f>
        <v>79.590091499309139</v>
      </c>
      <c r="H98" s="40">
        <f>H82+H90+H94</f>
        <v>79.590091499309139</v>
      </c>
      <c r="J98" s="42" t="str">
        <f>IF(E60&gt;0,E98,"-")</f>
        <v>-</v>
      </c>
      <c r="K98" s="42" t="str">
        <f t="shared" ref="K98:M100" si="4">IF(F60&gt;0,F98,"-")</f>
        <v>-</v>
      </c>
      <c r="L98" s="42" t="str">
        <f t="shared" si="4"/>
        <v>-</v>
      </c>
      <c r="M98" s="42" t="str">
        <f t="shared" si="4"/>
        <v>-</v>
      </c>
    </row>
    <row r="99" spans="2:13" x14ac:dyDescent="0.35">
      <c r="B99" t="s">
        <v>11</v>
      </c>
      <c r="C99" t="s">
        <v>15</v>
      </c>
      <c r="D99" s="40">
        <f t="shared" ref="D99:H100" si="5">D83+D91+D95</f>
        <v>92.252287482728335</v>
      </c>
      <c r="E99" s="40">
        <f t="shared" si="5"/>
        <v>80.664444360319081</v>
      </c>
      <c r="F99" s="40">
        <f t="shared" si="5"/>
        <v>70.814777706271229</v>
      </c>
      <c r="G99" s="40">
        <f t="shared" si="5"/>
        <v>62.442561050330539</v>
      </c>
      <c r="H99" s="40">
        <f t="shared" si="5"/>
        <v>55.326176892780957</v>
      </c>
      <c r="J99" s="42" t="str">
        <f>IF(E61&gt;0,E99,"-")</f>
        <v>-</v>
      </c>
      <c r="K99" s="42" t="str">
        <f t="shared" si="4"/>
        <v>-</v>
      </c>
      <c r="L99" s="42">
        <f t="shared" si="4"/>
        <v>62.442561050330539</v>
      </c>
      <c r="M99" s="42">
        <f t="shared" si="4"/>
        <v>55.326176892780957</v>
      </c>
    </row>
    <row r="100" spans="2:13" x14ac:dyDescent="0.35">
      <c r="B100" t="s">
        <v>12</v>
      </c>
      <c r="C100" t="s">
        <v>15</v>
      </c>
      <c r="D100" s="40">
        <f t="shared" si="5"/>
        <v>251.405489958548</v>
      </c>
      <c r="E100" s="40">
        <f t="shared" si="5"/>
        <v>222.69466646476579</v>
      </c>
      <c r="F100" s="40">
        <f t="shared" si="5"/>
        <v>198.29046649505094</v>
      </c>
      <c r="G100" s="40">
        <f t="shared" si="5"/>
        <v>177.54689652079327</v>
      </c>
      <c r="H100" s="40">
        <f t="shared" si="5"/>
        <v>159.91486204267429</v>
      </c>
      <c r="J100" s="42" t="str">
        <f>IF(E62&gt;0,E100,"-")</f>
        <v>-</v>
      </c>
      <c r="K100" s="42" t="str">
        <f t="shared" si="4"/>
        <v>-</v>
      </c>
      <c r="L100" s="42" t="str">
        <f t="shared" si="4"/>
        <v>-</v>
      </c>
      <c r="M100" s="42" t="str">
        <f t="shared" si="4"/>
        <v>-</v>
      </c>
    </row>
    <row r="101" spans="2:13" x14ac:dyDescent="0.35">
      <c r="D101" s="5"/>
      <c r="E101" s="5"/>
      <c r="F101" s="5"/>
      <c r="G101" s="5"/>
      <c r="H101" s="5"/>
    </row>
    <row r="102" spans="2:13" x14ac:dyDescent="0.35">
      <c r="B102" s="4" t="s">
        <v>23</v>
      </c>
      <c r="C102" t="s">
        <v>24</v>
      </c>
    </row>
    <row r="103" spans="2:13" x14ac:dyDescent="0.35">
      <c r="B103" t="s">
        <v>13</v>
      </c>
      <c r="C103" t="s">
        <v>24</v>
      </c>
      <c r="D103" s="7">
        <f t="shared" ref="D103:H105" si="6">D98*D60</f>
        <v>0</v>
      </c>
      <c r="E103" s="7">
        <f t="shared" si="6"/>
        <v>0</v>
      </c>
      <c r="F103" s="7">
        <f t="shared" si="6"/>
        <v>0</v>
      </c>
      <c r="G103" s="7">
        <f t="shared" si="6"/>
        <v>0</v>
      </c>
      <c r="H103" s="7">
        <f t="shared" si="6"/>
        <v>0</v>
      </c>
    </row>
    <row r="104" spans="2:13" x14ac:dyDescent="0.35">
      <c r="B104" t="s">
        <v>11</v>
      </c>
      <c r="C104" t="s">
        <v>24</v>
      </c>
      <c r="D104" s="7">
        <f t="shared" si="6"/>
        <v>0</v>
      </c>
      <c r="E104" s="7">
        <f t="shared" si="6"/>
        <v>0</v>
      </c>
      <c r="F104" s="7">
        <f t="shared" si="6"/>
        <v>0</v>
      </c>
      <c r="G104" s="7">
        <f t="shared" si="6"/>
        <v>1942.7441806783997</v>
      </c>
      <c r="H104" s="7">
        <f t="shared" si="6"/>
        <v>4426.0941514224769</v>
      </c>
    </row>
    <row r="105" spans="2:13" x14ac:dyDescent="0.35">
      <c r="B105" t="s">
        <v>12</v>
      </c>
      <c r="C105" t="s">
        <v>24</v>
      </c>
      <c r="D105" s="7">
        <f t="shared" si="6"/>
        <v>0</v>
      </c>
      <c r="E105" s="7">
        <f t="shared" si="6"/>
        <v>0</v>
      </c>
      <c r="F105" s="7">
        <f t="shared" si="6"/>
        <v>0</v>
      </c>
      <c r="G105" s="7">
        <f t="shared" si="6"/>
        <v>0</v>
      </c>
      <c r="H105" s="7">
        <f t="shared" si="6"/>
        <v>0</v>
      </c>
    </row>
    <row r="106" spans="2:13" x14ac:dyDescent="0.35">
      <c r="I106" s="31">
        <f>SUM(D103:H105)</f>
        <v>6368.8383321008769</v>
      </c>
    </row>
    <row r="107" spans="2:13" x14ac:dyDescent="0.35">
      <c r="B107" s="30" t="s">
        <v>53</v>
      </c>
    </row>
    <row r="108" spans="2:13" ht="15" thickBot="1" x14ac:dyDescent="0.4">
      <c r="B108" s="4" t="s">
        <v>10</v>
      </c>
      <c r="E108">
        <f>SUM(E109:E111)</f>
        <v>12.239999999999732</v>
      </c>
      <c r="F108">
        <f>SUM(F109:F111)</f>
        <v>33.459999999999901</v>
      </c>
      <c r="G108">
        <f>SUM(G109:G111)</f>
        <v>60</v>
      </c>
      <c r="H108">
        <f>SUM(H109:H111)</f>
        <v>80</v>
      </c>
    </row>
    <row r="109" spans="2:13" x14ac:dyDescent="0.35">
      <c r="B109" t="s">
        <v>13</v>
      </c>
      <c r="C109" t="s">
        <v>3</v>
      </c>
      <c r="D109">
        <v>0</v>
      </c>
      <c r="E109" s="13">
        <v>0</v>
      </c>
      <c r="F109" s="14">
        <v>0</v>
      </c>
      <c r="G109" s="14">
        <v>0</v>
      </c>
      <c r="H109" s="15">
        <v>0</v>
      </c>
    </row>
    <row r="110" spans="2:13" x14ac:dyDescent="0.35">
      <c r="B110" t="s">
        <v>11</v>
      </c>
      <c r="C110" t="s">
        <v>3</v>
      </c>
      <c r="D110">
        <v>0</v>
      </c>
      <c r="E110" s="16">
        <v>12.239999999999732</v>
      </c>
      <c r="F110" s="17">
        <v>33.459999999999901</v>
      </c>
      <c r="G110" s="17">
        <v>60</v>
      </c>
      <c r="H110" s="18">
        <v>80</v>
      </c>
    </row>
    <row r="111" spans="2:13" ht="15" thickBot="1" x14ac:dyDescent="0.4">
      <c r="B111" t="s">
        <v>12</v>
      </c>
      <c r="C111" t="s">
        <v>3</v>
      </c>
      <c r="D111">
        <v>0</v>
      </c>
      <c r="E111" s="19">
        <v>0</v>
      </c>
      <c r="F111" s="20">
        <v>0</v>
      </c>
      <c r="G111" s="20">
        <v>0</v>
      </c>
      <c r="H111" s="21">
        <v>0</v>
      </c>
    </row>
    <row r="112" spans="2:13" x14ac:dyDescent="0.35">
      <c r="B112" s="4" t="s">
        <v>26</v>
      </c>
      <c r="E112" s="8"/>
      <c r="F112" s="8"/>
      <c r="G112" s="8"/>
      <c r="H112" s="8"/>
    </row>
    <row r="113" spans="2:13" x14ac:dyDescent="0.35">
      <c r="B113" t="s">
        <v>13</v>
      </c>
      <c r="C113" t="s">
        <v>3</v>
      </c>
      <c r="D113">
        <v>0</v>
      </c>
      <c r="E113" s="10">
        <v>50</v>
      </c>
      <c r="F113" s="10">
        <v>50</v>
      </c>
      <c r="G113" s="10">
        <v>50</v>
      </c>
      <c r="H113" s="10">
        <v>50</v>
      </c>
    </row>
    <row r="114" spans="2:13" x14ac:dyDescent="0.35">
      <c r="B114" t="s">
        <v>11</v>
      </c>
      <c r="C114" t="s">
        <v>3</v>
      </c>
      <c r="D114">
        <v>0</v>
      </c>
      <c r="E114" s="10">
        <v>20</v>
      </c>
      <c r="F114" s="10">
        <v>40</v>
      </c>
      <c r="G114" s="10">
        <v>60</v>
      </c>
      <c r="H114" s="10">
        <v>80</v>
      </c>
    </row>
    <row r="115" spans="2:13" x14ac:dyDescent="0.35">
      <c r="B115" t="s">
        <v>12</v>
      </c>
      <c r="C115" t="s">
        <v>3</v>
      </c>
      <c r="D115">
        <v>0</v>
      </c>
      <c r="E115" s="10">
        <v>5</v>
      </c>
      <c r="F115" s="10">
        <v>20</v>
      </c>
      <c r="G115" s="10">
        <v>25</v>
      </c>
      <c r="H115" s="10">
        <v>30</v>
      </c>
    </row>
    <row r="116" spans="2:13" x14ac:dyDescent="0.35">
      <c r="B116" t="s">
        <v>27</v>
      </c>
      <c r="E116" s="8"/>
      <c r="F116" s="8"/>
      <c r="G116" s="8"/>
      <c r="H116" s="8"/>
      <c r="J116" t="s">
        <v>30</v>
      </c>
    </row>
    <row r="117" spans="2:13" x14ac:dyDescent="0.35">
      <c r="B117" t="s">
        <v>13</v>
      </c>
      <c r="C117" t="s">
        <v>3</v>
      </c>
      <c r="D117">
        <v>0</v>
      </c>
      <c r="E117" s="11" t="str" cm="1">
        <f t="array" ref="E117">[1]!WB(E113-E109,"&gt;=",0)</f>
        <v>&gt;=</v>
      </c>
      <c r="F117" s="11" t="str" cm="1">
        <f t="array" ref="F117">[1]!WB(F113-F109,"&gt;=",0)</f>
        <v>&gt;=</v>
      </c>
      <c r="G117" s="11" t="str" cm="1">
        <f t="array" ref="G117">[1]!WB(G113-G109,"&gt;=",0)</f>
        <v>&gt;=</v>
      </c>
      <c r="H117" s="11" t="str" cm="1">
        <f t="array" ref="H117">[1]!WB(H113-H109,"&gt;=",0)</f>
        <v>&gt;=</v>
      </c>
      <c r="J117" s="11">
        <f>[1]!WBDUAL(E117,0)</f>
        <v>0</v>
      </c>
      <c r="K117" s="11">
        <f>[1]!WBDUAL(F117,0)</f>
        <v>0</v>
      </c>
      <c r="L117" s="11">
        <f>[1]!WBDUAL(G117,0)</f>
        <v>0</v>
      </c>
      <c r="M117" s="11">
        <f>[1]!WBDUAL(H117,0)</f>
        <v>0</v>
      </c>
    </row>
    <row r="118" spans="2:13" x14ac:dyDescent="0.35">
      <c r="B118" t="s">
        <v>11</v>
      </c>
      <c r="C118" t="s">
        <v>3</v>
      </c>
      <c r="D118">
        <v>0</v>
      </c>
      <c r="E118" s="11" t="str" cm="1">
        <f t="array" ref="E118">[1]!WB(E114-E110,"&gt;=",0)</f>
        <v>&gt;=</v>
      </c>
      <c r="F118" s="11" t="str" cm="1">
        <f t="array" ref="F118">[1]!WB(F114-F110,"&gt;=",0)</f>
        <v>&gt;=</v>
      </c>
      <c r="G118" s="11" t="str" cm="1">
        <f t="array" ref="G118">[1]!WB(G114-G110,"&gt;=",0)</f>
        <v>=&gt;=</v>
      </c>
      <c r="H118" s="11" t="str" cm="1">
        <f t="array" ref="H118">[1]!WB(H114-H110,"&gt;=",0)</f>
        <v>=&gt;=</v>
      </c>
      <c r="J118" s="11">
        <f>[1]!WBDUAL(E118,0)</f>
        <v>0</v>
      </c>
      <c r="K118" s="11">
        <f>[1]!WBDUAL(F118,0)</f>
        <v>0</v>
      </c>
      <c r="L118" s="11">
        <f>[1]!WBDUAL(G118,-9.4885122100661)</f>
        <v>-9.4885122100660997</v>
      </c>
      <c r="M118" s="11">
        <f>[1]!WBDUAL(H118,-18.0652353785561)</f>
        <v>-18.0652353785561</v>
      </c>
    </row>
    <row r="119" spans="2:13" x14ac:dyDescent="0.35">
      <c r="B119" t="s">
        <v>12</v>
      </c>
      <c r="C119" t="s">
        <v>3</v>
      </c>
      <c r="D119">
        <v>0</v>
      </c>
      <c r="E119" s="11" t="str" cm="1">
        <f t="array" ref="E119">[1]!WB(E115-E111,"&gt;=",0)</f>
        <v>&gt;=</v>
      </c>
      <c r="F119" s="11" t="str" cm="1">
        <f t="array" ref="F119">[1]!WB(F115-F111,"&gt;=",0)</f>
        <v>&gt;=</v>
      </c>
      <c r="G119" s="11" t="str" cm="1">
        <f t="array" ref="G119">[1]!WB(G115-G111,"&gt;=",0)</f>
        <v>&gt;=</v>
      </c>
      <c r="H119" s="11" t="str" cm="1">
        <f t="array" ref="H119">[1]!WB(H115-H111,"&gt;=",0)</f>
        <v>&gt;=</v>
      </c>
      <c r="J119" s="11">
        <f>[1]!WBDUAL(E119,0)</f>
        <v>0</v>
      </c>
      <c r="K119" s="11">
        <f>[1]!WBDUAL(F119,0)</f>
        <v>0</v>
      </c>
      <c r="L119" s="11">
        <f>[1]!WBDUAL(G119,0)</f>
        <v>0</v>
      </c>
      <c r="M119" s="11">
        <f>[1]!WBDUAL(H119,0)</f>
        <v>0</v>
      </c>
    </row>
    <row r="120" spans="2:13" x14ac:dyDescent="0.35">
      <c r="E120" s="8"/>
      <c r="F120" s="8"/>
      <c r="G120" s="8"/>
      <c r="H120" s="8"/>
    </row>
    <row r="121" spans="2:13" x14ac:dyDescent="0.35">
      <c r="B121" s="4" t="s">
        <v>14</v>
      </c>
      <c r="C121" t="s">
        <v>15</v>
      </c>
    </row>
    <row r="122" spans="2:13" x14ac:dyDescent="0.35">
      <c r="B122" t="s">
        <v>13</v>
      </c>
      <c r="C122" t="s">
        <v>15</v>
      </c>
      <c r="D122" s="1">
        <v>30</v>
      </c>
      <c r="E122">
        <f>D122</f>
        <v>30</v>
      </c>
      <c r="F122">
        <f>E122</f>
        <v>30</v>
      </c>
      <c r="G122">
        <f>F122</f>
        <v>30</v>
      </c>
      <c r="H122">
        <f>G122</f>
        <v>30</v>
      </c>
    </row>
    <row r="123" spans="2:13" x14ac:dyDescent="0.35">
      <c r="B123" t="s">
        <v>11</v>
      </c>
      <c r="C123" t="s">
        <v>15</v>
      </c>
      <c r="D123" s="1">
        <v>400</v>
      </c>
      <c r="E123">
        <f t="shared" ref="E123:H124" si="7">D123*0.85</f>
        <v>340</v>
      </c>
      <c r="F123">
        <f t="shared" si="7"/>
        <v>289</v>
      </c>
      <c r="G123">
        <f t="shared" si="7"/>
        <v>245.65</v>
      </c>
      <c r="H123">
        <f t="shared" si="7"/>
        <v>208.80250000000001</v>
      </c>
    </row>
    <row r="124" spans="2:13" x14ac:dyDescent="0.35">
      <c r="B124" t="s">
        <v>12</v>
      </c>
      <c r="C124" t="s">
        <v>15</v>
      </c>
      <c r="D124" s="1">
        <v>1150</v>
      </c>
      <c r="E124">
        <f t="shared" si="7"/>
        <v>977.5</v>
      </c>
      <c r="F124">
        <f t="shared" si="7"/>
        <v>830.875</v>
      </c>
      <c r="G124">
        <f t="shared" si="7"/>
        <v>706.24374999999998</v>
      </c>
      <c r="H124">
        <f t="shared" si="7"/>
        <v>600.30718749999994</v>
      </c>
    </row>
    <row r="125" spans="2:13" x14ac:dyDescent="0.35">
      <c r="B125" s="4" t="s">
        <v>19</v>
      </c>
      <c r="C125" t="s">
        <v>18</v>
      </c>
    </row>
    <row r="126" spans="2:13" x14ac:dyDescent="0.35">
      <c r="B126" t="s">
        <v>13</v>
      </c>
      <c r="C126" t="s">
        <v>18</v>
      </c>
      <c r="D126" s="1">
        <v>10</v>
      </c>
      <c r="E126" s="1">
        <v>10</v>
      </c>
      <c r="F126" s="1">
        <v>10</v>
      </c>
      <c r="G126" s="1">
        <v>10</v>
      </c>
      <c r="H126" s="1">
        <v>10</v>
      </c>
    </row>
    <row r="127" spans="2:13" x14ac:dyDescent="0.35">
      <c r="B127" t="s">
        <v>11</v>
      </c>
      <c r="C127" t="s">
        <v>18</v>
      </c>
      <c r="D127" s="1">
        <v>10</v>
      </c>
      <c r="E127" s="1">
        <v>10</v>
      </c>
      <c r="F127" s="1">
        <v>10</v>
      </c>
      <c r="G127" s="1">
        <v>10</v>
      </c>
      <c r="H127" s="1">
        <v>10</v>
      </c>
    </row>
    <row r="128" spans="2:13" x14ac:dyDescent="0.35">
      <c r="B128" t="s">
        <v>12</v>
      </c>
      <c r="C128" t="s">
        <v>18</v>
      </c>
      <c r="D128" s="1">
        <v>10</v>
      </c>
      <c r="E128" s="1">
        <v>10</v>
      </c>
      <c r="F128" s="1">
        <v>10</v>
      </c>
      <c r="G128" s="1">
        <v>10</v>
      </c>
      <c r="H128" s="1">
        <v>10</v>
      </c>
    </row>
    <row r="129" spans="2:8" x14ac:dyDescent="0.35">
      <c r="B129" s="4" t="s">
        <v>21</v>
      </c>
      <c r="C129" t="s">
        <v>6</v>
      </c>
      <c r="D129" s="3">
        <v>0.05</v>
      </c>
      <c r="E129" s="3">
        <v>0.05</v>
      </c>
      <c r="F129" s="3">
        <v>0.05</v>
      </c>
      <c r="G129" s="3">
        <v>0.05</v>
      </c>
      <c r="H129" s="3">
        <v>0.05</v>
      </c>
    </row>
    <row r="130" spans="2:8" x14ac:dyDescent="0.35">
      <c r="B130" s="9" t="s">
        <v>16</v>
      </c>
      <c r="C130" t="s">
        <v>15</v>
      </c>
    </row>
    <row r="131" spans="2:8" x14ac:dyDescent="0.35">
      <c r="B131" t="s">
        <v>13</v>
      </c>
      <c r="C131" t="s">
        <v>15</v>
      </c>
      <c r="D131" s="5">
        <f t="shared" ref="D131:H133" si="8">PMT(D$80,D126,-D122)</f>
        <v>3.8851372489637002</v>
      </c>
      <c r="E131" s="5">
        <f t="shared" si="8"/>
        <v>3.8851372489637002</v>
      </c>
      <c r="F131" s="5">
        <f t="shared" si="8"/>
        <v>3.8851372489637002</v>
      </c>
      <c r="G131" s="5">
        <f t="shared" si="8"/>
        <v>3.8851372489637002</v>
      </c>
      <c r="H131" s="5">
        <f t="shared" si="8"/>
        <v>3.8851372489637002</v>
      </c>
    </row>
    <row r="132" spans="2:8" x14ac:dyDescent="0.35">
      <c r="B132" t="s">
        <v>11</v>
      </c>
      <c r="C132" t="s">
        <v>15</v>
      </c>
      <c r="D132" s="5">
        <f t="shared" si="8"/>
        <v>51.801829986182668</v>
      </c>
      <c r="E132" s="5">
        <f t="shared" si="8"/>
        <v>44.031555488255265</v>
      </c>
      <c r="F132" s="5">
        <f t="shared" si="8"/>
        <v>37.426822165016972</v>
      </c>
      <c r="G132" s="5">
        <f t="shared" si="8"/>
        <v>31.812798840264431</v>
      </c>
      <c r="H132" s="5">
        <f t="shared" si="8"/>
        <v>27.040879014224767</v>
      </c>
    </row>
    <row r="133" spans="2:8" x14ac:dyDescent="0.35">
      <c r="B133" t="s">
        <v>12</v>
      </c>
      <c r="C133" t="s">
        <v>15</v>
      </c>
      <c r="D133" s="5">
        <f t="shared" si="8"/>
        <v>148.93026121027515</v>
      </c>
      <c r="E133" s="5">
        <f t="shared" si="8"/>
        <v>126.59072202873388</v>
      </c>
      <c r="F133" s="5">
        <f t="shared" si="8"/>
        <v>107.6021137244238</v>
      </c>
      <c r="G133" s="5">
        <f t="shared" si="8"/>
        <v>91.461796665760232</v>
      </c>
      <c r="H133" s="5">
        <f t="shared" si="8"/>
        <v>77.742527165896192</v>
      </c>
    </row>
    <row r="134" spans="2:8" x14ac:dyDescent="0.35">
      <c r="B134" s="4" t="s">
        <v>20</v>
      </c>
      <c r="C134" t="s">
        <v>6</v>
      </c>
    </row>
    <row r="135" spans="2:8" x14ac:dyDescent="0.35">
      <c r="B135" t="s">
        <v>13</v>
      </c>
      <c r="C135" t="s">
        <v>6</v>
      </c>
      <c r="D135" s="3">
        <v>0.1</v>
      </c>
      <c r="E135" s="3">
        <v>0.1</v>
      </c>
      <c r="F135" s="3">
        <v>0.1</v>
      </c>
      <c r="G135" s="3">
        <v>0.1</v>
      </c>
      <c r="H135" s="3">
        <v>0.1</v>
      </c>
    </row>
    <row r="136" spans="2:8" x14ac:dyDescent="0.35">
      <c r="B136" t="s">
        <v>11</v>
      </c>
      <c r="C136" t="s">
        <v>6</v>
      </c>
      <c r="D136" s="3">
        <v>2.5000000000000001E-2</v>
      </c>
      <c r="E136" s="3">
        <v>2.5000000000000001E-2</v>
      </c>
      <c r="F136" s="3">
        <v>2.5000000000000001E-2</v>
      </c>
      <c r="G136" s="3">
        <v>2.5000000000000001E-2</v>
      </c>
      <c r="H136" s="3">
        <v>2.5000000000000001E-2</v>
      </c>
    </row>
    <row r="137" spans="2:8" x14ac:dyDescent="0.35">
      <c r="B137" t="s">
        <v>12</v>
      </c>
      <c r="C137" t="s">
        <v>6</v>
      </c>
      <c r="D137" s="3">
        <v>0.03</v>
      </c>
      <c r="E137" s="3">
        <v>0.03</v>
      </c>
      <c r="F137" s="3">
        <v>0.03</v>
      </c>
      <c r="G137" s="3">
        <v>0.03</v>
      </c>
      <c r="H137" s="3">
        <v>0.03</v>
      </c>
    </row>
    <row r="138" spans="2:8" x14ac:dyDescent="0.35">
      <c r="B138" s="4" t="s">
        <v>17</v>
      </c>
      <c r="C138" t="s">
        <v>15</v>
      </c>
    </row>
    <row r="139" spans="2:8" x14ac:dyDescent="0.35">
      <c r="B139" t="s">
        <v>13</v>
      </c>
      <c r="C139" t="s">
        <v>15</v>
      </c>
      <c r="D139" s="6">
        <f t="shared" ref="D139:H141" si="9">D135*D122</f>
        <v>3</v>
      </c>
      <c r="E139" s="6">
        <f t="shared" si="9"/>
        <v>3</v>
      </c>
      <c r="F139" s="6">
        <f t="shared" si="9"/>
        <v>3</v>
      </c>
      <c r="G139" s="6">
        <f t="shared" si="9"/>
        <v>3</v>
      </c>
      <c r="H139" s="6">
        <f t="shared" si="9"/>
        <v>3</v>
      </c>
    </row>
    <row r="140" spans="2:8" x14ac:dyDescent="0.35">
      <c r="B140" t="s">
        <v>11</v>
      </c>
      <c r="C140" t="s">
        <v>15</v>
      </c>
      <c r="D140" s="6">
        <f t="shared" si="9"/>
        <v>10</v>
      </c>
      <c r="E140" s="6">
        <f t="shared" si="9"/>
        <v>8.5</v>
      </c>
      <c r="F140" s="6">
        <f t="shared" si="9"/>
        <v>7.2250000000000005</v>
      </c>
      <c r="G140" s="6">
        <f t="shared" si="9"/>
        <v>6.1412500000000003</v>
      </c>
      <c r="H140" s="6">
        <f t="shared" si="9"/>
        <v>5.2200625000000009</v>
      </c>
    </row>
    <row r="141" spans="2:8" x14ac:dyDescent="0.35">
      <c r="B141" t="s">
        <v>12</v>
      </c>
      <c r="C141" t="s">
        <v>15</v>
      </c>
      <c r="D141" s="6">
        <f t="shared" si="9"/>
        <v>34.5</v>
      </c>
      <c r="E141" s="6">
        <f t="shared" si="9"/>
        <v>29.324999999999999</v>
      </c>
      <c r="F141" s="6">
        <f t="shared" si="9"/>
        <v>24.92625</v>
      </c>
      <c r="G141" s="6">
        <f t="shared" si="9"/>
        <v>21.187312499999997</v>
      </c>
      <c r="H141" s="6">
        <f t="shared" si="9"/>
        <v>18.009215624999996</v>
      </c>
    </row>
    <row r="142" spans="2:8" x14ac:dyDescent="0.35">
      <c r="B142" s="4" t="s">
        <v>22</v>
      </c>
      <c r="C142" t="s">
        <v>15</v>
      </c>
    </row>
    <row r="143" spans="2:8" x14ac:dyDescent="0.35">
      <c r="B143" t="s">
        <v>13</v>
      </c>
      <c r="C143" t="s">
        <v>15</v>
      </c>
      <c r="D143" s="1">
        <v>75</v>
      </c>
      <c r="E143" s="1">
        <v>75</v>
      </c>
      <c r="F143" s="1">
        <v>75</v>
      </c>
      <c r="G143" s="1">
        <v>75</v>
      </c>
      <c r="H143" s="1">
        <v>75</v>
      </c>
    </row>
    <row r="144" spans="2:8" x14ac:dyDescent="0.35">
      <c r="B144" t="s">
        <v>11</v>
      </c>
      <c r="C144" t="s">
        <v>15</v>
      </c>
      <c r="D144" s="1">
        <v>15</v>
      </c>
      <c r="E144" s="1">
        <v>15</v>
      </c>
      <c r="F144" s="1">
        <v>15</v>
      </c>
      <c r="G144" s="1">
        <v>15</v>
      </c>
      <c r="H144" s="1">
        <v>15</v>
      </c>
    </row>
    <row r="145" spans="2:13" x14ac:dyDescent="0.35">
      <c r="B145" t="s">
        <v>12</v>
      </c>
      <c r="C145" t="s">
        <v>15</v>
      </c>
      <c r="D145" s="1">
        <v>60</v>
      </c>
      <c r="E145" s="1">
        <v>60</v>
      </c>
      <c r="F145" s="1">
        <v>60</v>
      </c>
      <c r="G145" s="1">
        <v>60</v>
      </c>
      <c r="H145" s="1">
        <v>60</v>
      </c>
    </row>
    <row r="146" spans="2:13" x14ac:dyDescent="0.35">
      <c r="B146" s="4" t="s">
        <v>25</v>
      </c>
      <c r="C146" t="s">
        <v>15</v>
      </c>
      <c r="J146" t="s">
        <v>82</v>
      </c>
    </row>
    <row r="147" spans="2:13" x14ac:dyDescent="0.35">
      <c r="B147" t="s">
        <v>13</v>
      </c>
      <c r="C147" t="s">
        <v>15</v>
      </c>
      <c r="D147" s="40">
        <f t="shared" ref="D147:H149" si="10">D131+D139+D143</f>
        <v>81.885137248963701</v>
      </c>
      <c r="E147" s="40">
        <f t="shared" si="10"/>
        <v>81.885137248963701</v>
      </c>
      <c r="F147" s="40">
        <f t="shared" si="10"/>
        <v>81.885137248963701</v>
      </c>
      <c r="G147" s="40">
        <f t="shared" si="10"/>
        <v>81.885137248963701</v>
      </c>
      <c r="H147" s="40">
        <f t="shared" si="10"/>
        <v>81.885137248963701</v>
      </c>
      <c r="J147" s="42" t="str">
        <f t="shared" ref="J147:M149" si="11">IF(E109&gt;0,E147,"-")</f>
        <v>-</v>
      </c>
      <c r="K147" s="42" t="str">
        <f t="shared" si="11"/>
        <v>-</v>
      </c>
      <c r="L147" s="42" t="str">
        <f t="shared" si="11"/>
        <v>-</v>
      </c>
      <c r="M147" s="42" t="str">
        <f t="shared" si="11"/>
        <v>-</v>
      </c>
    </row>
    <row r="148" spans="2:13" x14ac:dyDescent="0.35">
      <c r="B148" t="s">
        <v>11</v>
      </c>
      <c r="C148" t="s">
        <v>15</v>
      </c>
      <c r="D148" s="40">
        <f t="shared" si="10"/>
        <v>76.801829986182668</v>
      </c>
      <c r="E148" s="40">
        <f t="shared" si="10"/>
        <v>67.531555488255265</v>
      </c>
      <c r="F148" s="40">
        <f t="shared" si="10"/>
        <v>59.651822165016974</v>
      </c>
      <c r="G148" s="40">
        <f t="shared" si="10"/>
        <v>52.954048840264434</v>
      </c>
      <c r="H148" s="40">
        <f t="shared" si="10"/>
        <v>47.260941514224768</v>
      </c>
      <c r="J148" s="42">
        <f t="shared" si="11"/>
        <v>67.531555488255265</v>
      </c>
      <c r="K148" s="42">
        <f t="shared" si="11"/>
        <v>59.651822165016974</v>
      </c>
      <c r="L148" s="42">
        <f t="shared" si="11"/>
        <v>52.954048840264434</v>
      </c>
      <c r="M148" s="42">
        <f t="shared" si="11"/>
        <v>47.260941514224768</v>
      </c>
    </row>
    <row r="149" spans="2:13" x14ac:dyDescent="0.35">
      <c r="B149" t="s">
        <v>12</v>
      </c>
      <c r="C149" t="s">
        <v>15</v>
      </c>
      <c r="D149" s="40">
        <f t="shared" si="10"/>
        <v>243.43026121027515</v>
      </c>
      <c r="E149" s="40">
        <f t="shared" si="10"/>
        <v>215.91572202873388</v>
      </c>
      <c r="F149" s="40">
        <f t="shared" si="10"/>
        <v>192.5283637244238</v>
      </c>
      <c r="G149" s="40">
        <f t="shared" si="10"/>
        <v>172.64910916576022</v>
      </c>
      <c r="H149" s="40">
        <f t="shared" si="10"/>
        <v>155.75174279089617</v>
      </c>
      <c r="J149" s="42" t="str">
        <f t="shared" si="11"/>
        <v>-</v>
      </c>
      <c r="K149" s="42" t="str">
        <f t="shared" si="11"/>
        <v>-</v>
      </c>
      <c r="L149" s="42" t="str">
        <f t="shared" si="11"/>
        <v>-</v>
      </c>
      <c r="M149" s="42" t="str">
        <f t="shared" si="11"/>
        <v>-</v>
      </c>
    </row>
    <row r="150" spans="2:13" x14ac:dyDescent="0.35">
      <c r="D150" s="5"/>
      <c r="E150" s="5"/>
      <c r="F150" s="5"/>
      <c r="G150" s="5"/>
      <c r="H150" s="5"/>
    </row>
    <row r="151" spans="2:13" x14ac:dyDescent="0.35">
      <c r="B151" s="4" t="s">
        <v>23</v>
      </c>
      <c r="C151" t="s">
        <v>24</v>
      </c>
    </row>
    <row r="152" spans="2:13" x14ac:dyDescent="0.35">
      <c r="B152" t="s">
        <v>13</v>
      </c>
      <c r="C152" t="s">
        <v>24</v>
      </c>
      <c r="D152" s="7">
        <f t="shared" ref="D152:H154" si="12">D147*D109</f>
        <v>0</v>
      </c>
      <c r="E152" s="7">
        <f t="shared" si="12"/>
        <v>0</v>
      </c>
      <c r="F152" s="7">
        <f t="shared" si="12"/>
        <v>0</v>
      </c>
      <c r="G152" s="7">
        <f t="shared" si="12"/>
        <v>0</v>
      </c>
      <c r="H152" s="7">
        <f t="shared" si="12"/>
        <v>0</v>
      </c>
    </row>
    <row r="153" spans="2:13" x14ac:dyDescent="0.35">
      <c r="B153" t="s">
        <v>11</v>
      </c>
      <c r="C153" t="s">
        <v>24</v>
      </c>
      <c r="D153" s="7">
        <f t="shared" si="12"/>
        <v>0</v>
      </c>
      <c r="E153" s="7">
        <f t="shared" si="12"/>
        <v>826.58623917622629</v>
      </c>
      <c r="F153" s="7">
        <f t="shared" si="12"/>
        <v>1995.9499696414621</v>
      </c>
      <c r="G153" s="7">
        <f t="shared" si="12"/>
        <v>3177.2429304158659</v>
      </c>
      <c r="H153" s="7">
        <f t="shared" si="12"/>
        <v>3780.8753211379817</v>
      </c>
    </row>
    <row r="154" spans="2:13" x14ac:dyDescent="0.35">
      <c r="B154" t="s">
        <v>12</v>
      </c>
      <c r="C154" t="s">
        <v>24</v>
      </c>
      <c r="D154" s="7">
        <f t="shared" si="12"/>
        <v>0</v>
      </c>
      <c r="E154" s="7">
        <f t="shared" si="12"/>
        <v>0</v>
      </c>
      <c r="F154" s="7">
        <f t="shared" si="12"/>
        <v>0</v>
      </c>
      <c r="G154" s="7">
        <f t="shared" si="12"/>
        <v>0</v>
      </c>
      <c r="H154" s="7">
        <f t="shared" si="12"/>
        <v>0</v>
      </c>
    </row>
    <row r="155" spans="2:13" x14ac:dyDescent="0.35">
      <c r="I155" s="31">
        <f>SUM(D152:H154)</f>
        <v>9780.6544603715374</v>
      </c>
    </row>
    <row r="156" spans="2:13" x14ac:dyDescent="0.35">
      <c r="B156" s="30" t="s">
        <v>55</v>
      </c>
    </row>
    <row r="157" spans="2:13" ht="15" thickBot="1" x14ac:dyDescent="0.4">
      <c r="B157" s="4" t="s">
        <v>10</v>
      </c>
      <c r="E157">
        <f>SUM(E158:E160)</f>
        <v>0</v>
      </c>
      <c r="F157">
        <f>SUM(F158:F160)</f>
        <v>0</v>
      </c>
      <c r="G157">
        <f>SUM(G158:G160)</f>
        <v>0</v>
      </c>
      <c r="H157">
        <f>SUM(H158:H160)</f>
        <v>46.08</v>
      </c>
    </row>
    <row r="158" spans="2:13" x14ac:dyDescent="0.35">
      <c r="B158" t="s">
        <v>13</v>
      </c>
      <c r="C158" t="s">
        <v>3</v>
      </c>
      <c r="D158">
        <v>0</v>
      </c>
      <c r="E158" s="13">
        <v>0</v>
      </c>
      <c r="F158" s="14">
        <v>0</v>
      </c>
      <c r="G158" s="14">
        <v>0</v>
      </c>
      <c r="H158" s="15">
        <v>0</v>
      </c>
    </row>
    <row r="159" spans="2:13" x14ac:dyDescent="0.35">
      <c r="B159" t="s">
        <v>11</v>
      </c>
      <c r="C159" t="s">
        <v>3</v>
      </c>
      <c r="D159">
        <v>0</v>
      </c>
      <c r="E159" s="16">
        <v>0</v>
      </c>
      <c r="F159" s="17">
        <v>0</v>
      </c>
      <c r="G159" s="17">
        <v>0</v>
      </c>
      <c r="H159" s="18">
        <v>46.08</v>
      </c>
    </row>
    <row r="160" spans="2:13" ht="15" thickBot="1" x14ac:dyDescent="0.4">
      <c r="B160" t="s">
        <v>12</v>
      </c>
      <c r="C160" t="s">
        <v>3</v>
      </c>
      <c r="D160">
        <v>0</v>
      </c>
      <c r="E160" s="19">
        <v>0</v>
      </c>
      <c r="F160" s="20">
        <v>0</v>
      </c>
      <c r="G160" s="20">
        <v>0</v>
      </c>
      <c r="H160" s="21">
        <v>0</v>
      </c>
    </row>
    <row r="161" spans="2:13" x14ac:dyDescent="0.35">
      <c r="B161" s="4" t="s">
        <v>26</v>
      </c>
      <c r="E161" s="8"/>
      <c r="F161" s="8"/>
      <c r="G161" s="8"/>
      <c r="H161" s="8"/>
    </row>
    <row r="162" spans="2:13" x14ac:dyDescent="0.35">
      <c r="B162" t="s">
        <v>13</v>
      </c>
      <c r="C162" t="s">
        <v>3</v>
      </c>
      <c r="D162">
        <v>0</v>
      </c>
      <c r="E162" s="10">
        <v>50</v>
      </c>
      <c r="F162" s="10">
        <v>50</v>
      </c>
      <c r="G162" s="10">
        <v>50</v>
      </c>
      <c r="H162" s="10">
        <v>50</v>
      </c>
    </row>
    <row r="163" spans="2:13" x14ac:dyDescent="0.35">
      <c r="B163" t="s">
        <v>11</v>
      </c>
      <c r="C163" t="s">
        <v>3</v>
      </c>
      <c r="D163">
        <v>0</v>
      </c>
      <c r="E163" s="10">
        <v>20</v>
      </c>
      <c r="F163" s="10">
        <v>40</v>
      </c>
      <c r="G163" s="10">
        <v>60</v>
      </c>
      <c r="H163" s="10">
        <v>80</v>
      </c>
    </row>
    <row r="164" spans="2:13" x14ac:dyDescent="0.35">
      <c r="B164" t="s">
        <v>12</v>
      </c>
      <c r="C164" t="s">
        <v>3</v>
      </c>
      <c r="D164">
        <v>0</v>
      </c>
      <c r="E164" s="10">
        <v>5</v>
      </c>
      <c r="F164" s="10">
        <v>20</v>
      </c>
      <c r="G164" s="10">
        <v>25</v>
      </c>
      <c r="H164" s="10">
        <v>30</v>
      </c>
    </row>
    <row r="165" spans="2:13" x14ac:dyDescent="0.35">
      <c r="B165" t="s">
        <v>27</v>
      </c>
      <c r="E165" s="8"/>
      <c r="F165" s="8"/>
      <c r="G165" s="8"/>
      <c r="H165" s="8"/>
      <c r="J165" t="s">
        <v>30</v>
      </c>
    </row>
    <row r="166" spans="2:13" x14ac:dyDescent="0.35">
      <c r="B166" t="s">
        <v>13</v>
      </c>
      <c r="C166" t="s">
        <v>3</v>
      </c>
      <c r="D166">
        <v>0</v>
      </c>
      <c r="E166" s="11" t="str" cm="1">
        <f t="array" ref="E166">[1]!WB(E162-E158,"&gt;=",0)</f>
        <v>&gt;=</v>
      </c>
      <c r="F166" s="11" t="str" cm="1">
        <f t="array" ref="F166">[1]!WB(F162-F158,"&gt;=",0)</f>
        <v>&gt;=</v>
      </c>
      <c r="G166" s="11" t="str" cm="1">
        <f t="array" ref="G166">[1]!WB(G162-G158,"&gt;=",0)</f>
        <v>&gt;=</v>
      </c>
      <c r="H166" s="11" t="str" cm="1">
        <f t="array" ref="H166">[1]!WB(H162-H158,"&gt;=",0)</f>
        <v>&gt;=</v>
      </c>
      <c r="J166" s="11">
        <f>[1]!WBDUAL(E166,0)</f>
        <v>0</v>
      </c>
      <c r="K166" s="11">
        <f>[1]!WBDUAL(F166,0)</f>
        <v>0</v>
      </c>
      <c r="L166" s="11">
        <f>[1]!WBDUAL(G166,0)</f>
        <v>0</v>
      </c>
      <c r="M166" s="11">
        <f>[1]!WBDUAL(H166,0)</f>
        <v>0</v>
      </c>
    </row>
    <row r="167" spans="2:13" x14ac:dyDescent="0.35">
      <c r="B167" t="s">
        <v>11</v>
      </c>
      <c r="C167" t="s">
        <v>3</v>
      </c>
      <c r="D167">
        <v>0</v>
      </c>
      <c r="E167" s="11" t="str" cm="1">
        <f t="array" ref="E167">[1]!WB(E163-E159,"&gt;=",0)</f>
        <v>&gt;=</v>
      </c>
      <c r="F167" s="11" t="str" cm="1">
        <f t="array" ref="F167">[1]!WB(F163-F159,"&gt;=",0)</f>
        <v>&gt;=</v>
      </c>
      <c r="G167" s="11" t="str" cm="1">
        <f t="array" ref="G167">[1]!WB(G163-G159,"&gt;=",0)</f>
        <v>&gt;=</v>
      </c>
      <c r="H167" s="11" t="str" cm="1">
        <f t="array" ref="H167">[1]!WB(H163-H159,"&gt;=",0)</f>
        <v>&gt;=</v>
      </c>
      <c r="J167" s="11">
        <f>[1]!WBDUAL(E167,0)</f>
        <v>0</v>
      </c>
      <c r="K167" s="11">
        <f>[1]!WBDUAL(F167,0)</f>
        <v>0</v>
      </c>
      <c r="L167" s="11">
        <f>[1]!WBDUAL(G167,0)</f>
        <v>0</v>
      </c>
      <c r="M167" s="11">
        <f>[1]!WBDUAL(H167,0)</f>
        <v>0</v>
      </c>
    </row>
    <row r="168" spans="2:13" x14ac:dyDescent="0.35">
      <c r="B168" t="s">
        <v>12</v>
      </c>
      <c r="C168" t="s">
        <v>3</v>
      </c>
      <c r="D168">
        <v>0</v>
      </c>
      <c r="E168" s="11" t="str" cm="1">
        <f t="array" ref="E168">[1]!WB(E164-E160,"&gt;=",0)</f>
        <v>&gt;=</v>
      </c>
      <c r="F168" s="11" t="str" cm="1">
        <f t="array" ref="F168">[1]!WB(F164-F160,"&gt;=",0)</f>
        <v>&gt;=</v>
      </c>
      <c r="G168" s="11" t="str" cm="1">
        <f t="array" ref="G168">[1]!WB(G164-G160,"&gt;=",0)</f>
        <v>&gt;=</v>
      </c>
      <c r="H168" s="11" t="str" cm="1">
        <f t="array" ref="H168">[1]!WB(H164-H160,"&gt;=",0)</f>
        <v>&gt;=</v>
      </c>
      <c r="J168" s="11">
        <f>[1]!WBDUAL(E168,0)</f>
        <v>0</v>
      </c>
      <c r="K168" s="11">
        <f>[1]!WBDUAL(F168,0)</f>
        <v>0</v>
      </c>
      <c r="L168" s="11">
        <f>[1]!WBDUAL(G168,0)</f>
        <v>0</v>
      </c>
      <c r="M168" s="11">
        <f>[1]!WBDUAL(H168,0)</f>
        <v>0</v>
      </c>
    </row>
    <row r="169" spans="2:13" x14ac:dyDescent="0.35">
      <c r="E169" s="8"/>
      <c r="F169" s="8"/>
      <c r="G169" s="8"/>
      <c r="H169" s="8"/>
    </row>
    <row r="170" spans="2:13" x14ac:dyDescent="0.35">
      <c r="B170" s="4" t="s">
        <v>14</v>
      </c>
      <c r="C170" t="s">
        <v>15</v>
      </c>
    </row>
    <row r="171" spans="2:13" x14ac:dyDescent="0.35">
      <c r="B171" t="s">
        <v>13</v>
      </c>
      <c r="C171" t="s">
        <v>15</v>
      </c>
      <c r="D171" s="1">
        <v>10</v>
      </c>
      <c r="E171">
        <f>D171</f>
        <v>10</v>
      </c>
      <c r="F171">
        <f>E171</f>
        <v>10</v>
      </c>
      <c r="G171">
        <f>F171</f>
        <v>10</v>
      </c>
      <c r="H171">
        <f>G171</f>
        <v>10</v>
      </c>
    </row>
    <row r="172" spans="2:13" x14ac:dyDescent="0.35">
      <c r="B172" t="s">
        <v>11</v>
      </c>
      <c r="C172" t="s">
        <v>15</v>
      </c>
      <c r="D172" s="1">
        <v>600</v>
      </c>
      <c r="E172">
        <f t="shared" ref="E172:H173" si="13">D172*0.85</f>
        <v>510</v>
      </c>
      <c r="F172">
        <f t="shared" si="13"/>
        <v>433.5</v>
      </c>
      <c r="G172">
        <f t="shared" si="13"/>
        <v>368.47499999999997</v>
      </c>
      <c r="H172">
        <f t="shared" si="13"/>
        <v>313.20374999999996</v>
      </c>
    </row>
    <row r="173" spans="2:13" x14ac:dyDescent="0.35">
      <c r="B173" t="s">
        <v>12</v>
      </c>
      <c r="C173" t="s">
        <v>15</v>
      </c>
      <c r="D173" s="1">
        <v>1250</v>
      </c>
      <c r="E173">
        <f t="shared" si="13"/>
        <v>1062.5</v>
      </c>
      <c r="F173">
        <f t="shared" si="13"/>
        <v>903.125</v>
      </c>
      <c r="G173">
        <f t="shared" si="13"/>
        <v>767.65625</v>
      </c>
      <c r="H173">
        <f t="shared" si="13"/>
        <v>652.5078125</v>
      </c>
    </row>
    <row r="174" spans="2:13" x14ac:dyDescent="0.35">
      <c r="B174" s="4" t="s">
        <v>19</v>
      </c>
      <c r="C174" t="s">
        <v>18</v>
      </c>
    </row>
    <row r="175" spans="2:13" x14ac:dyDescent="0.35">
      <c r="B175" t="s">
        <v>13</v>
      </c>
      <c r="C175" t="s">
        <v>18</v>
      </c>
      <c r="D175" s="1">
        <v>10</v>
      </c>
      <c r="E175" s="1">
        <v>10</v>
      </c>
      <c r="F175" s="1">
        <v>10</v>
      </c>
      <c r="G175" s="1">
        <v>10</v>
      </c>
      <c r="H175" s="1">
        <v>10</v>
      </c>
    </row>
    <row r="176" spans="2:13" x14ac:dyDescent="0.35">
      <c r="B176" t="s">
        <v>11</v>
      </c>
      <c r="C176" t="s">
        <v>18</v>
      </c>
      <c r="D176" s="1">
        <v>10</v>
      </c>
      <c r="E176" s="1">
        <v>10</v>
      </c>
      <c r="F176" s="1">
        <v>10</v>
      </c>
      <c r="G176" s="1">
        <v>10</v>
      </c>
      <c r="H176" s="1">
        <v>10</v>
      </c>
    </row>
    <row r="177" spans="2:8" x14ac:dyDescent="0.35">
      <c r="B177" t="s">
        <v>12</v>
      </c>
      <c r="C177" t="s">
        <v>18</v>
      </c>
      <c r="D177" s="1">
        <v>10</v>
      </c>
      <c r="E177" s="1">
        <v>10</v>
      </c>
      <c r="F177" s="1">
        <v>10</v>
      </c>
      <c r="G177" s="1">
        <v>10</v>
      </c>
      <c r="H177" s="1">
        <v>10</v>
      </c>
    </row>
    <row r="178" spans="2:8" x14ac:dyDescent="0.35">
      <c r="B178" s="4" t="s">
        <v>21</v>
      </c>
      <c r="C178" t="s">
        <v>6</v>
      </c>
      <c r="D178" s="3">
        <v>0.05</v>
      </c>
      <c r="E178" s="3">
        <v>0.05</v>
      </c>
      <c r="F178" s="3">
        <v>0.05</v>
      </c>
      <c r="G178" s="3">
        <v>0.05</v>
      </c>
      <c r="H178" s="3">
        <v>0.05</v>
      </c>
    </row>
    <row r="179" spans="2:8" x14ac:dyDescent="0.35">
      <c r="B179" s="9" t="s">
        <v>16</v>
      </c>
      <c r="C179" t="s">
        <v>15</v>
      </c>
    </row>
    <row r="180" spans="2:8" x14ac:dyDescent="0.35">
      <c r="B180" t="s">
        <v>13</v>
      </c>
      <c r="C180" t="s">
        <v>15</v>
      </c>
      <c r="D180" s="5">
        <f t="shared" ref="D180:H182" si="14">PMT(D$80,D175,-D171)</f>
        <v>1.2950457496545666</v>
      </c>
      <c r="E180" s="5">
        <f t="shared" si="14"/>
        <v>1.2950457496545666</v>
      </c>
      <c r="F180" s="5">
        <f t="shared" si="14"/>
        <v>1.2950457496545666</v>
      </c>
      <c r="G180" s="5">
        <f t="shared" si="14"/>
        <v>1.2950457496545666</v>
      </c>
      <c r="H180" s="5">
        <f t="shared" si="14"/>
        <v>1.2950457496545666</v>
      </c>
    </row>
    <row r="181" spans="2:8" x14ac:dyDescent="0.35">
      <c r="B181" t="s">
        <v>11</v>
      </c>
      <c r="C181" t="s">
        <v>15</v>
      </c>
      <c r="D181" s="5">
        <f t="shared" si="14"/>
        <v>77.702744979274001</v>
      </c>
      <c r="E181" s="5">
        <f t="shared" si="14"/>
        <v>66.047333232382897</v>
      </c>
      <c r="F181" s="5">
        <f t="shared" si="14"/>
        <v>56.140233247525465</v>
      </c>
      <c r="G181" s="5">
        <f t="shared" si="14"/>
        <v>47.719198260396638</v>
      </c>
      <c r="H181" s="5">
        <f t="shared" si="14"/>
        <v>40.561318521337142</v>
      </c>
    </row>
    <row r="182" spans="2:8" x14ac:dyDescent="0.35">
      <c r="B182" t="s">
        <v>12</v>
      </c>
      <c r="C182" t="s">
        <v>15</v>
      </c>
      <c r="D182" s="5">
        <f t="shared" si="14"/>
        <v>161.88071870682083</v>
      </c>
      <c r="E182" s="5">
        <f t="shared" si="14"/>
        <v>137.59861090079769</v>
      </c>
      <c r="F182" s="5">
        <f t="shared" si="14"/>
        <v>116.95881926567804</v>
      </c>
      <c r="G182" s="5">
        <f t="shared" si="14"/>
        <v>99.414996375826348</v>
      </c>
      <c r="H182" s="5">
        <f t="shared" si="14"/>
        <v>84.502746919452392</v>
      </c>
    </row>
    <row r="183" spans="2:8" x14ac:dyDescent="0.35">
      <c r="B183" s="4" t="s">
        <v>20</v>
      </c>
      <c r="C183" t="s">
        <v>6</v>
      </c>
    </row>
    <row r="184" spans="2:8" x14ac:dyDescent="0.35">
      <c r="B184" t="s">
        <v>13</v>
      </c>
      <c r="C184" t="s">
        <v>6</v>
      </c>
      <c r="D184" s="3">
        <v>0.1</v>
      </c>
      <c r="E184" s="3">
        <v>0.1</v>
      </c>
      <c r="F184" s="3">
        <v>0.1</v>
      </c>
      <c r="G184" s="3">
        <v>0.1</v>
      </c>
      <c r="H184" s="3">
        <v>0.1</v>
      </c>
    </row>
    <row r="185" spans="2:8" x14ac:dyDescent="0.35">
      <c r="B185" t="s">
        <v>11</v>
      </c>
      <c r="C185" t="s">
        <v>6</v>
      </c>
      <c r="D185" s="3">
        <v>2.5000000000000001E-2</v>
      </c>
      <c r="E185" s="3">
        <v>2.5000000000000001E-2</v>
      </c>
      <c r="F185" s="3">
        <v>2.5000000000000001E-2</v>
      </c>
      <c r="G185" s="3">
        <v>2.5000000000000001E-2</v>
      </c>
      <c r="H185" s="3">
        <v>2.5000000000000001E-2</v>
      </c>
    </row>
    <row r="186" spans="2:8" x14ac:dyDescent="0.35">
      <c r="B186" t="s">
        <v>12</v>
      </c>
      <c r="C186" t="s">
        <v>6</v>
      </c>
      <c r="D186" s="3">
        <v>0.03</v>
      </c>
      <c r="E186" s="3">
        <v>0.03</v>
      </c>
      <c r="F186" s="3">
        <v>0.03</v>
      </c>
      <c r="G186" s="3">
        <v>0.03</v>
      </c>
      <c r="H186" s="3">
        <v>0.03</v>
      </c>
    </row>
    <row r="187" spans="2:8" x14ac:dyDescent="0.35">
      <c r="B187" s="4" t="s">
        <v>17</v>
      </c>
      <c r="C187" t="s">
        <v>15</v>
      </c>
    </row>
    <row r="188" spans="2:8" x14ac:dyDescent="0.35">
      <c r="B188" t="s">
        <v>13</v>
      </c>
      <c r="C188" t="s">
        <v>15</v>
      </c>
      <c r="D188" s="6">
        <f t="shared" ref="D188:H190" si="15">D184*D171</f>
        <v>1</v>
      </c>
      <c r="E188" s="6">
        <f t="shared" si="15"/>
        <v>1</v>
      </c>
      <c r="F188" s="6">
        <f t="shared" si="15"/>
        <v>1</v>
      </c>
      <c r="G188" s="6">
        <f t="shared" si="15"/>
        <v>1</v>
      </c>
      <c r="H188" s="6">
        <f t="shared" si="15"/>
        <v>1</v>
      </c>
    </row>
    <row r="189" spans="2:8" x14ac:dyDescent="0.35">
      <c r="B189" t="s">
        <v>11</v>
      </c>
      <c r="C189" t="s">
        <v>15</v>
      </c>
      <c r="D189" s="6">
        <f t="shared" si="15"/>
        <v>15</v>
      </c>
      <c r="E189" s="6">
        <f t="shared" si="15"/>
        <v>12.75</v>
      </c>
      <c r="F189" s="6">
        <f t="shared" si="15"/>
        <v>10.8375</v>
      </c>
      <c r="G189" s="6">
        <f t="shared" si="15"/>
        <v>9.2118749999999991</v>
      </c>
      <c r="H189" s="6">
        <f t="shared" si="15"/>
        <v>7.8300937499999996</v>
      </c>
    </row>
    <row r="190" spans="2:8" x14ac:dyDescent="0.35">
      <c r="B190" t="s">
        <v>12</v>
      </c>
      <c r="C190" t="s">
        <v>15</v>
      </c>
      <c r="D190" s="6">
        <f t="shared" si="15"/>
        <v>37.5</v>
      </c>
      <c r="E190" s="6">
        <f t="shared" si="15"/>
        <v>31.875</v>
      </c>
      <c r="F190" s="6">
        <f t="shared" si="15"/>
        <v>27.09375</v>
      </c>
      <c r="G190" s="6">
        <f t="shared" si="15"/>
        <v>23.029687499999998</v>
      </c>
      <c r="H190" s="6">
        <f t="shared" si="15"/>
        <v>19.575234375000001</v>
      </c>
    </row>
    <row r="191" spans="2:8" x14ac:dyDescent="0.35">
      <c r="B191" s="4" t="s">
        <v>22</v>
      </c>
      <c r="C191" t="s">
        <v>15</v>
      </c>
    </row>
    <row r="192" spans="2:8" x14ac:dyDescent="0.35">
      <c r="B192" t="s">
        <v>13</v>
      </c>
      <c r="C192" t="s">
        <v>15</v>
      </c>
      <c r="D192" s="1">
        <v>75</v>
      </c>
      <c r="E192" s="1">
        <v>75</v>
      </c>
      <c r="F192" s="1">
        <v>75</v>
      </c>
      <c r="G192" s="1">
        <v>75</v>
      </c>
      <c r="H192" s="1">
        <v>75</v>
      </c>
    </row>
    <row r="193" spans="2:13" x14ac:dyDescent="0.35">
      <c r="B193" t="s">
        <v>11</v>
      </c>
      <c r="C193" t="s">
        <v>15</v>
      </c>
      <c r="D193" s="1">
        <v>15</v>
      </c>
      <c r="E193" s="1">
        <v>15</v>
      </c>
      <c r="F193" s="1">
        <v>15</v>
      </c>
      <c r="G193" s="1">
        <v>15</v>
      </c>
      <c r="H193" s="1">
        <v>15</v>
      </c>
    </row>
    <row r="194" spans="2:13" x14ac:dyDescent="0.35">
      <c r="B194" t="s">
        <v>12</v>
      </c>
      <c r="C194" t="s">
        <v>15</v>
      </c>
      <c r="D194" s="1">
        <v>60</v>
      </c>
      <c r="E194" s="1">
        <v>60</v>
      </c>
      <c r="F194" s="1">
        <v>60</v>
      </c>
      <c r="G194" s="1">
        <v>60</v>
      </c>
      <c r="H194" s="1">
        <v>60</v>
      </c>
    </row>
    <row r="195" spans="2:13" x14ac:dyDescent="0.35">
      <c r="B195" s="4" t="s">
        <v>25</v>
      </c>
      <c r="C195" t="s">
        <v>15</v>
      </c>
      <c r="J195" t="s">
        <v>82</v>
      </c>
    </row>
    <row r="196" spans="2:13" x14ac:dyDescent="0.35">
      <c r="B196" t="s">
        <v>13</v>
      </c>
      <c r="C196" t="s">
        <v>15</v>
      </c>
      <c r="D196" s="40">
        <f t="shared" ref="D196:H198" si="16">D180+D188+D192</f>
        <v>77.295045749654562</v>
      </c>
      <c r="E196" s="40">
        <f t="shared" si="16"/>
        <v>77.295045749654562</v>
      </c>
      <c r="F196" s="40">
        <f t="shared" si="16"/>
        <v>77.295045749654562</v>
      </c>
      <c r="G196" s="40">
        <f t="shared" si="16"/>
        <v>77.295045749654562</v>
      </c>
      <c r="H196" s="40">
        <f t="shared" si="16"/>
        <v>77.295045749654562</v>
      </c>
      <c r="J196" s="42" t="str">
        <f t="shared" ref="J196:M198" si="17">IF(E158&gt;0,E196,"-")</f>
        <v>-</v>
      </c>
      <c r="K196" s="42" t="str">
        <f t="shared" si="17"/>
        <v>-</v>
      </c>
      <c r="L196" s="42" t="str">
        <f t="shared" si="17"/>
        <v>-</v>
      </c>
      <c r="M196" s="42" t="str">
        <f t="shared" si="17"/>
        <v>-</v>
      </c>
    </row>
    <row r="197" spans="2:13" x14ac:dyDescent="0.35">
      <c r="B197" t="s">
        <v>11</v>
      </c>
      <c r="C197" t="s">
        <v>15</v>
      </c>
      <c r="D197" s="40">
        <f t="shared" si="16"/>
        <v>107.702744979274</v>
      </c>
      <c r="E197" s="40">
        <f t="shared" si="16"/>
        <v>93.797333232382897</v>
      </c>
      <c r="F197" s="40">
        <f t="shared" si="16"/>
        <v>81.977733247525464</v>
      </c>
      <c r="G197" s="40">
        <f t="shared" si="16"/>
        <v>71.93107326039663</v>
      </c>
      <c r="H197" s="40">
        <f t="shared" si="16"/>
        <v>63.391412271337146</v>
      </c>
      <c r="J197" s="42" t="str">
        <f t="shared" si="17"/>
        <v>-</v>
      </c>
      <c r="K197" s="42" t="str">
        <f t="shared" si="17"/>
        <v>-</v>
      </c>
      <c r="L197" s="42" t="str">
        <f t="shared" si="17"/>
        <v>-</v>
      </c>
      <c r="M197" s="42">
        <f t="shared" si="17"/>
        <v>63.391412271337146</v>
      </c>
    </row>
    <row r="198" spans="2:13" x14ac:dyDescent="0.35">
      <c r="B198" t="s">
        <v>12</v>
      </c>
      <c r="C198" t="s">
        <v>15</v>
      </c>
      <c r="D198" s="40">
        <f t="shared" si="16"/>
        <v>259.38071870682086</v>
      </c>
      <c r="E198" s="40">
        <f t="shared" si="16"/>
        <v>229.47361090079769</v>
      </c>
      <c r="F198" s="40">
        <f t="shared" si="16"/>
        <v>204.05256926567804</v>
      </c>
      <c r="G198" s="40">
        <f t="shared" si="16"/>
        <v>182.44468387582634</v>
      </c>
      <c r="H198" s="40">
        <f t="shared" si="16"/>
        <v>164.0779812944524</v>
      </c>
      <c r="J198" s="42" t="str">
        <f t="shared" si="17"/>
        <v>-</v>
      </c>
      <c r="K198" s="42" t="str">
        <f t="shared" si="17"/>
        <v>-</v>
      </c>
      <c r="L198" s="42" t="str">
        <f t="shared" si="17"/>
        <v>-</v>
      </c>
      <c r="M198" s="42" t="str">
        <f t="shared" si="17"/>
        <v>-</v>
      </c>
    </row>
    <row r="199" spans="2:13" x14ac:dyDescent="0.35">
      <c r="D199" s="5"/>
      <c r="E199" s="5"/>
      <c r="F199" s="5"/>
      <c r="G199" s="5"/>
      <c r="H199" s="5"/>
    </row>
    <row r="200" spans="2:13" x14ac:dyDescent="0.35">
      <c r="B200" s="4" t="s">
        <v>23</v>
      </c>
      <c r="C200" t="s">
        <v>24</v>
      </c>
    </row>
    <row r="201" spans="2:13" x14ac:dyDescent="0.35">
      <c r="B201" t="s">
        <v>13</v>
      </c>
      <c r="C201" t="s">
        <v>24</v>
      </c>
      <c r="D201" s="7">
        <f t="shared" ref="D201:H203" si="18">D196*D158</f>
        <v>0</v>
      </c>
      <c r="E201" s="7">
        <f t="shared" si="18"/>
        <v>0</v>
      </c>
      <c r="F201" s="7">
        <f t="shared" si="18"/>
        <v>0</v>
      </c>
      <c r="G201" s="7">
        <f t="shared" si="18"/>
        <v>0</v>
      </c>
      <c r="H201" s="7">
        <f t="shared" si="18"/>
        <v>0</v>
      </c>
    </row>
    <row r="202" spans="2:13" x14ac:dyDescent="0.35">
      <c r="B202" t="s">
        <v>11</v>
      </c>
      <c r="C202" t="s">
        <v>24</v>
      </c>
      <c r="D202" s="7">
        <f t="shared" si="18"/>
        <v>0</v>
      </c>
      <c r="E202" s="7">
        <f t="shared" si="18"/>
        <v>0</v>
      </c>
      <c r="F202" s="7">
        <f t="shared" si="18"/>
        <v>0</v>
      </c>
      <c r="G202" s="7">
        <f t="shared" si="18"/>
        <v>0</v>
      </c>
      <c r="H202" s="7">
        <f t="shared" si="18"/>
        <v>2921.0762774632158</v>
      </c>
    </row>
    <row r="203" spans="2:13" x14ac:dyDescent="0.35">
      <c r="B203" t="s">
        <v>12</v>
      </c>
      <c r="C203" t="s">
        <v>24</v>
      </c>
      <c r="D203" s="7">
        <f t="shared" si="18"/>
        <v>0</v>
      </c>
      <c r="E203" s="7">
        <f t="shared" si="18"/>
        <v>0</v>
      </c>
      <c r="F203" s="7">
        <f t="shared" si="18"/>
        <v>0</v>
      </c>
      <c r="G203" s="7">
        <f t="shared" si="18"/>
        <v>0</v>
      </c>
      <c r="H203" s="7">
        <f t="shared" si="18"/>
        <v>0</v>
      </c>
    </row>
    <row r="204" spans="2:13" x14ac:dyDescent="0.35">
      <c r="I204" s="31">
        <f>SUM(D201:H203)</f>
        <v>2921.0762774632158</v>
      </c>
    </row>
    <row r="205" spans="2:13" x14ac:dyDescent="0.35">
      <c r="B205" s="30" t="s">
        <v>56</v>
      </c>
    </row>
    <row r="206" spans="2:13" ht="15" thickBot="1" x14ac:dyDescent="0.4">
      <c r="B206" s="4" t="s">
        <v>10</v>
      </c>
      <c r="E206">
        <f>SUM(E207:E209)</f>
        <v>0</v>
      </c>
      <c r="F206">
        <f>SUM(F207:F209)</f>
        <v>0</v>
      </c>
      <c r="G206">
        <f>SUM(G207:G209)</f>
        <v>0</v>
      </c>
      <c r="H206">
        <f>SUM(H207:H209)</f>
        <v>34.559999999999995</v>
      </c>
    </row>
    <row r="207" spans="2:13" x14ac:dyDescent="0.35">
      <c r="B207" t="s">
        <v>13</v>
      </c>
      <c r="C207" t="s">
        <v>3</v>
      </c>
      <c r="D207">
        <v>0</v>
      </c>
      <c r="E207" s="13">
        <v>0</v>
      </c>
      <c r="F207" s="14">
        <v>0</v>
      </c>
      <c r="G207" s="14">
        <v>0</v>
      </c>
      <c r="H207" s="15">
        <v>0</v>
      </c>
    </row>
    <row r="208" spans="2:13" x14ac:dyDescent="0.35">
      <c r="B208" t="s">
        <v>11</v>
      </c>
      <c r="C208" t="s">
        <v>3</v>
      </c>
      <c r="D208">
        <v>0</v>
      </c>
      <c r="E208" s="16">
        <v>0</v>
      </c>
      <c r="F208" s="17">
        <v>0</v>
      </c>
      <c r="G208" s="17">
        <v>0</v>
      </c>
      <c r="H208" s="18">
        <v>34.559999999999995</v>
      </c>
    </row>
    <row r="209" spans="2:13" ht="15" thickBot="1" x14ac:dyDescent="0.4">
      <c r="B209" t="s">
        <v>12</v>
      </c>
      <c r="C209" t="s">
        <v>3</v>
      </c>
      <c r="D209">
        <v>0</v>
      </c>
      <c r="E209" s="19">
        <v>0</v>
      </c>
      <c r="F209" s="20">
        <v>0</v>
      </c>
      <c r="G209" s="20">
        <v>0</v>
      </c>
      <c r="H209" s="21">
        <v>0</v>
      </c>
    </row>
    <row r="210" spans="2:13" x14ac:dyDescent="0.35">
      <c r="B210" s="4" t="s">
        <v>26</v>
      </c>
      <c r="E210" s="8"/>
      <c r="F210" s="8"/>
      <c r="G210" s="8"/>
      <c r="H210" s="8"/>
    </row>
    <row r="211" spans="2:13" x14ac:dyDescent="0.35">
      <c r="B211" t="s">
        <v>13</v>
      </c>
      <c r="C211" t="s">
        <v>3</v>
      </c>
      <c r="D211">
        <v>0</v>
      </c>
      <c r="E211" s="10">
        <v>50</v>
      </c>
      <c r="F211" s="10">
        <v>50</v>
      </c>
      <c r="G211" s="10">
        <v>50</v>
      </c>
      <c r="H211" s="10">
        <v>50</v>
      </c>
    </row>
    <row r="212" spans="2:13" x14ac:dyDescent="0.35">
      <c r="B212" t="s">
        <v>11</v>
      </c>
      <c r="C212" t="s">
        <v>3</v>
      </c>
      <c r="D212">
        <v>0</v>
      </c>
      <c r="E212" s="10">
        <v>20</v>
      </c>
      <c r="F212" s="10">
        <v>40</v>
      </c>
      <c r="G212" s="10">
        <v>60</v>
      </c>
      <c r="H212" s="10">
        <v>80</v>
      </c>
    </row>
    <row r="213" spans="2:13" x14ac:dyDescent="0.35">
      <c r="B213" t="s">
        <v>12</v>
      </c>
      <c r="C213" t="s">
        <v>3</v>
      </c>
      <c r="D213">
        <v>0</v>
      </c>
      <c r="E213" s="10">
        <v>5</v>
      </c>
      <c r="F213" s="10">
        <v>20</v>
      </c>
      <c r="G213" s="10">
        <v>25</v>
      </c>
      <c r="H213" s="10">
        <v>30</v>
      </c>
    </row>
    <row r="214" spans="2:13" x14ac:dyDescent="0.35">
      <c r="B214" t="s">
        <v>27</v>
      </c>
      <c r="E214" s="8"/>
      <c r="F214" s="8"/>
      <c r="G214" s="8"/>
      <c r="H214" s="8"/>
      <c r="J214" t="s">
        <v>30</v>
      </c>
    </row>
    <row r="215" spans="2:13" x14ac:dyDescent="0.35">
      <c r="B215" t="s">
        <v>13</v>
      </c>
      <c r="C215" t="s">
        <v>3</v>
      </c>
      <c r="D215">
        <v>0</v>
      </c>
      <c r="E215" s="11" t="str" cm="1">
        <f t="array" ref="E215">[1]!WB(E211-E207,"&gt;=",0)</f>
        <v>&gt;=</v>
      </c>
      <c r="F215" s="11" t="str" cm="1">
        <f t="array" ref="F215">[1]!WB(F211-F207,"&gt;=",0)</f>
        <v>&gt;=</v>
      </c>
      <c r="G215" s="11" t="str" cm="1">
        <f t="array" ref="G215">[1]!WB(G211-G207,"&gt;=",0)</f>
        <v>&gt;=</v>
      </c>
      <c r="H215" s="11" t="str" cm="1">
        <f t="array" ref="H215">[1]!WB(H211-H207,"&gt;=",0)</f>
        <v>&gt;=</v>
      </c>
      <c r="J215" s="11">
        <f>[1]!WBDUAL(E215,0)</f>
        <v>0</v>
      </c>
      <c r="K215" s="11">
        <f>[1]!WBDUAL(F215,0)</f>
        <v>0</v>
      </c>
      <c r="L215" s="11">
        <f>[1]!WBDUAL(G215,0)</f>
        <v>0</v>
      </c>
      <c r="M215" s="11">
        <f>[1]!WBDUAL(H215,0)</f>
        <v>0</v>
      </c>
    </row>
    <row r="216" spans="2:13" x14ac:dyDescent="0.35">
      <c r="B216" t="s">
        <v>11</v>
      </c>
      <c r="C216" t="s">
        <v>3</v>
      </c>
      <c r="D216">
        <v>0</v>
      </c>
      <c r="E216" s="11" t="str" cm="1">
        <f t="array" ref="E216">[1]!WB(E212-E208,"&gt;=",0)</f>
        <v>&gt;=</v>
      </c>
      <c r="F216" s="11" t="str" cm="1">
        <f t="array" ref="F216">[1]!WB(F212-F208,"&gt;=",0)</f>
        <v>&gt;=</v>
      </c>
      <c r="G216" s="11" t="str" cm="1">
        <f t="array" ref="G216">[1]!WB(G212-G208,"&gt;=",0)</f>
        <v>&gt;=</v>
      </c>
      <c r="H216" s="11" t="str" cm="1">
        <f t="array" ref="H216">[1]!WB(H212-H208,"&gt;=",0)</f>
        <v>&gt;=</v>
      </c>
      <c r="J216" s="11">
        <f>[1]!WBDUAL(E216,0)</f>
        <v>0</v>
      </c>
      <c r="K216" s="11">
        <f>[1]!WBDUAL(F216,0)</f>
        <v>0</v>
      </c>
      <c r="L216" s="11">
        <f>[1]!WBDUAL(G216,0)</f>
        <v>0</v>
      </c>
      <c r="M216" s="11">
        <f>[1]!WBDUAL(H216,0)</f>
        <v>0</v>
      </c>
    </row>
    <row r="217" spans="2:13" x14ac:dyDescent="0.35">
      <c r="B217" t="s">
        <v>12</v>
      </c>
      <c r="C217" t="s">
        <v>3</v>
      </c>
      <c r="D217">
        <v>0</v>
      </c>
      <c r="E217" s="11" t="str" cm="1">
        <f t="array" ref="E217">[1]!WB(E213-E209,"&gt;=",0)</f>
        <v>&gt;=</v>
      </c>
      <c r="F217" s="11" t="str" cm="1">
        <f t="array" ref="F217">[1]!WB(F213-F209,"&gt;=",0)</f>
        <v>&gt;=</v>
      </c>
      <c r="G217" s="11" t="str" cm="1">
        <f t="array" ref="G217">[1]!WB(G213-G209,"&gt;=",0)</f>
        <v>&gt;=</v>
      </c>
      <c r="H217" s="11" t="str" cm="1">
        <f t="array" ref="H217">[1]!WB(H213-H209,"&gt;=",0)</f>
        <v>&gt;=</v>
      </c>
      <c r="J217" s="11">
        <f>[1]!WBDUAL(E217,0)</f>
        <v>0</v>
      </c>
      <c r="K217" s="11">
        <f>[1]!WBDUAL(F217,0)</f>
        <v>0</v>
      </c>
      <c r="L217" s="11">
        <f>[1]!WBDUAL(G217,0)</f>
        <v>0</v>
      </c>
      <c r="M217" s="11">
        <f>[1]!WBDUAL(H217,0)</f>
        <v>0</v>
      </c>
    </row>
    <row r="218" spans="2:13" x14ac:dyDescent="0.35">
      <c r="E218" s="8"/>
      <c r="F218" s="8"/>
      <c r="G218" s="8"/>
      <c r="H218" s="8"/>
    </row>
    <row r="219" spans="2:13" x14ac:dyDescent="0.35">
      <c r="B219" s="4" t="s">
        <v>14</v>
      </c>
      <c r="C219" t="s">
        <v>15</v>
      </c>
    </row>
    <row r="220" spans="2:13" x14ac:dyDescent="0.35">
      <c r="B220" t="s">
        <v>13</v>
      </c>
      <c r="C220" t="s">
        <v>15</v>
      </c>
      <c r="D220" s="1">
        <v>30</v>
      </c>
      <c r="E220">
        <f>D220</f>
        <v>30</v>
      </c>
      <c r="F220">
        <f>E220</f>
        <v>30</v>
      </c>
      <c r="G220">
        <f>F220</f>
        <v>30</v>
      </c>
      <c r="H220">
        <f>G220</f>
        <v>30</v>
      </c>
    </row>
    <row r="221" spans="2:13" x14ac:dyDescent="0.35">
      <c r="B221" t="s">
        <v>11</v>
      </c>
      <c r="C221" t="s">
        <v>15</v>
      </c>
      <c r="D221" s="1">
        <v>550</v>
      </c>
      <c r="E221">
        <f t="shared" ref="E221:H222" si="19">D221*0.85</f>
        <v>467.5</v>
      </c>
      <c r="F221">
        <f t="shared" si="19"/>
        <v>397.375</v>
      </c>
      <c r="G221">
        <f t="shared" si="19"/>
        <v>337.76875000000001</v>
      </c>
      <c r="H221">
        <f t="shared" si="19"/>
        <v>287.10343749999998</v>
      </c>
    </row>
    <row r="222" spans="2:13" x14ac:dyDescent="0.35">
      <c r="B222" t="s">
        <v>12</v>
      </c>
      <c r="C222" t="s">
        <v>15</v>
      </c>
      <c r="D222" s="1">
        <v>1050</v>
      </c>
      <c r="E222">
        <f t="shared" si="19"/>
        <v>892.5</v>
      </c>
      <c r="F222">
        <f t="shared" si="19"/>
        <v>758.625</v>
      </c>
      <c r="G222">
        <f t="shared" si="19"/>
        <v>644.83124999999995</v>
      </c>
      <c r="H222">
        <f t="shared" si="19"/>
        <v>548.1065625</v>
      </c>
    </row>
    <row r="223" spans="2:13" x14ac:dyDescent="0.35">
      <c r="B223" s="4" t="s">
        <v>19</v>
      </c>
      <c r="C223" t="s">
        <v>18</v>
      </c>
    </row>
    <row r="224" spans="2:13" x14ac:dyDescent="0.35">
      <c r="B224" t="s">
        <v>13</v>
      </c>
      <c r="C224" t="s">
        <v>18</v>
      </c>
      <c r="D224" s="1">
        <v>10</v>
      </c>
      <c r="E224" s="1">
        <v>10</v>
      </c>
      <c r="F224" s="1">
        <v>10</v>
      </c>
      <c r="G224" s="1">
        <v>10</v>
      </c>
      <c r="H224" s="1">
        <v>10</v>
      </c>
    </row>
    <row r="225" spans="2:8" x14ac:dyDescent="0.35">
      <c r="B225" t="s">
        <v>11</v>
      </c>
      <c r="C225" t="s">
        <v>18</v>
      </c>
      <c r="D225" s="1">
        <v>10</v>
      </c>
      <c r="E225" s="1">
        <v>10</v>
      </c>
      <c r="F225" s="1">
        <v>10</v>
      </c>
      <c r="G225" s="1">
        <v>10</v>
      </c>
      <c r="H225" s="1">
        <v>10</v>
      </c>
    </row>
    <row r="226" spans="2:8" x14ac:dyDescent="0.35">
      <c r="B226" t="s">
        <v>12</v>
      </c>
      <c r="C226" t="s">
        <v>18</v>
      </c>
      <c r="D226" s="1">
        <v>10</v>
      </c>
      <c r="E226" s="1">
        <v>10</v>
      </c>
      <c r="F226" s="1">
        <v>10</v>
      </c>
      <c r="G226" s="1">
        <v>10</v>
      </c>
      <c r="H226" s="1">
        <v>10</v>
      </c>
    </row>
    <row r="227" spans="2:8" x14ac:dyDescent="0.35">
      <c r="B227" s="4" t="s">
        <v>21</v>
      </c>
      <c r="C227" t="s">
        <v>6</v>
      </c>
      <c r="D227" s="3">
        <v>0.05</v>
      </c>
      <c r="E227" s="3">
        <v>0.05</v>
      </c>
      <c r="F227" s="3">
        <v>0.05</v>
      </c>
      <c r="G227" s="3">
        <v>0.05</v>
      </c>
      <c r="H227" s="3">
        <v>0.05</v>
      </c>
    </row>
    <row r="228" spans="2:8" x14ac:dyDescent="0.35">
      <c r="B228" s="9" t="s">
        <v>16</v>
      </c>
      <c r="C228" t="s">
        <v>15</v>
      </c>
    </row>
    <row r="229" spans="2:8" x14ac:dyDescent="0.35">
      <c r="B229" t="s">
        <v>13</v>
      </c>
      <c r="C229" t="s">
        <v>15</v>
      </c>
      <c r="D229" s="5">
        <f t="shared" ref="D229:H231" si="20">PMT(D$80,D224,-D220)</f>
        <v>3.8851372489637002</v>
      </c>
      <c r="E229" s="5">
        <f t="shared" si="20"/>
        <v>3.8851372489637002</v>
      </c>
      <c r="F229" s="5">
        <f t="shared" si="20"/>
        <v>3.8851372489637002</v>
      </c>
      <c r="G229" s="5">
        <f t="shared" si="20"/>
        <v>3.8851372489637002</v>
      </c>
      <c r="H229" s="5">
        <f t="shared" si="20"/>
        <v>3.8851372489637002</v>
      </c>
    </row>
    <row r="230" spans="2:8" x14ac:dyDescent="0.35">
      <c r="B230" t="s">
        <v>11</v>
      </c>
      <c r="C230" t="s">
        <v>15</v>
      </c>
      <c r="D230" s="5">
        <f t="shared" si="20"/>
        <v>71.227516231001161</v>
      </c>
      <c r="E230" s="5">
        <f t="shared" si="20"/>
        <v>60.543388796350989</v>
      </c>
      <c r="F230" s="5">
        <f t="shared" si="20"/>
        <v>51.461880476898344</v>
      </c>
      <c r="G230" s="5">
        <f t="shared" si="20"/>
        <v>43.742598405363594</v>
      </c>
      <c r="H230" s="5">
        <f t="shared" si="20"/>
        <v>37.18120864455905</v>
      </c>
    </row>
    <row r="231" spans="2:8" x14ac:dyDescent="0.35">
      <c r="B231" t="s">
        <v>12</v>
      </c>
      <c r="C231" t="s">
        <v>15</v>
      </c>
      <c r="D231" s="5">
        <f t="shared" si="20"/>
        <v>135.9798037137295</v>
      </c>
      <c r="E231" s="5">
        <f t="shared" si="20"/>
        <v>115.58283315667006</v>
      </c>
      <c r="F231" s="5">
        <f t="shared" si="20"/>
        <v>98.245408183169559</v>
      </c>
      <c r="G231" s="5">
        <f t="shared" si="20"/>
        <v>83.508596955694131</v>
      </c>
      <c r="H231" s="5">
        <f t="shared" si="20"/>
        <v>70.982307412340006</v>
      </c>
    </row>
    <row r="232" spans="2:8" x14ac:dyDescent="0.35">
      <c r="B232" s="4" t="s">
        <v>20</v>
      </c>
      <c r="C232" t="s">
        <v>6</v>
      </c>
    </row>
    <row r="233" spans="2:8" x14ac:dyDescent="0.35">
      <c r="B233" t="s">
        <v>13</v>
      </c>
      <c r="C233" t="s">
        <v>6</v>
      </c>
      <c r="D233" s="3">
        <v>0.1</v>
      </c>
      <c r="E233" s="3">
        <v>0.1</v>
      </c>
      <c r="F233" s="3">
        <v>0.1</v>
      </c>
      <c r="G233" s="3">
        <v>0.1</v>
      </c>
      <c r="H233" s="3">
        <v>0.1</v>
      </c>
    </row>
    <row r="234" spans="2:8" x14ac:dyDescent="0.35">
      <c r="B234" t="s">
        <v>11</v>
      </c>
      <c r="C234" t="s">
        <v>6</v>
      </c>
      <c r="D234" s="3">
        <v>2.5000000000000001E-2</v>
      </c>
      <c r="E234" s="3">
        <v>2.5000000000000001E-2</v>
      </c>
      <c r="F234" s="3">
        <v>2.5000000000000001E-2</v>
      </c>
      <c r="G234" s="3">
        <v>2.5000000000000001E-2</v>
      </c>
      <c r="H234" s="3">
        <v>2.5000000000000001E-2</v>
      </c>
    </row>
    <row r="235" spans="2:8" x14ac:dyDescent="0.35">
      <c r="B235" t="s">
        <v>12</v>
      </c>
      <c r="C235" t="s">
        <v>6</v>
      </c>
      <c r="D235" s="3">
        <v>0.03</v>
      </c>
      <c r="E235" s="3">
        <v>0.03</v>
      </c>
      <c r="F235" s="3">
        <v>0.03</v>
      </c>
      <c r="G235" s="3">
        <v>0.03</v>
      </c>
      <c r="H235" s="3">
        <v>0.03</v>
      </c>
    </row>
    <row r="236" spans="2:8" x14ac:dyDescent="0.35">
      <c r="B236" s="4" t="s">
        <v>17</v>
      </c>
      <c r="C236" t="s">
        <v>15</v>
      </c>
    </row>
    <row r="237" spans="2:8" x14ac:dyDescent="0.35">
      <c r="B237" t="s">
        <v>13</v>
      </c>
      <c r="C237" t="s">
        <v>15</v>
      </c>
      <c r="D237" s="6">
        <f t="shared" ref="D237:H239" si="21">D233*D220</f>
        <v>3</v>
      </c>
      <c r="E237" s="6">
        <f t="shared" si="21"/>
        <v>3</v>
      </c>
      <c r="F237" s="6">
        <f t="shared" si="21"/>
        <v>3</v>
      </c>
      <c r="G237" s="6">
        <f t="shared" si="21"/>
        <v>3</v>
      </c>
      <c r="H237" s="6">
        <f t="shared" si="21"/>
        <v>3</v>
      </c>
    </row>
    <row r="238" spans="2:8" x14ac:dyDescent="0.35">
      <c r="B238" t="s">
        <v>11</v>
      </c>
      <c r="C238" t="s">
        <v>15</v>
      </c>
      <c r="D238" s="6">
        <f t="shared" si="21"/>
        <v>13.75</v>
      </c>
      <c r="E238" s="6">
        <f t="shared" si="21"/>
        <v>11.6875</v>
      </c>
      <c r="F238" s="6">
        <f t="shared" si="21"/>
        <v>9.9343750000000011</v>
      </c>
      <c r="G238" s="6">
        <f t="shared" si="21"/>
        <v>8.444218750000001</v>
      </c>
      <c r="H238" s="6">
        <f t="shared" si="21"/>
        <v>7.1775859375</v>
      </c>
    </row>
    <row r="239" spans="2:8" x14ac:dyDescent="0.35">
      <c r="B239" t="s">
        <v>12</v>
      </c>
      <c r="C239" t="s">
        <v>15</v>
      </c>
      <c r="D239" s="6">
        <f t="shared" si="21"/>
        <v>31.5</v>
      </c>
      <c r="E239" s="6">
        <f t="shared" si="21"/>
        <v>26.774999999999999</v>
      </c>
      <c r="F239" s="6">
        <f t="shared" si="21"/>
        <v>22.758749999999999</v>
      </c>
      <c r="G239" s="6">
        <f t="shared" si="21"/>
        <v>19.344937499999997</v>
      </c>
      <c r="H239" s="6">
        <f t="shared" si="21"/>
        <v>16.443196874999998</v>
      </c>
    </row>
    <row r="240" spans="2:8" x14ac:dyDescent="0.35">
      <c r="B240" s="4" t="s">
        <v>22</v>
      </c>
      <c r="C240" t="s">
        <v>15</v>
      </c>
    </row>
    <row r="241" spans="2:13" x14ac:dyDescent="0.35">
      <c r="B241" t="s">
        <v>13</v>
      </c>
      <c r="C241" t="s">
        <v>15</v>
      </c>
      <c r="D241" s="1">
        <v>75</v>
      </c>
      <c r="E241" s="1">
        <v>75</v>
      </c>
      <c r="F241" s="1">
        <v>75</v>
      </c>
      <c r="G241" s="1">
        <v>75</v>
      </c>
      <c r="H241" s="1">
        <v>75</v>
      </c>
    </row>
    <row r="242" spans="2:13" x14ac:dyDescent="0.35">
      <c r="B242" t="s">
        <v>11</v>
      </c>
      <c r="C242" t="s">
        <v>15</v>
      </c>
      <c r="D242" s="1">
        <v>15</v>
      </c>
      <c r="E242" s="1">
        <v>15</v>
      </c>
      <c r="F242" s="1">
        <v>15</v>
      </c>
      <c r="G242" s="1">
        <v>15</v>
      </c>
      <c r="H242" s="1">
        <v>15</v>
      </c>
    </row>
    <row r="243" spans="2:13" x14ac:dyDescent="0.35">
      <c r="B243" t="s">
        <v>12</v>
      </c>
      <c r="C243" t="s">
        <v>15</v>
      </c>
      <c r="D243" s="1">
        <v>60</v>
      </c>
      <c r="E243" s="1">
        <v>60</v>
      </c>
      <c r="F243" s="1">
        <v>60</v>
      </c>
      <c r="G243" s="1">
        <v>60</v>
      </c>
      <c r="H243" s="1">
        <v>60</v>
      </c>
    </row>
    <row r="244" spans="2:13" x14ac:dyDescent="0.35">
      <c r="B244" s="4" t="s">
        <v>25</v>
      </c>
      <c r="C244" t="s">
        <v>15</v>
      </c>
      <c r="J244" t="s">
        <v>82</v>
      </c>
    </row>
    <row r="245" spans="2:13" x14ac:dyDescent="0.35">
      <c r="B245" t="s">
        <v>13</v>
      </c>
      <c r="C245" t="s">
        <v>15</v>
      </c>
      <c r="D245" s="40">
        <f t="shared" ref="D245:H247" si="22">D229+D237+D241</f>
        <v>81.885137248963701</v>
      </c>
      <c r="E245" s="40">
        <f t="shared" si="22"/>
        <v>81.885137248963701</v>
      </c>
      <c r="F245" s="40">
        <f t="shared" si="22"/>
        <v>81.885137248963701</v>
      </c>
      <c r="G245" s="40">
        <f t="shared" si="22"/>
        <v>81.885137248963701</v>
      </c>
      <c r="H245" s="40">
        <f t="shared" si="22"/>
        <v>81.885137248963701</v>
      </c>
      <c r="J245" s="42" t="str">
        <f t="shared" ref="J245:M247" si="23">IF(E207&gt;0,E245,"-")</f>
        <v>-</v>
      </c>
      <c r="K245" s="42" t="str">
        <f t="shared" si="23"/>
        <v>-</v>
      </c>
      <c r="L245" s="42" t="str">
        <f t="shared" si="23"/>
        <v>-</v>
      </c>
      <c r="M245" s="42" t="str">
        <f t="shared" si="23"/>
        <v>-</v>
      </c>
    </row>
    <row r="246" spans="2:13" x14ac:dyDescent="0.35">
      <c r="B246" t="s">
        <v>11</v>
      </c>
      <c r="C246" t="s">
        <v>15</v>
      </c>
      <c r="D246" s="40">
        <f t="shared" si="22"/>
        <v>99.977516231001161</v>
      </c>
      <c r="E246" s="40">
        <f t="shared" si="22"/>
        <v>87.230888796350996</v>
      </c>
      <c r="F246" s="40">
        <f t="shared" si="22"/>
        <v>76.396255476898347</v>
      </c>
      <c r="G246" s="40">
        <f t="shared" si="22"/>
        <v>67.186817155363599</v>
      </c>
      <c r="H246" s="40">
        <f t="shared" si="22"/>
        <v>59.358794582059048</v>
      </c>
      <c r="J246" s="42" t="str">
        <f t="shared" si="23"/>
        <v>-</v>
      </c>
      <c r="K246" s="42" t="str">
        <f t="shared" si="23"/>
        <v>-</v>
      </c>
      <c r="L246" s="42" t="str">
        <f t="shared" si="23"/>
        <v>-</v>
      </c>
      <c r="M246" s="42">
        <f t="shared" si="23"/>
        <v>59.358794582059048</v>
      </c>
    </row>
    <row r="247" spans="2:13" x14ac:dyDescent="0.35">
      <c r="B247" t="s">
        <v>12</v>
      </c>
      <c r="C247" t="s">
        <v>15</v>
      </c>
      <c r="D247" s="40">
        <f t="shared" si="22"/>
        <v>227.4798037137295</v>
      </c>
      <c r="E247" s="40">
        <f t="shared" si="22"/>
        <v>202.35783315667007</v>
      </c>
      <c r="F247" s="40">
        <f t="shared" si="22"/>
        <v>181.00415818316955</v>
      </c>
      <c r="G247" s="40">
        <f t="shared" si="22"/>
        <v>162.85353445569413</v>
      </c>
      <c r="H247" s="40">
        <f t="shared" si="22"/>
        <v>147.42550428734</v>
      </c>
      <c r="J247" s="42" t="str">
        <f t="shared" si="23"/>
        <v>-</v>
      </c>
      <c r="K247" s="42" t="str">
        <f t="shared" si="23"/>
        <v>-</v>
      </c>
      <c r="L247" s="42" t="str">
        <f t="shared" si="23"/>
        <v>-</v>
      </c>
      <c r="M247" s="42" t="str">
        <f t="shared" si="23"/>
        <v>-</v>
      </c>
    </row>
    <row r="248" spans="2:13" x14ac:dyDescent="0.35">
      <c r="D248" s="5"/>
      <c r="E248" s="5"/>
      <c r="F248" s="5"/>
      <c r="G248" s="5"/>
      <c r="H248" s="5"/>
    </row>
    <row r="249" spans="2:13" x14ac:dyDescent="0.35">
      <c r="B249" s="4" t="s">
        <v>23</v>
      </c>
      <c r="C249" t="s">
        <v>24</v>
      </c>
    </row>
    <row r="250" spans="2:13" x14ac:dyDescent="0.35">
      <c r="B250" t="s">
        <v>13</v>
      </c>
      <c r="C250" t="s">
        <v>24</v>
      </c>
      <c r="D250" s="7">
        <f t="shared" ref="D250:H252" si="24">D245*D207</f>
        <v>0</v>
      </c>
      <c r="E250" s="7">
        <f t="shared" si="24"/>
        <v>0</v>
      </c>
      <c r="F250" s="7">
        <f t="shared" si="24"/>
        <v>0</v>
      </c>
      <c r="G250" s="7">
        <f t="shared" si="24"/>
        <v>0</v>
      </c>
      <c r="H250" s="7">
        <f t="shared" si="24"/>
        <v>0</v>
      </c>
    </row>
    <row r="251" spans="2:13" x14ac:dyDescent="0.35">
      <c r="B251" t="s">
        <v>11</v>
      </c>
      <c r="C251" t="s">
        <v>24</v>
      </c>
      <c r="D251" s="7">
        <f t="shared" si="24"/>
        <v>0</v>
      </c>
      <c r="E251" s="7">
        <f t="shared" si="24"/>
        <v>0</v>
      </c>
      <c r="F251" s="7">
        <f t="shared" si="24"/>
        <v>0</v>
      </c>
      <c r="G251" s="7">
        <f t="shared" si="24"/>
        <v>0</v>
      </c>
      <c r="H251" s="7">
        <f t="shared" si="24"/>
        <v>2051.4399407559604</v>
      </c>
    </row>
    <row r="252" spans="2:13" x14ac:dyDescent="0.35">
      <c r="B252" t="s">
        <v>12</v>
      </c>
      <c r="C252" t="s">
        <v>24</v>
      </c>
      <c r="D252" s="7">
        <f t="shared" si="24"/>
        <v>0</v>
      </c>
      <c r="E252" s="7">
        <f t="shared" si="24"/>
        <v>0</v>
      </c>
      <c r="F252" s="7">
        <f t="shared" si="24"/>
        <v>0</v>
      </c>
      <c r="G252" s="7">
        <f t="shared" si="24"/>
        <v>0</v>
      </c>
      <c r="H252" s="7">
        <f t="shared" si="24"/>
        <v>0</v>
      </c>
    </row>
    <row r="253" spans="2:13" x14ac:dyDescent="0.35">
      <c r="I253" s="31">
        <f>SUM(D250:H252)</f>
        <v>2051.4399407559604</v>
      </c>
    </row>
    <row r="254" spans="2:13" x14ac:dyDescent="0.35">
      <c r="I254" s="31"/>
    </row>
    <row r="255" spans="2:13" x14ac:dyDescent="0.35">
      <c r="B255" s="30" t="s">
        <v>60</v>
      </c>
    </row>
    <row r="256" spans="2:13" ht="15" thickBot="1" x14ac:dyDescent="0.4">
      <c r="B256" s="4" t="s">
        <v>10</v>
      </c>
      <c r="E256">
        <f>SUM(E257:E259)</f>
        <v>0</v>
      </c>
      <c r="F256">
        <f>SUM(F257:F259)</f>
        <v>0</v>
      </c>
      <c r="G256">
        <f>SUM(G257:G259)</f>
        <v>25</v>
      </c>
      <c r="H256">
        <f>SUM(H257:H259)</f>
        <v>40</v>
      </c>
    </row>
    <row r="257" spans="2:13" x14ac:dyDescent="0.35">
      <c r="B257" t="s">
        <v>13</v>
      </c>
      <c r="C257" t="s">
        <v>3</v>
      </c>
      <c r="D257">
        <v>0</v>
      </c>
      <c r="E257" s="13">
        <v>0</v>
      </c>
      <c r="F257" s="14">
        <v>0</v>
      </c>
      <c r="G257" s="14">
        <v>0</v>
      </c>
      <c r="H257" s="15">
        <v>0</v>
      </c>
    </row>
    <row r="258" spans="2:13" x14ac:dyDescent="0.35">
      <c r="B258" t="s">
        <v>11</v>
      </c>
      <c r="C258" t="s">
        <v>3</v>
      </c>
      <c r="D258">
        <v>0</v>
      </c>
      <c r="E258" s="16">
        <v>0</v>
      </c>
      <c r="F258" s="17">
        <v>0</v>
      </c>
      <c r="G258" s="17">
        <v>25</v>
      </c>
      <c r="H258" s="18">
        <v>40</v>
      </c>
    </row>
    <row r="259" spans="2:13" ht="15" thickBot="1" x14ac:dyDescent="0.4">
      <c r="B259" t="s">
        <v>12</v>
      </c>
      <c r="C259" t="s">
        <v>3</v>
      </c>
      <c r="D259">
        <v>0</v>
      </c>
      <c r="E259" s="19">
        <v>0</v>
      </c>
      <c r="F259" s="20">
        <v>0</v>
      </c>
      <c r="G259" s="20">
        <v>0</v>
      </c>
      <c r="H259" s="21">
        <v>0</v>
      </c>
    </row>
    <row r="260" spans="2:13" x14ac:dyDescent="0.35">
      <c r="B260" s="4" t="s">
        <v>26</v>
      </c>
      <c r="E260" s="8"/>
      <c r="F260" s="8"/>
      <c r="G260" s="8"/>
      <c r="H260" s="8"/>
    </row>
    <row r="261" spans="2:13" x14ac:dyDescent="0.35">
      <c r="B261" t="s">
        <v>13</v>
      </c>
      <c r="C261" t="s">
        <v>3</v>
      </c>
      <c r="D261">
        <v>0</v>
      </c>
      <c r="E261" s="10">
        <v>5</v>
      </c>
      <c r="F261" s="10">
        <v>10</v>
      </c>
      <c r="G261" s="10">
        <v>25</v>
      </c>
      <c r="H261" s="10">
        <v>40</v>
      </c>
    </row>
    <row r="262" spans="2:13" x14ac:dyDescent="0.35">
      <c r="B262" t="s">
        <v>11</v>
      </c>
      <c r="C262" t="s">
        <v>3</v>
      </c>
      <c r="D262">
        <v>0</v>
      </c>
      <c r="E262" s="10">
        <v>5</v>
      </c>
      <c r="F262" s="10">
        <v>10</v>
      </c>
      <c r="G262" s="10">
        <v>25</v>
      </c>
      <c r="H262" s="10">
        <v>40</v>
      </c>
    </row>
    <row r="263" spans="2:13" x14ac:dyDescent="0.35">
      <c r="B263" t="s">
        <v>12</v>
      </c>
      <c r="C263" t="s">
        <v>3</v>
      </c>
      <c r="D263">
        <v>0</v>
      </c>
      <c r="E263" s="10">
        <v>5</v>
      </c>
      <c r="F263" s="10">
        <v>10</v>
      </c>
      <c r="G263" s="10">
        <v>25</v>
      </c>
      <c r="H263" s="10">
        <v>40</v>
      </c>
    </row>
    <row r="264" spans="2:13" x14ac:dyDescent="0.35">
      <c r="B264" t="s">
        <v>27</v>
      </c>
      <c r="E264" s="8"/>
      <c r="F264" s="8"/>
      <c r="G264" s="8"/>
      <c r="H264" s="8"/>
      <c r="J264" t="s">
        <v>30</v>
      </c>
    </row>
    <row r="265" spans="2:13" x14ac:dyDescent="0.35">
      <c r="B265" t="s">
        <v>13</v>
      </c>
      <c r="C265" t="s">
        <v>3</v>
      </c>
      <c r="D265">
        <v>0</v>
      </c>
      <c r="E265" s="11" t="str" cm="1">
        <f t="array" ref="E265">[1]!WB(E261-E257,"&gt;=",0)</f>
        <v>&gt;=</v>
      </c>
      <c r="F265" s="11" t="str" cm="1">
        <f t="array" ref="F265">[1]!WB(F261-F257,"&gt;=",0)</f>
        <v>&gt;=</v>
      </c>
      <c r="G265" s="11" t="str" cm="1">
        <f t="array" ref="G265">[1]!WB(G261-G257,"&gt;=",0)</f>
        <v>&gt;=</v>
      </c>
      <c r="H265" s="11" t="str" cm="1">
        <f t="array" ref="H265">[1]!WB(H261-H257,"&gt;=",0)</f>
        <v>&gt;=</v>
      </c>
      <c r="J265" s="11">
        <f>[1]!WBDUAL(E265,0)</f>
        <v>0</v>
      </c>
      <c r="K265" s="11">
        <f>[1]!WBDUAL(F265,0)</f>
        <v>0</v>
      </c>
      <c r="L265" s="11">
        <f>[1]!WBDUAL(G265,0)</f>
        <v>0</v>
      </c>
      <c r="M265" s="11">
        <f>[1]!WBDUAL(H265,0)</f>
        <v>0</v>
      </c>
    </row>
    <row r="266" spans="2:13" x14ac:dyDescent="0.35">
      <c r="B266" t="s">
        <v>11</v>
      </c>
      <c r="C266" t="s">
        <v>3</v>
      </c>
      <c r="D266">
        <v>0</v>
      </c>
      <c r="E266" s="11" t="str" cm="1">
        <f t="array" ref="E266">[1]!WB(E262-E258,"&gt;=",0)</f>
        <v>&gt;=</v>
      </c>
      <c r="F266" s="11" t="str" cm="1">
        <f t="array" ref="F266">[1]!WB(F262-F258,"&gt;=",0)</f>
        <v>&gt;=</v>
      </c>
      <c r="G266" s="11" t="str" cm="1">
        <f t="array" ref="G266">[1]!WB(G262-G258,"&gt;=",0)</f>
        <v>=&gt;=</v>
      </c>
      <c r="H266" s="11" t="str" cm="1">
        <f t="array" ref="H266">[1]!WB(H262-H258,"&gt;=",0)</f>
        <v>=&gt;=</v>
      </c>
      <c r="J266" s="11">
        <f>[1]!WBDUAL(E266,0)</f>
        <v>0</v>
      </c>
      <c r="K266" s="11">
        <f>[1]!WBDUAL(F266,0)</f>
        <v>0</v>
      </c>
      <c r="L266" s="11">
        <f>[1]!WBDUAL(G266,-4.74425610503305)</f>
        <v>-4.7442561050330498</v>
      </c>
      <c r="M266" s="11">
        <f>[1]!WBDUAL(H266,-14.032617689278)</f>
        <v>-14.032617689278</v>
      </c>
    </row>
    <row r="267" spans="2:13" x14ac:dyDescent="0.35">
      <c r="B267" t="s">
        <v>12</v>
      </c>
      <c r="C267" t="s">
        <v>3</v>
      </c>
      <c r="D267">
        <v>0</v>
      </c>
      <c r="E267" s="11" t="str" cm="1">
        <f t="array" ref="E267">[1]!WB(E263-E259,"&gt;=",0)</f>
        <v>&gt;=</v>
      </c>
      <c r="F267" s="11" t="str" cm="1">
        <f t="array" ref="F267">[1]!WB(F263-F259,"&gt;=",0)</f>
        <v>&gt;=</v>
      </c>
      <c r="G267" s="11" t="str" cm="1">
        <f t="array" ref="G267">[1]!WB(G263-G259,"&gt;=",0)</f>
        <v>&gt;=</v>
      </c>
      <c r="H267" s="11" t="str" cm="1">
        <f t="array" ref="H267">[1]!WB(H263-H259,"&gt;=",0)</f>
        <v>&gt;=</v>
      </c>
      <c r="J267" s="11">
        <f>[1]!WBDUAL(E267,0)</f>
        <v>0</v>
      </c>
      <c r="K267" s="11">
        <f>[1]!WBDUAL(F267,0)</f>
        <v>0</v>
      </c>
      <c r="L267" s="11">
        <f>[1]!WBDUAL(G267,0)</f>
        <v>0</v>
      </c>
      <c r="M267" s="11">
        <f>[1]!WBDUAL(H267,0)</f>
        <v>0</v>
      </c>
    </row>
    <row r="268" spans="2:13" x14ac:dyDescent="0.35">
      <c r="E268" s="8"/>
      <c r="F268" s="8"/>
      <c r="G268" s="8"/>
      <c r="H268" s="8"/>
    </row>
    <row r="269" spans="2:13" x14ac:dyDescent="0.35">
      <c r="B269" s="4" t="s">
        <v>14</v>
      </c>
      <c r="C269" t="s">
        <v>15</v>
      </c>
    </row>
    <row r="270" spans="2:13" x14ac:dyDescent="0.35">
      <c r="B270" t="s">
        <v>13</v>
      </c>
      <c r="C270" t="s">
        <v>15</v>
      </c>
      <c r="D270" s="1">
        <v>18</v>
      </c>
      <c r="E270">
        <f>D270</f>
        <v>18</v>
      </c>
      <c r="F270">
        <f>E270</f>
        <v>18</v>
      </c>
      <c r="G270">
        <f>F270</f>
        <v>18</v>
      </c>
      <c r="H270">
        <f>G270</f>
        <v>18</v>
      </c>
    </row>
    <row r="271" spans="2:13" x14ac:dyDescent="0.35">
      <c r="B271" t="s">
        <v>11</v>
      </c>
      <c r="C271" t="s">
        <v>15</v>
      </c>
      <c r="D271" s="1">
        <v>450</v>
      </c>
      <c r="E271">
        <f t="shared" ref="E271:H272" si="25">D271*0.85</f>
        <v>382.5</v>
      </c>
      <c r="F271">
        <f t="shared" si="25"/>
        <v>325.125</v>
      </c>
      <c r="G271">
        <f t="shared" si="25"/>
        <v>276.35624999999999</v>
      </c>
      <c r="H271">
        <f t="shared" si="25"/>
        <v>234.90281249999998</v>
      </c>
    </row>
    <row r="272" spans="2:13" x14ac:dyDescent="0.35">
      <c r="B272" t="s">
        <v>12</v>
      </c>
      <c r="C272" t="s">
        <v>15</v>
      </c>
      <c r="D272" s="1">
        <v>950</v>
      </c>
      <c r="E272">
        <f t="shared" si="25"/>
        <v>807.5</v>
      </c>
      <c r="F272">
        <f t="shared" si="25"/>
        <v>686.375</v>
      </c>
      <c r="G272">
        <f t="shared" si="25"/>
        <v>583.41874999999993</v>
      </c>
      <c r="H272">
        <f t="shared" si="25"/>
        <v>495.90593749999994</v>
      </c>
    </row>
    <row r="273" spans="2:8" x14ac:dyDescent="0.35">
      <c r="B273" s="4" t="s">
        <v>19</v>
      </c>
      <c r="C273" t="s">
        <v>18</v>
      </c>
    </row>
    <row r="274" spans="2:8" x14ac:dyDescent="0.35">
      <c r="B274" t="s">
        <v>13</v>
      </c>
      <c r="C274" t="s">
        <v>18</v>
      </c>
      <c r="D274" s="1">
        <v>10</v>
      </c>
      <c r="E274" s="1">
        <v>10</v>
      </c>
      <c r="F274" s="1">
        <v>10</v>
      </c>
      <c r="G274" s="1">
        <v>10</v>
      </c>
      <c r="H274" s="1">
        <v>10</v>
      </c>
    </row>
    <row r="275" spans="2:8" x14ac:dyDescent="0.35">
      <c r="B275" t="s">
        <v>11</v>
      </c>
      <c r="C275" t="s">
        <v>18</v>
      </c>
      <c r="D275" s="1">
        <v>10</v>
      </c>
      <c r="E275" s="1">
        <v>10</v>
      </c>
      <c r="F275" s="1">
        <v>10</v>
      </c>
      <c r="G275" s="1">
        <v>10</v>
      </c>
      <c r="H275" s="1">
        <v>10</v>
      </c>
    </row>
    <row r="276" spans="2:8" x14ac:dyDescent="0.35">
      <c r="B276" t="s">
        <v>12</v>
      </c>
      <c r="C276" t="s">
        <v>18</v>
      </c>
      <c r="D276" s="1">
        <v>10</v>
      </c>
      <c r="E276" s="1">
        <v>10</v>
      </c>
      <c r="F276" s="1">
        <v>10</v>
      </c>
      <c r="G276" s="1">
        <v>10</v>
      </c>
      <c r="H276" s="1">
        <v>10</v>
      </c>
    </row>
    <row r="277" spans="2:8" x14ac:dyDescent="0.35">
      <c r="B277" s="4" t="s">
        <v>21</v>
      </c>
      <c r="C277" t="s">
        <v>6</v>
      </c>
      <c r="D277" s="3">
        <v>0.05</v>
      </c>
      <c r="E277" s="3">
        <v>0.05</v>
      </c>
      <c r="F277" s="3">
        <v>0.05</v>
      </c>
      <c r="G277" s="3">
        <v>0.05</v>
      </c>
      <c r="H277" s="3">
        <v>0.05</v>
      </c>
    </row>
    <row r="278" spans="2:8" x14ac:dyDescent="0.35">
      <c r="B278" s="9" t="s">
        <v>16</v>
      </c>
      <c r="C278" t="s">
        <v>15</v>
      </c>
    </row>
    <row r="279" spans="2:8" x14ac:dyDescent="0.35">
      <c r="B279" t="s">
        <v>13</v>
      </c>
      <c r="C279" t="s">
        <v>15</v>
      </c>
      <c r="D279" s="5">
        <f t="shared" ref="D279:H281" si="26">PMT(D$80,D274,-D270)</f>
        <v>2.33108234937822</v>
      </c>
      <c r="E279" s="5">
        <f t="shared" si="26"/>
        <v>2.33108234937822</v>
      </c>
      <c r="F279" s="5">
        <f t="shared" si="26"/>
        <v>2.33108234937822</v>
      </c>
      <c r="G279" s="5">
        <f t="shared" si="26"/>
        <v>2.33108234937822</v>
      </c>
      <c r="H279" s="5">
        <f t="shared" si="26"/>
        <v>2.33108234937822</v>
      </c>
    </row>
    <row r="280" spans="2:8" x14ac:dyDescent="0.35">
      <c r="B280" t="s">
        <v>11</v>
      </c>
      <c r="C280" t="s">
        <v>15</v>
      </c>
      <c r="D280" s="5">
        <f t="shared" si="26"/>
        <v>58.277058734455501</v>
      </c>
      <c r="E280" s="5">
        <f t="shared" si="26"/>
        <v>49.535499924287173</v>
      </c>
      <c r="F280" s="5">
        <f t="shared" si="26"/>
        <v>42.105174935644101</v>
      </c>
      <c r="G280" s="5">
        <f t="shared" si="26"/>
        <v>35.789398695297479</v>
      </c>
      <c r="H280" s="5">
        <f t="shared" si="26"/>
        <v>30.420988891002857</v>
      </c>
    </row>
    <row r="281" spans="2:8" x14ac:dyDescent="0.35">
      <c r="B281" t="s">
        <v>12</v>
      </c>
      <c r="C281" t="s">
        <v>15</v>
      </c>
      <c r="D281" s="5">
        <f t="shared" si="26"/>
        <v>123.02934621718383</v>
      </c>
      <c r="E281" s="5">
        <f t="shared" si="26"/>
        <v>104.57494428460626</v>
      </c>
      <c r="F281" s="5">
        <f t="shared" si="26"/>
        <v>88.888702641915316</v>
      </c>
      <c r="G281" s="5">
        <f t="shared" si="26"/>
        <v>75.555397245628015</v>
      </c>
      <c r="H281" s="5">
        <f t="shared" si="26"/>
        <v>64.222087658783806</v>
      </c>
    </row>
    <row r="282" spans="2:8" x14ac:dyDescent="0.35">
      <c r="B282" s="4" t="s">
        <v>20</v>
      </c>
      <c r="C282" t="s">
        <v>6</v>
      </c>
    </row>
    <row r="283" spans="2:8" x14ac:dyDescent="0.35">
      <c r="B283" t="s">
        <v>13</v>
      </c>
      <c r="C283" t="s">
        <v>6</v>
      </c>
      <c r="D283" s="3">
        <v>0.1</v>
      </c>
      <c r="E283" s="3">
        <v>0.1</v>
      </c>
      <c r="F283" s="3">
        <v>0.1</v>
      </c>
      <c r="G283" s="3">
        <v>0.1</v>
      </c>
      <c r="H283" s="3">
        <v>0.1</v>
      </c>
    </row>
    <row r="284" spans="2:8" x14ac:dyDescent="0.35">
      <c r="B284" t="s">
        <v>11</v>
      </c>
      <c r="C284" t="s">
        <v>6</v>
      </c>
      <c r="D284" s="3">
        <v>2.5000000000000001E-2</v>
      </c>
      <c r="E284" s="3">
        <v>2.5000000000000001E-2</v>
      </c>
      <c r="F284" s="3">
        <v>2.5000000000000001E-2</v>
      </c>
      <c r="G284" s="3">
        <v>2.5000000000000001E-2</v>
      </c>
      <c r="H284" s="3">
        <v>2.5000000000000001E-2</v>
      </c>
    </row>
    <row r="285" spans="2:8" x14ac:dyDescent="0.35">
      <c r="B285" t="s">
        <v>12</v>
      </c>
      <c r="C285" t="s">
        <v>6</v>
      </c>
      <c r="D285" s="3">
        <v>0.03</v>
      </c>
      <c r="E285" s="3">
        <v>0.03</v>
      </c>
      <c r="F285" s="3">
        <v>0.03</v>
      </c>
      <c r="G285" s="3">
        <v>0.03</v>
      </c>
      <c r="H285" s="3">
        <v>0.03</v>
      </c>
    </row>
    <row r="286" spans="2:8" x14ac:dyDescent="0.35">
      <c r="B286" s="4" t="s">
        <v>17</v>
      </c>
      <c r="C286" t="s">
        <v>15</v>
      </c>
    </row>
    <row r="287" spans="2:8" x14ac:dyDescent="0.35">
      <c r="B287" t="s">
        <v>13</v>
      </c>
      <c r="C287" t="s">
        <v>15</v>
      </c>
      <c r="D287" s="6">
        <f t="shared" ref="D287:H289" si="27">D283*D270</f>
        <v>1.8</v>
      </c>
      <c r="E287" s="6">
        <f t="shared" si="27"/>
        <v>1.8</v>
      </c>
      <c r="F287" s="6">
        <f t="shared" si="27"/>
        <v>1.8</v>
      </c>
      <c r="G287" s="6">
        <f t="shared" si="27"/>
        <v>1.8</v>
      </c>
      <c r="H287" s="6">
        <f t="shared" si="27"/>
        <v>1.8</v>
      </c>
    </row>
    <row r="288" spans="2:8" x14ac:dyDescent="0.35">
      <c r="B288" t="s">
        <v>11</v>
      </c>
      <c r="C288" t="s">
        <v>15</v>
      </c>
      <c r="D288" s="6">
        <f t="shared" si="27"/>
        <v>11.25</v>
      </c>
      <c r="E288" s="6">
        <f t="shared" si="27"/>
        <v>9.5625</v>
      </c>
      <c r="F288" s="6">
        <f t="shared" si="27"/>
        <v>8.1281250000000007</v>
      </c>
      <c r="G288" s="6">
        <f t="shared" si="27"/>
        <v>6.9089062500000002</v>
      </c>
      <c r="H288" s="6">
        <f t="shared" si="27"/>
        <v>5.8725703124999997</v>
      </c>
    </row>
    <row r="289" spans="2:13" x14ac:dyDescent="0.35">
      <c r="B289" t="s">
        <v>12</v>
      </c>
      <c r="C289" t="s">
        <v>15</v>
      </c>
      <c r="D289" s="6">
        <f t="shared" si="27"/>
        <v>28.5</v>
      </c>
      <c r="E289" s="6">
        <f t="shared" si="27"/>
        <v>24.224999999999998</v>
      </c>
      <c r="F289" s="6">
        <f t="shared" si="27"/>
        <v>20.591249999999999</v>
      </c>
      <c r="G289" s="6">
        <f t="shared" si="27"/>
        <v>17.502562499999996</v>
      </c>
      <c r="H289" s="6">
        <f t="shared" si="27"/>
        <v>14.877178124999997</v>
      </c>
    </row>
    <row r="290" spans="2:13" x14ac:dyDescent="0.35">
      <c r="B290" s="4" t="s">
        <v>22</v>
      </c>
      <c r="C290" t="s">
        <v>15</v>
      </c>
    </row>
    <row r="291" spans="2:13" x14ac:dyDescent="0.35">
      <c r="B291" t="s">
        <v>13</v>
      </c>
      <c r="C291" t="s">
        <v>15</v>
      </c>
      <c r="D291" s="1">
        <v>75</v>
      </c>
      <c r="E291" s="1">
        <v>75</v>
      </c>
      <c r="F291" s="1">
        <v>75</v>
      </c>
      <c r="G291" s="1">
        <v>75</v>
      </c>
      <c r="H291" s="1">
        <v>75</v>
      </c>
    </row>
    <row r="292" spans="2:13" x14ac:dyDescent="0.35">
      <c r="B292" t="s">
        <v>11</v>
      </c>
      <c r="C292" t="s">
        <v>15</v>
      </c>
      <c r="D292" s="1">
        <v>15</v>
      </c>
      <c r="E292" s="1">
        <v>15</v>
      </c>
      <c r="F292" s="1">
        <v>15</v>
      </c>
      <c r="G292" s="1">
        <v>15</v>
      </c>
      <c r="H292" s="1">
        <v>15</v>
      </c>
    </row>
    <row r="293" spans="2:13" x14ac:dyDescent="0.35">
      <c r="B293" t="s">
        <v>12</v>
      </c>
      <c r="C293" t="s">
        <v>15</v>
      </c>
      <c r="D293" s="1">
        <v>60</v>
      </c>
      <c r="E293" s="1">
        <v>60</v>
      </c>
      <c r="F293" s="1">
        <v>60</v>
      </c>
      <c r="G293" s="1">
        <v>60</v>
      </c>
      <c r="H293" s="1">
        <v>60</v>
      </c>
    </row>
    <row r="294" spans="2:13" x14ac:dyDescent="0.35">
      <c r="B294" s="4" t="s">
        <v>25</v>
      </c>
      <c r="C294" t="s">
        <v>15</v>
      </c>
      <c r="J294" t="s">
        <v>82</v>
      </c>
    </row>
    <row r="295" spans="2:13" x14ac:dyDescent="0.35">
      <c r="B295" t="s">
        <v>13</v>
      </c>
      <c r="C295" t="s">
        <v>15</v>
      </c>
      <c r="D295" s="40">
        <f t="shared" ref="D295:H297" si="28">D279+D287+D291</f>
        <v>79.131082349378218</v>
      </c>
      <c r="E295" s="40">
        <f t="shared" si="28"/>
        <v>79.131082349378218</v>
      </c>
      <c r="F295" s="40">
        <f t="shared" si="28"/>
        <v>79.131082349378218</v>
      </c>
      <c r="G295" s="40">
        <f t="shared" si="28"/>
        <v>79.131082349378218</v>
      </c>
      <c r="H295" s="40">
        <f t="shared" si="28"/>
        <v>79.131082349378218</v>
      </c>
      <c r="J295" s="42" t="str">
        <f t="shared" ref="J295:M297" si="29">IF(E257&gt;0,E295,"-")</f>
        <v>-</v>
      </c>
      <c r="K295" s="42" t="str">
        <f t="shared" si="29"/>
        <v>-</v>
      </c>
      <c r="L295" s="42" t="str">
        <f t="shared" si="29"/>
        <v>-</v>
      </c>
      <c r="M295" s="42" t="str">
        <f t="shared" si="29"/>
        <v>-</v>
      </c>
    </row>
    <row r="296" spans="2:13" x14ac:dyDescent="0.35">
      <c r="B296" t="s">
        <v>11</v>
      </c>
      <c r="C296" t="s">
        <v>15</v>
      </c>
      <c r="D296" s="40">
        <f t="shared" si="28"/>
        <v>84.527058734455494</v>
      </c>
      <c r="E296" s="40">
        <f t="shared" si="28"/>
        <v>74.097999924287166</v>
      </c>
      <c r="F296" s="40">
        <f t="shared" si="28"/>
        <v>65.233299935644098</v>
      </c>
      <c r="G296" s="40">
        <f t="shared" si="28"/>
        <v>57.69830494529748</v>
      </c>
      <c r="H296" s="40">
        <f t="shared" si="28"/>
        <v>51.293559203502859</v>
      </c>
      <c r="J296" s="42" t="str">
        <f t="shared" si="29"/>
        <v>-</v>
      </c>
      <c r="K296" s="42" t="str">
        <f t="shared" si="29"/>
        <v>-</v>
      </c>
      <c r="L296" s="42">
        <f t="shared" si="29"/>
        <v>57.69830494529748</v>
      </c>
      <c r="M296" s="42">
        <f t="shared" si="29"/>
        <v>51.293559203502859</v>
      </c>
    </row>
    <row r="297" spans="2:13" x14ac:dyDescent="0.35">
      <c r="B297" t="s">
        <v>12</v>
      </c>
      <c r="C297" t="s">
        <v>15</v>
      </c>
      <c r="D297" s="40">
        <f t="shared" si="28"/>
        <v>211.52934621718384</v>
      </c>
      <c r="E297" s="40">
        <f t="shared" si="28"/>
        <v>188.79994428460625</v>
      </c>
      <c r="F297" s="40">
        <f t="shared" si="28"/>
        <v>169.4799526419153</v>
      </c>
      <c r="G297" s="40">
        <f t="shared" si="28"/>
        <v>153.05795974562801</v>
      </c>
      <c r="H297" s="40">
        <f t="shared" si="28"/>
        <v>139.09926578378381</v>
      </c>
      <c r="J297" s="42" t="str">
        <f t="shared" si="29"/>
        <v>-</v>
      </c>
      <c r="K297" s="42" t="str">
        <f t="shared" si="29"/>
        <v>-</v>
      </c>
      <c r="L297" s="42" t="str">
        <f t="shared" si="29"/>
        <v>-</v>
      </c>
      <c r="M297" s="42" t="str">
        <f t="shared" si="29"/>
        <v>-</v>
      </c>
    </row>
    <row r="298" spans="2:13" x14ac:dyDescent="0.35">
      <c r="D298" s="5"/>
      <c r="E298" s="5"/>
      <c r="F298" s="5"/>
      <c r="G298" s="5"/>
      <c r="H298" s="5"/>
    </row>
    <row r="299" spans="2:13" x14ac:dyDescent="0.35">
      <c r="B299" s="4" t="s">
        <v>23</v>
      </c>
      <c r="C299" t="s">
        <v>24</v>
      </c>
    </row>
    <row r="300" spans="2:13" x14ac:dyDescent="0.35">
      <c r="B300" t="s">
        <v>13</v>
      </c>
      <c r="C300" t="s">
        <v>24</v>
      </c>
      <c r="D300" s="7">
        <f t="shared" ref="D300:H302" si="30">D295*D257</f>
        <v>0</v>
      </c>
      <c r="E300" s="7">
        <f t="shared" si="30"/>
        <v>0</v>
      </c>
      <c r="F300" s="7">
        <f t="shared" si="30"/>
        <v>0</v>
      </c>
      <c r="G300" s="7">
        <f t="shared" si="30"/>
        <v>0</v>
      </c>
      <c r="H300" s="7">
        <f t="shared" si="30"/>
        <v>0</v>
      </c>
    </row>
    <row r="301" spans="2:13" x14ac:dyDescent="0.35">
      <c r="B301" t="s">
        <v>11</v>
      </c>
      <c r="C301" t="s">
        <v>24</v>
      </c>
      <c r="D301" s="7">
        <f t="shared" si="30"/>
        <v>0</v>
      </c>
      <c r="E301" s="7">
        <f t="shared" si="30"/>
        <v>0</v>
      </c>
      <c r="F301" s="7">
        <f t="shared" si="30"/>
        <v>0</v>
      </c>
      <c r="G301" s="7">
        <f t="shared" si="30"/>
        <v>1442.4576236324369</v>
      </c>
      <c r="H301" s="7">
        <f t="shared" si="30"/>
        <v>2051.7423681401142</v>
      </c>
    </row>
    <row r="302" spans="2:13" x14ac:dyDescent="0.35">
      <c r="B302" t="s">
        <v>12</v>
      </c>
      <c r="C302" t="s">
        <v>24</v>
      </c>
      <c r="D302" s="7">
        <f t="shared" si="30"/>
        <v>0</v>
      </c>
      <c r="E302" s="7">
        <f t="shared" si="30"/>
        <v>0</v>
      </c>
      <c r="F302" s="7">
        <f t="shared" si="30"/>
        <v>0</v>
      </c>
      <c r="G302" s="7">
        <f t="shared" si="30"/>
        <v>0</v>
      </c>
      <c r="H302" s="7">
        <f t="shared" si="30"/>
        <v>0</v>
      </c>
    </row>
    <row r="303" spans="2:13" x14ac:dyDescent="0.35">
      <c r="I303" s="31">
        <f>SUM(D300:H302)</f>
        <v>3494.1999917725511</v>
      </c>
    </row>
    <row r="304" spans="2:13" x14ac:dyDescent="0.35">
      <c r="B304" s="30" t="s">
        <v>61</v>
      </c>
    </row>
    <row r="305" spans="2:13" ht="15" thickBot="1" x14ac:dyDescent="0.4">
      <c r="B305" s="4" t="s">
        <v>10</v>
      </c>
      <c r="E305">
        <f>SUM(E306:E308)</f>
        <v>0</v>
      </c>
      <c r="F305">
        <f>SUM(F306:F308)</f>
        <v>0</v>
      </c>
      <c r="G305">
        <f>SUM(G306:G308)</f>
        <v>0</v>
      </c>
      <c r="H305">
        <f>SUM(H306:H308)</f>
        <v>20</v>
      </c>
    </row>
    <row r="306" spans="2:13" x14ac:dyDescent="0.35">
      <c r="B306" t="s">
        <v>13</v>
      </c>
      <c r="C306" t="s">
        <v>3</v>
      </c>
      <c r="D306">
        <v>0</v>
      </c>
      <c r="E306" s="13">
        <v>0</v>
      </c>
      <c r="F306" s="14">
        <v>0</v>
      </c>
      <c r="G306" s="14">
        <v>0</v>
      </c>
      <c r="H306" s="15">
        <v>0</v>
      </c>
    </row>
    <row r="307" spans="2:13" x14ac:dyDescent="0.35">
      <c r="B307" t="s">
        <v>11</v>
      </c>
      <c r="C307" t="s">
        <v>3</v>
      </c>
      <c r="D307">
        <v>0</v>
      </c>
      <c r="E307" s="16">
        <v>0</v>
      </c>
      <c r="F307" s="17">
        <v>0</v>
      </c>
      <c r="G307" s="17">
        <v>0</v>
      </c>
      <c r="H307" s="18">
        <v>20</v>
      </c>
    </row>
    <row r="308" spans="2:13" ht="15" thickBot="1" x14ac:dyDescent="0.4">
      <c r="B308" t="s">
        <v>12</v>
      </c>
      <c r="C308" t="s">
        <v>3</v>
      </c>
      <c r="D308">
        <v>0</v>
      </c>
      <c r="E308" s="19">
        <v>0</v>
      </c>
      <c r="F308" s="20">
        <v>0</v>
      </c>
      <c r="G308" s="20">
        <v>0</v>
      </c>
      <c r="H308" s="21">
        <v>0</v>
      </c>
    </row>
    <row r="309" spans="2:13" x14ac:dyDescent="0.35">
      <c r="B309" s="4" t="s">
        <v>26</v>
      </c>
      <c r="E309" s="8"/>
      <c r="F309" s="8"/>
      <c r="G309" s="8"/>
      <c r="H309" s="8"/>
    </row>
    <row r="310" spans="2:13" x14ac:dyDescent="0.35">
      <c r="B310" t="s">
        <v>13</v>
      </c>
      <c r="C310" t="s">
        <v>3</v>
      </c>
      <c r="D310">
        <v>0</v>
      </c>
      <c r="E310" s="10">
        <v>5</v>
      </c>
      <c r="F310" s="10">
        <v>10</v>
      </c>
      <c r="G310" s="10">
        <v>16</v>
      </c>
      <c r="H310" s="10">
        <v>20</v>
      </c>
    </row>
    <row r="311" spans="2:13" x14ac:dyDescent="0.35">
      <c r="B311" t="s">
        <v>11</v>
      </c>
      <c r="C311" t="s">
        <v>3</v>
      </c>
      <c r="D311">
        <v>0</v>
      </c>
      <c r="E311" s="10">
        <v>5</v>
      </c>
      <c r="F311" s="10">
        <v>10</v>
      </c>
      <c r="G311" s="10">
        <v>16</v>
      </c>
      <c r="H311" s="10">
        <v>20</v>
      </c>
    </row>
    <row r="312" spans="2:13" x14ac:dyDescent="0.35">
      <c r="B312" t="s">
        <v>12</v>
      </c>
      <c r="C312" t="s">
        <v>3</v>
      </c>
      <c r="D312">
        <v>0</v>
      </c>
      <c r="E312" s="10">
        <v>5</v>
      </c>
      <c r="F312" s="10">
        <v>10</v>
      </c>
      <c r="G312" s="10">
        <v>16</v>
      </c>
      <c r="H312" s="10">
        <v>20</v>
      </c>
    </row>
    <row r="313" spans="2:13" x14ac:dyDescent="0.35">
      <c r="B313" t="s">
        <v>27</v>
      </c>
      <c r="E313" s="8"/>
      <c r="F313" s="8"/>
      <c r="G313" s="8"/>
      <c r="H313" s="8"/>
      <c r="J313" t="s">
        <v>30</v>
      </c>
    </row>
    <row r="314" spans="2:13" x14ac:dyDescent="0.35">
      <c r="B314" t="s">
        <v>13</v>
      </c>
      <c r="C314" t="s">
        <v>3</v>
      </c>
      <c r="D314">
        <v>0</v>
      </c>
      <c r="E314" s="11" t="str" cm="1">
        <f t="array" ref="E314">[1]!WB(E310-E306,"&gt;=",0)</f>
        <v>&gt;=</v>
      </c>
      <c r="F314" s="11" t="str" cm="1">
        <f t="array" ref="F314">[1]!WB(F310-F306,"&gt;=",0)</f>
        <v>&gt;=</v>
      </c>
      <c r="G314" s="11" t="str" cm="1">
        <f t="array" ref="G314">[1]!WB(G310-G306,"&gt;=",0)</f>
        <v>&gt;=</v>
      </c>
      <c r="H314" s="11" t="str" cm="1">
        <f t="array" ref="H314">[1]!WB(H310-H306,"&gt;=",0)</f>
        <v>&gt;=</v>
      </c>
      <c r="J314" s="11">
        <f>[1]!WBDUAL(E314,0)</f>
        <v>0</v>
      </c>
      <c r="K314" s="11">
        <f>[1]!WBDUAL(F314,0)</f>
        <v>0</v>
      </c>
      <c r="L314" s="11">
        <f>[1]!WBDUAL(G314,0)</f>
        <v>0</v>
      </c>
      <c r="M314" s="11">
        <f>[1]!WBDUAL(H314,0)</f>
        <v>0</v>
      </c>
    </row>
    <row r="315" spans="2:13" x14ac:dyDescent="0.35">
      <c r="B315" t="s">
        <v>11</v>
      </c>
      <c r="C315" t="s">
        <v>3</v>
      </c>
      <c r="D315">
        <v>0</v>
      </c>
      <c r="E315" s="11" t="str" cm="1">
        <f t="array" ref="E315">[1]!WB(E311-E307,"&gt;=",0)</f>
        <v>&gt;=</v>
      </c>
      <c r="F315" s="11" t="str" cm="1">
        <f t="array" ref="F315">[1]!WB(F311-F307,"&gt;=",0)</f>
        <v>&gt;=</v>
      </c>
      <c r="G315" s="11" t="str" cm="1">
        <f t="array" ref="G315">[1]!WB(G311-G307,"&gt;=",0)</f>
        <v>&gt;=</v>
      </c>
      <c r="H315" s="11" t="str" cm="1">
        <f t="array" ref="H315">[1]!WB(H311-H307,"&gt;=",0)</f>
        <v>=&gt;=</v>
      </c>
      <c r="J315" s="11">
        <f>[1]!WBDUAL(E315,0)</f>
        <v>0</v>
      </c>
      <c r="K315" s="11">
        <f>[1]!WBDUAL(F315,0)</f>
        <v>0</v>
      </c>
      <c r="L315" s="11">
        <f>[1]!WBDUAL(G315,0)</f>
        <v>0</v>
      </c>
      <c r="M315" s="11">
        <f>[1]!WBDUAL(H315,-9.99999999999999)</f>
        <v>-9.9999999999999893</v>
      </c>
    </row>
    <row r="316" spans="2:13" x14ac:dyDescent="0.35">
      <c r="B316" t="s">
        <v>12</v>
      </c>
      <c r="C316" t="s">
        <v>3</v>
      </c>
      <c r="D316">
        <v>0</v>
      </c>
      <c r="E316" s="11" t="str" cm="1">
        <f t="array" ref="E316">[1]!WB(E312-E308,"&gt;=",0)</f>
        <v>&gt;=</v>
      </c>
      <c r="F316" s="11" t="str" cm="1">
        <f t="array" ref="F316">[1]!WB(F312-F308,"&gt;=",0)</f>
        <v>&gt;=</v>
      </c>
      <c r="G316" s="11" t="str" cm="1">
        <f t="array" ref="G316">[1]!WB(G312-G308,"&gt;=",0)</f>
        <v>&gt;=</v>
      </c>
      <c r="H316" s="11" t="str" cm="1">
        <f t="array" ref="H316">[1]!WB(H312-H308,"&gt;=",0)</f>
        <v>&gt;=</v>
      </c>
      <c r="J316" s="11">
        <f>[1]!WBDUAL(E316,0)</f>
        <v>0</v>
      </c>
      <c r="K316" s="11">
        <f>[1]!WBDUAL(F316,0)</f>
        <v>0</v>
      </c>
      <c r="L316" s="11">
        <f>[1]!WBDUAL(G316,0)</f>
        <v>0</v>
      </c>
      <c r="M316" s="11">
        <f>[1]!WBDUAL(H316,0)</f>
        <v>0</v>
      </c>
    </row>
    <row r="317" spans="2:13" x14ac:dyDescent="0.35">
      <c r="E317" s="8"/>
      <c r="F317" s="8"/>
      <c r="G317" s="8"/>
      <c r="H317" s="8"/>
    </row>
    <row r="318" spans="2:13" x14ac:dyDescent="0.35">
      <c r="B318" s="4" t="s">
        <v>14</v>
      </c>
      <c r="C318" t="s">
        <v>15</v>
      </c>
    </row>
    <row r="319" spans="2:13" x14ac:dyDescent="0.35">
      <c r="B319" t="s">
        <v>13</v>
      </c>
      <c r="C319" t="s">
        <v>15</v>
      </c>
      <c r="D319" s="1">
        <v>20</v>
      </c>
      <c r="E319">
        <f>D319</f>
        <v>20</v>
      </c>
      <c r="F319">
        <f>E319</f>
        <v>20</v>
      </c>
      <c r="G319">
        <f>F319</f>
        <v>20</v>
      </c>
      <c r="H319">
        <f>G319</f>
        <v>20</v>
      </c>
    </row>
    <row r="320" spans="2:13" x14ac:dyDescent="0.35">
      <c r="B320" t="s">
        <v>11</v>
      </c>
      <c r="C320" t="s">
        <v>15</v>
      </c>
      <c r="D320" s="1">
        <v>500</v>
      </c>
      <c r="E320">
        <f t="shared" ref="E320:H321" si="31">D320*0.85</f>
        <v>425</v>
      </c>
      <c r="F320">
        <f t="shared" si="31"/>
        <v>361.25</v>
      </c>
      <c r="G320">
        <f t="shared" si="31"/>
        <v>307.0625</v>
      </c>
      <c r="H320">
        <f t="shared" si="31"/>
        <v>261.00312500000001</v>
      </c>
    </row>
    <row r="321" spans="2:8" x14ac:dyDescent="0.35">
      <c r="B321" t="s">
        <v>12</v>
      </c>
      <c r="C321" t="s">
        <v>15</v>
      </c>
      <c r="D321" s="1">
        <v>1200</v>
      </c>
      <c r="E321">
        <f t="shared" si="31"/>
        <v>1020</v>
      </c>
      <c r="F321">
        <f t="shared" si="31"/>
        <v>867</v>
      </c>
      <c r="G321">
        <f t="shared" si="31"/>
        <v>736.94999999999993</v>
      </c>
      <c r="H321">
        <f t="shared" si="31"/>
        <v>626.40749999999991</v>
      </c>
    </row>
    <row r="322" spans="2:8" x14ac:dyDescent="0.35">
      <c r="B322" s="4" t="s">
        <v>19</v>
      </c>
      <c r="C322" t="s">
        <v>18</v>
      </c>
    </row>
    <row r="323" spans="2:8" x14ac:dyDescent="0.35">
      <c r="B323" t="s">
        <v>13</v>
      </c>
      <c r="C323" t="s">
        <v>18</v>
      </c>
      <c r="D323" s="1">
        <v>10</v>
      </c>
      <c r="E323" s="1">
        <v>10</v>
      </c>
      <c r="F323" s="1">
        <v>10</v>
      </c>
      <c r="G323" s="1">
        <v>10</v>
      </c>
      <c r="H323" s="1">
        <v>10</v>
      </c>
    </row>
    <row r="324" spans="2:8" x14ac:dyDescent="0.35">
      <c r="B324" t="s">
        <v>11</v>
      </c>
      <c r="C324" t="s">
        <v>18</v>
      </c>
      <c r="D324" s="1">
        <v>10</v>
      </c>
      <c r="E324" s="1">
        <v>10</v>
      </c>
      <c r="F324" s="1">
        <v>10</v>
      </c>
      <c r="G324" s="1">
        <v>10</v>
      </c>
      <c r="H324" s="1">
        <v>10</v>
      </c>
    </row>
    <row r="325" spans="2:8" x14ac:dyDescent="0.35">
      <c r="B325" t="s">
        <v>12</v>
      </c>
      <c r="C325" t="s">
        <v>18</v>
      </c>
      <c r="D325" s="1">
        <v>10</v>
      </c>
      <c r="E325" s="1">
        <v>10</v>
      </c>
      <c r="F325" s="1">
        <v>10</v>
      </c>
      <c r="G325" s="1">
        <v>10</v>
      </c>
      <c r="H325" s="1">
        <v>10</v>
      </c>
    </row>
    <row r="326" spans="2:8" x14ac:dyDescent="0.35">
      <c r="B326" s="4" t="s">
        <v>21</v>
      </c>
      <c r="C326" t="s">
        <v>6</v>
      </c>
      <c r="D326" s="3">
        <v>0.05</v>
      </c>
      <c r="E326" s="3">
        <v>0.05</v>
      </c>
      <c r="F326" s="3">
        <v>0.05</v>
      </c>
      <c r="G326" s="3">
        <v>0.05</v>
      </c>
      <c r="H326" s="3">
        <v>0.05</v>
      </c>
    </row>
    <row r="327" spans="2:8" x14ac:dyDescent="0.35">
      <c r="B327" s="9" t="s">
        <v>16</v>
      </c>
      <c r="C327" t="s">
        <v>15</v>
      </c>
    </row>
    <row r="328" spans="2:8" x14ac:dyDescent="0.35">
      <c r="B328" t="s">
        <v>13</v>
      </c>
      <c r="C328" t="s">
        <v>15</v>
      </c>
      <c r="D328" s="5">
        <f t="shared" ref="D328:H330" si="32">PMT(D$80,D323,-D319)</f>
        <v>2.5900914993091333</v>
      </c>
      <c r="E328" s="5">
        <f t="shared" si="32"/>
        <v>2.5900914993091333</v>
      </c>
      <c r="F328" s="5">
        <f t="shared" si="32"/>
        <v>2.5900914993091333</v>
      </c>
      <c r="G328" s="5">
        <f t="shared" si="32"/>
        <v>2.5900914993091333</v>
      </c>
      <c r="H328" s="5">
        <f t="shared" si="32"/>
        <v>2.5900914993091333</v>
      </c>
    </row>
    <row r="329" spans="2:8" x14ac:dyDescent="0.35">
      <c r="B329" t="s">
        <v>11</v>
      </c>
      <c r="C329" t="s">
        <v>15</v>
      </c>
      <c r="D329" s="5">
        <f t="shared" si="32"/>
        <v>64.752287482728335</v>
      </c>
      <c r="E329" s="5">
        <f t="shared" si="32"/>
        <v>55.039444360319081</v>
      </c>
      <c r="F329" s="5">
        <f t="shared" si="32"/>
        <v>46.783527706271222</v>
      </c>
      <c r="G329" s="5">
        <f t="shared" si="32"/>
        <v>39.765998550330536</v>
      </c>
      <c r="H329" s="5">
        <f t="shared" si="32"/>
        <v>33.801098767780957</v>
      </c>
    </row>
    <row r="330" spans="2:8" x14ac:dyDescent="0.35">
      <c r="B330" t="s">
        <v>12</v>
      </c>
      <c r="C330" t="s">
        <v>15</v>
      </c>
      <c r="D330" s="5">
        <f t="shared" si="32"/>
        <v>155.405489958548</v>
      </c>
      <c r="E330" s="5">
        <f t="shared" si="32"/>
        <v>132.09466646476579</v>
      </c>
      <c r="F330" s="5">
        <f t="shared" si="32"/>
        <v>112.28046649505093</v>
      </c>
      <c r="G330" s="5">
        <f t="shared" si="32"/>
        <v>95.438396520793276</v>
      </c>
      <c r="H330" s="5">
        <f t="shared" si="32"/>
        <v>81.122637042674285</v>
      </c>
    </row>
    <row r="331" spans="2:8" x14ac:dyDescent="0.35">
      <c r="B331" s="4" t="s">
        <v>20</v>
      </c>
      <c r="C331" t="s">
        <v>6</v>
      </c>
    </row>
    <row r="332" spans="2:8" x14ac:dyDescent="0.35">
      <c r="B332" t="s">
        <v>13</v>
      </c>
      <c r="C332" t="s">
        <v>6</v>
      </c>
      <c r="D332" s="3">
        <v>0.1</v>
      </c>
      <c r="E332" s="3">
        <v>0.1</v>
      </c>
      <c r="F332" s="3">
        <v>0.1</v>
      </c>
      <c r="G332" s="3">
        <v>0.1</v>
      </c>
      <c r="H332" s="3">
        <v>0.1</v>
      </c>
    </row>
    <row r="333" spans="2:8" x14ac:dyDescent="0.35">
      <c r="B333" t="s">
        <v>11</v>
      </c>
      <c r="C333" t="s">
        <v>6</v>
      </c>
      <c r="D333" s="3">
        <v>2.5000000000000001E-2</v>
      </c>
      <c r="E333" s="3">
        <v>2.5000000000000001E-2</v>
      </c>
      <c r="F333" s="3">
        <v>2.5000000000000001E-2</v>
      </c>
      <c r="G333" s="3">
        <v>2.5000000000000001E-2</v>
      </c>
      <c r="H333" s="3">
        <v>2.5000000000000001E-2</v>
      </c>
    </row>
    <row r="334" spans="2:8" x14ac:dyDescent="0.35">
      <c r="B334" t="s">
        <v>12</v>
      </c>
      <c r="C334" t="s">
        <v>6</v>
      </c>
      <c r="D334" s="3">
        <v>0.03</v>
      </c>
      <c r="E334" s="3">
        <v>0.03</v>
      </c>
      <c r="F334" s="3">
        <v>0.03</v>
      </c>
      <c r="G334" s="3">
        <v>0.03</v>
      </c>
      <c r="H334" s="3">
        <v>0.03</v>
      </c>
    </row>
    <row r="335" spans="2:8" x14ac:dyDescent="0.35">
      <c r="B335" s="4" t="s">
        <v>17</v>
      </c>
      <c r="C335" t="s">
        <v>15</v>
      </c>
    </row>
    <row r="336" spans="2:8" x14ac:dyDescent="0.35">
      <c r="B336" t="s">
        <v>13</v>
      </c>
      <c r="C336" t="s">
        <v>15</v>
      </c>
      <c r="D336" s="6">
        <f t="shared" ref="D336:H338" si="33">D332*D319</f>
        <v>2</v>
      </c>
      <c r="E336" s="6">
        <f t="shared" si="33"/>
        <v>2</v>
      </c>
      <c r="F336" s="6">
        <f t="shared" si="33"/>
        <v>2</v>
      </c>
      <c r="G336" s="6">
        <f t="shared" si="33"/>
        <v>2</v>
      </c>
      <c r="H336" s="6">
        <f t="shared" si="33"/>
        <v>2</v>
      </c>
    </row>
    <row r="337" spans="2:13" x14ac:dyDescent="0.35">
      <c r="B337" t="s">
        <v>11</v>
      </c>
      <c r="C337" t="s">
        <v>15</v>
      </c>
      <c r="D337" s="6">
        <f t="shared" si="33"/>
        <v>12.5</v>
      </c>
      <c r="E337" s="6">
        <f t="shared" si="33"/>
        <v>10.625</v>
      </c>
      <c r="F337" s="6">
        <f t="shared" si="33"/>
        <v>9.03125</v>
      </c>
      <c r="G337" s="6">
        <f t="shared" si="33"/>
        <v>7.6765625000000002</v>
      </c>
      <c r="H337" s="6">
        <f t="shared" si="33"/>
        <v>6.5250781250000003</v>
      </c>
    </row>
    <row r="338" spans="2:13" x14ac:dyDescent="0.35">
      <c r="B338" t="s">
        <v>12</v>
      </c>
      <c r="C338" t="s">
        <v>15</v>
      </c>
      <c r="D338" s="6">
        <f t="shared" si="33"/>
        <v>36</v>
      </c>
      <c r="E338" s="6">
        <f t="shared" si="33"/>
        <v>30.599999999999998</v>
      </c>
      <c r="F338" s="6">
        <f t="shared" si="33"/>
        <v>26.009999999999998</v>
      </c>
      <c r="G338" s="6">
        <f t="shared" si="33"/>
        <v>22.108499999999996</v>
      </c>
      <c r="H338" s="6">
        <f t="shared" si="33"/>
        <v>18.792224999999998</v>
      </c>
    </row>
    <row r="339" spans="2:13" x14ac:dyDescent="0.35">
      <c r="B339" s="4" t="s">
        <v>22</v>
      </c>
      <c r="C339" t="s">
        <v>15</v>
      </c>
    </row>
    <row r="340" spans="2:13" x14ac:dyDescent="0.35">
      <c r="B340" t="s">
        <v>13</v>
      </c>
      <c r="C340" t="s">
        <v>15</v>
      </c>
      <c r="D340" s="1">
        <v>75</v>
      </c>
      <c r="E340" s="1">
        <v>75</v>
      </c>
      <c r="F340" s="1">
        <v>75</v>
      </c>
      <c r="G340" s="1">
        <v>75</v>
      </c>
      <c r="H340" s="1">
        <v>75</v>
      </c>
    </row>
    <row r="341" spans="2:13" x14ac:dyDescent="0.35">
      <c r="B341" t="s">
        <v>11</v>
      </c>
      <c r="C341" t="s">
        <v>15</v>
      </c>
      <c r="D341" s="1">
        <v>15</v>
      </c>
      <c r="E341" s="1">
        <v>15</v>
      </c>
      <c r="F341" s="1">
        <v>15</v>
      </c>
      <c r="G341" s="1">
        <v>15</v>
      </c>
      <c r="H341" s="1">
        <v>15</v>
      </c>
    </row>
    <row r="342" spans="2:13" x14ac:dyDescent="0.35">
      <c r="B342" t="s">
        <v>12</v>
      </c>
      <c r="C342" t="s">
        <v>15</v>
      </c>
      <c r="D342" s="1">
        <v>60</v>
      </c>
      <c r="E342" s="1">
        <v>60</v>
      </c>
      <c r="F342" s="1">
        <v>60</v>
      </c>
      <c r="G342" s="1">
        <v>60</v>
      </c>
      <c r="H342" s="1">
        <v>60</v>
      </c>
    </row>
    <row r="343" spans="2:13" x14ac:dyDescent="0.35">
      <c r="B343" s="4" t="s">
        <v>25</v>
      </c>
      <c r="C343" t="s">
        <v>15</v>
      </c>
      <c r="J343" t="s">
        <v>82</v>
      </c>
    </row>
    <row r="344" spans="2:13" x14ac:dyDescent="0.35">
      <c r="B344" t="s">
        <v>13</v>
      </c>
      <c r="C344" t="s">
        <v>15</v>
      </c>
      <c r="D344" s="40">
        <f t="shared" ref="D344:H346" si="34">D328+D336+D340</f>
        <v>79.590091499309139</v>
      </c>
      <c r="E344" s="40">
        <f t="shared" si="34"/>
        <v>79.590091499309139</v>
      </c>
      <c r="F344" s="40">
        <f t="shared" si="34"/>
        <v>79.590091499309139</v>
      </c>
      <c r="G344" s="40">
        <f t="shared" si="34"/>
        <v>79.590091499309139</v>
      </c>
      <c r="H344" s="40">
        <f t="shared" si="34"/>
        <v>79.590091499309139</v>
      </c>
      <c r="J344" s="42" t="str">
        <f t="shared" ref="J344:M346" si="35">IF(E306&gt;0,E344,"-")</f>
        <v>-</v>
      </c>
      <c r="K344" s="42" t="str">
        <f t="shared" si="35"/>
        <v>-</v>
      </c>
      <c r="L344" s="42" t="str">
        <f t="shared" si="35"/>
        <v>-</v>
      </c>
      <c r="M344" s="42" t="str">
        <f t="shared" si="35"/>
        <v>-</v>
      </c>
    </row>
    <row r="345" spans="2:13" x14ac:dyDescent="0.35">
      <c r="B345" t="s">
        <v>11</v>
      </c>
      <c r="C345" t="s">
        <v>15</v>
      </c>
      <c r="D345" s="40">
        <f t="shared" si="34"/>
        <v>92.252287482728335</v>
      </c>
      <c r="E345" s="40">
        <f t="shared" si="34"/>
        <v>80.664444360319081</v>
      </c>
      <c r="F345" s="40">
        <f t="shared" si="34"/>
        <v>70.814777706271229</v>
      </c>
      <c r="G345" s="40">
        <f t="shared" si="34"/>
        <v>62.442561050330539</v>
      </c>
      <c r="H345" s="40">
        <f t="shared" si="34"/>
        <v>55.326176892780957</v>
      </c>
      <c r="J345" s="42" t="str">
        <f t="shared" si="35"/>
        <v>-</v>
      </c>
      <c r="K345" s="42" t="str">
        <f t="shared" si="35"/>
        <v>-</v>
      </c>
      <c r="L345" s="42" t="str">
        <f t="shared" si="35"/>
        <v>-</v>
      </c>
      <c r="M345" s="42">
        <f t="shared" si="35"/>
        <v>55.326176892780957</v>
      </c>
    </row>
    <row r="346" spans="2:13" x14ac:dyDescent="0.35">
      <c r="B346" t="s">
        <v>12</v>
      </c>
      <c r="C346" t="s">
        <v>15</v>
      </c>
      <c r="D346" s="40">
        <f t="shared" si="34"/>
        <v>251.405489958548</v>
      </c>
      <c r="E346" s="40">
        <f t="shared" si="34"/>
        <v>222.69466646476579</v>
      </c>
      <c r="F346" s="40">
        <f t="shared" si="34"/>
        <v>198.29046649505094</v>
      </c>
      <c r="G346" s="40">
        <f t="shared" si="34"/>
        <v>177.54689652079327</v>
      </c>
      <c r="H346" s="40">
        <f t="shared" si="34"/>
        <v>159.91486204267429</v>
      </c>
      <c r="J346" s="42" t="str">
        <f t="shared" si="35"/>
        <v>-</v>
      </c>
      <c r="K346" s="42" t="str">
        <f t="shared" si="35"/>
        <v>-</v>
      </c>
      <c r="L346" s="42" t="str">
        <f t="shared" si="35"/>
        <v>-</v>
      </c>
      <c r="M346" s="42" t="str">
        <f t="shared" si="35"/>
        <v>-</v>
      </c>
    </row>
    <row r="347" spans="2:13" x14ac:dyDescent="0.35">
      <c r="D347" s="5"/>
      <c r="E347" s="5"/>
      <c r="F347" s="5"/>
      <c r="G347" s="5"/>
      <c r="H347" s="5"/>
    </row>
    <row r="348" spans="2:13" x14ac:dyDescent="0.35">
      <c r="B348" s="4" t="s">
        <v>23</v>
      </c>
      <c r="C348" t="s">
        <v>24</v>
      </c>
    </row>
    <row r="349" spans="2:13" x14ac:dyDescent="0.35">
      <c r="B349" t="s">
        <v>13</v>
      </c>
      <c r="C349" t="s">
        <v>24</v>
      </c>
      <c r="D349" s="7">
        <f t="shared" ref="D349:H351" si="36">D344*D306</f>
        <v>0</v>
      </c>
      <c r="E349" s="7">
        <f t="shared" si="36"/>
        <v>0</v>
      </c>
      <c r="F349" s="7">
        <f t="shared" si="36"/>
        <v>0</v>
      </c>
      <c r="G349" s="7">
        <f t="shared" si="36"/>
        <v>0</v>
      </c>
      <c r="H349" s="7">
        <f t="shared" si="36"/>
        <v>0</v>
      </c>
    </row>
    <row r="350" spans="2:13" x14ac:dyDescent="0.35">
      <c r="B350" t="s">
        <v>11</v>
      </c>
      <c r="C350" t="s">
        <v>24</v>
      </c>
      <c r="D350" s="7">
        <f t="shared" si="36"/>
        <v>0</v>
      </c>
      <c r="E350" s="7">
        <f t="shared" si="36"/>
        <v>0</v>
      </c>
      <c r="F350" s="7">
        <f t="shared" si="36"/>
        <v>0</v>
      </c>
      <c r="G350" s="7">
        <f t="shared" si="36"/>
        <v>0</v>
      </c>
      <c r="H350" s="7">
        <f t="shared" si="36"/>
        <v>1106.5235378556192</v>
      </c>
    </row>
    <row r="351" spans="2:13" x14ac:dyDescent="0.35">
      <c r="B351" t="s">
        <v>12</v>
      </c>
      <c r="C351" t="s">
        <v>24</v>
      </c>
      <c r="D351" s="7">
        <f t="shared" si="36"/>
        <v>0</v>
      </c>
      <c r="E351" s="7">
        <f t="shared" si="36"/>
        <v>0</v>
      </c>
      <c r="F351" s="7">
        <f t="shared" si="36"/>
        <v>0</v>
      </c>
      <c r="G351" s="7">
        <f t="shared" si="36"/>
        <v>0</v>
      </c>
      <c r="H351" s="7">
        <f t="shared" si="36"/>
        <v>0</v>
      </c>
    </row>
    <row r="352" spans="2:13" x14ac:dyDescent="0.35">
      <c r="I352" s="31">
        <f>SUM(D349:H351)</f>
        <v>1106.5235378556192</v>
      </c>
    </row>
    <row r="353" spans="2:13" x14ac:dyDescent="0.35">
      <c r="B353" s="30" t="s">
        <v>62</v>
      </c>
    </row>
    <row r="354" spans="2:13" ht="15" thickBot="1" x14ac:dyDescent="0.4">
      <c r="B354" s="4" t="s">
        <v>10</v>
      </c>
      <c r="E354">
        <f>SUM(E355:E357)</f>
        <v>0</v>
      </c>
      <c r="F354">
        <f>SUM(F355:F357)</f>
        <v>0</v>
      </c>
      <c r="G354">
        <f>SUM(G355:G357)</f>
        <v>0</v>
      </c>
      <c r="H354">
        <f>SUM(H355:H357)</f>
        <v>0</v>
      </c>
    </row>
    <row r="355" spans="2:13" x14ac:dyDescent="0.35">
      <c r="B355" t="s">
        <v>13</v>
      </c>
      <c r="C355" t="s">
        <v>3</v>
      </c>
      <c r="D355">
        <v>0</v>
      </c>
      <c r="E355" s="13">
        <v>0</v>
      </c>
      <c r="F355" s="14">
        <v>0</v>
      </c>
      <c r="G355" s="14">
        <v>0</v>
      </c>
      <c r="H355" s="15">
        <v>0</v>
      </c>
    </row>
    <row r="356" spans="2:13" x14ac:dyDescent="0.35">
      <c r="B356" t="s">
        <v>11</v>
      </c>
      <c r="C356" t="s">
        <v>3</v>
      </c>
      <c r="D356">
        <v>0</v>
      </c>
      <c r="E356" s="16">
        <v>0</v>
      </c>
      <c r="F356" s="17">
        <v>0</v>
      </c>
      <c r="G356" s="17">
        <v>0</v>
      </c>
      <c r="H356" s="18">
        <v>0</v>
      </c>
    </row>
    <row r="357" spans="2:13" ht="15" thickBot="1" x14ac:dyDescent="0.4">
      <c r="B357" t="s">
        <v>12</v>
      </c>
      <c r="C357" t="s">
        <v>3</v>
      </c>
      <c r="D357">
        <v>0</v>
      </c>
      <c r="E357" s="19">
        <v>0</v>
      </c>
      <c r="F357" s="20">
        <v>0</v>
      </c>
      <c r="G357" s="20">
        <v>0</v>
      </c>
      <c r="H357" s="21">
        <v>0</v>
      </c>
    </row>
    <row r="358" spans="2:13" x14ac:dyDescent="0.35">
      <c r="B358" s="4" t="s">
        <v>26</v>
      </c>
      <c r="E358" s="8"/>
      <c r="F358" s="8"/>
      <c r="G358" s="8"/>
      <c r="H358" s="8"/>
    </row>
    <row r="359" spans="2:13" x14ac:dyDescent="0.35">
      <c r="B359" t="s">
        <v>13</v>
      </c>
      <c r="C359" t="s">
        <v>3</v>
      </c>
      <c r="D359">
        <v>0</v>
      </c>
      <c r="E359" s="10">
        <v>5</v>
      </c>
      <c r="F359" s="10">
        <v>10</v>
      </c>
      <c r="G359" s="10">
        <v>25</v>
      </c>
      <c r="H359" s="10">
        <v>40</v>
      </c>
    </row>
    <row r="360" spans="2:13" x14ac:dyDescent="0.35">
      <c r="B360" t="s">
        <v>11</v>
      </c>
      <c r="C360" t="s">
        <v>3</v>
      </c>
      <c r="D360">
        <v>0</v>
      </c>
      <c r="E360" s="10">
        <v>5</v>
      </c>
      <c r="F360" s="10">
        <v>10</v>
      </c>
      <c r="G360" s="10">
        <v>25</v>
      </c>
      <c r="H360" s="10">
        <v>40</v>
      </c>
    </row>
    <row r="361" spans="2:13" x14ac:dyDescent="0.35">
      <c r="B361" t="s">
        <v>12</v>
      </c>
      <c r="C361" t="s">
        <v>3</v>
      </c>
      <c r="D361">
        <v>0</v>
      </c>
      <c r="E361" s="10">
        <v>5</v>
      </c>
      <c r="F361" s="10">
        <v>10</v>
      </c>
      <c r="G361" s="10">
        <v>25</v>
      </c>
      <c r="H361" s="10">
        <v>40</v>
      </c>
    </row>
    <row r="362" spans="2:13" x14ac:dyDescent="0.35">
      <c r="B362" t="s">
        <v>27</v>
      </c>
      <c r="E362" s="8"/>
      <c r="F362" s="8"/>
      <c r="G362" s="8"/>
      <c r="H362" s="8"/>
      <c r="J362" t="s">
        <v>30</v>
      </c>
    </row>
    <row r="363" spans="2:13" x14ac:dyDescent="0.35">
      <c r="B363" t="s">
        <v>13</v>
      </c>
      <c r="C363" t="s">
        <v>3</v>
      </c>
      <c r="D363">
        <v>0</v>
      </c>
      <c r="E363" s="11" t="str" cm="1">
        <f t="array" ref="E363">[1]!WB(E359-E355,"&gt;=",0)</f>
        <v>&gt;=</v>
      </c>
      <c r="F363" s="11" t="str" cm="1">
        <f t="array" ref="F363">[1]!WB(F359-F355,"&gt;=",0)</f>
        <v>&gt;=</v>
      </c>
      <c r="G363" s="11" t="str" cm="1">
        <f t="array" ref="G363">[1]!WB(G359-G355,"&gt;=",0)</f>
        <v>&gt;=</v>
      </c>
      <c r="H363" s="11" t="str" cm="1">
        <f t="array" ref="H363">[1]!WB(H359-H355,"&gt;=",0)</f>
        <v>&gt;=</v>
      </c>
      <c r="J363" s="11">
        <f>[1]!WBDUAL(E363,0)</f>
        <v>0</v>
      </c>
      <c r="K363" s="11">
        <f>[1]!WBDUAL(F363,0)</f>
        <v>0</v>
      </c>
      <c r="L363" s="11">
        <f>[1]!WBDUAL(G363,0)</f>
        <v>0</v>
      </c>
      <c r="M363" s="11">
        <f>[1]!WBDUAL(H363,0)</f>
        <v>0</v>
      </c>
    </row>
    <row r="364" spans="2:13" x14ac:dyDescent="0.35">
      <c r="B364" t="s">
        <v>11</v>
      </c>
      <c r="C364" t="s">
        <v>3</v>
      </c>
      <c r="D364">
        <v>0</v>
      </c>
      <c r="E364" s="11" t="str" cm="1">
        <f t="array" ref="E364">[1]!WB(E360-E356,"&gt;=",0)</f>
        <v>&gt;=</v>
      </c>
      <c r="F364" s="11" t="str" cm="1">
        <f t="array" ref="F364">[1]!WB(F360-F356,"&gt;=",0)</f>
        <v>&gt;=</v>
      </c>
      <c r="G364" s="11" t="str" cm="1">
        <f t="array" ref="G364">[1]!WB(G360-G356,"&gt;=",0)</f>
        <v>&gt;=</v>
      </c>
      <c r="H364" s="11" t="str" cm="1">
        <f t="array" ref="H364">[1]!WB(H360-H356,"&gt;=",0)</f>
        <v>&gt;=</v>
      </c>
      <c r="J364" s="11">
        <f>[1]!WBDUAL(E364,-67.5315554882552)</f>
        <v>-67.531555488255194</v>
      </c>
      <c r="K364" s="11">
        <f>[1]!WBDUAL(F364,-59.6518221650169)</f>
        <v>-59.651822165016902</v>
      </c>
      <c r="L364" s="11">
        <f>[1]!WBDUAL(G364,-62.4425610503305)</f>
        <v>-62.442561050330497</v>
      </c>
      <c r="M364" s="11">
        <f>[1]!WBDUAL(H364,-65.3261768927809)</f>
        <v>-65.326176892780893</v>
      </c>
    </row>
    <row r="365" spans="2:13" x14ac:dyDescent="0.35">
      <c r="B365" t="s">
        <v>12</v>
      </c>
      <c r="C365" t="s">
        <v>3</v>
      </c>
      <c r="D365">
        <v>0</v>
      </c>
      <c r="E365" s="11" t="str" cm="1">
        <f t="array" ref="E365">[1]!WB(E361-E357,"&gt;=",0)</f>
        <v>&gt;=</v>
      </c>
      <c r="F365" s="11" t="str" cm="1">
        <f t="array" ref="F365">[1]!WB(F361-F357,"&gt;=",0)</f>
        <v>&gt;=</v>
      </c>
      <c r="G365" s="11" t="str" cm="1">
        <f t="array" ref="G365">[1]!WB(G361-G357,"&gt;=",0)</f>
        <v>&gt;=</v>
      </c>
      <c r="H365" s="11" t="str" cm="1">
        <f t="array" ref="H365">[1]!WB(H361-H357,"&gt;=",0)</f>
        <v>&gt;=</v>
      </c>
      <c r="J365" s="11">
        <f>[1]!WBDUAL(E365,-67.5315554882552)</f>
        <v>-67.531555488255194</v>
      </c>
      <c r="K365" s="11">
        <f>[1]!WBDUAL(F365,-59.6518221650169)</f>
        <v>-59.651822165016902</v>
      </c>
      <c r="L365" s="11">
        <f>[1]!WBDUAL(G365,-62.4425610503305)</f>
        <v>-62.442561050330497</v>
      </c>
      <c r="M365" s="11">
        <f>[1]!WBDUAL(H365,-65.3261768927809)</f>
        <v>-65.326176892780893</v>
      </c>
    </row>
    <row r="366" spans="2:13" x14ac:dyDescent="0.35">
      <c r="E366" s="8"/>
      <c r="F366" s="8"/>
      <c r="G366" s="8"/>
      <c r="H366" s="8"/>
    </row>
    <row r="367" spans="2:13" x14ac:dyDescent="0.35">
      <c r="B367" s="4" t="s">
        <v>14</v>
      </c>
      <c r="C367" t="s">
        <v>15</v>
      </c>
    </row>
    <row r="368" spans="2:13" x14ac:dyDescent="0.35">
      <c r="B368" t="s">
        <v>13</v>
      </c>
      <c r="C368" t="s">
        <v>15</v>
      </c>
      <c r="D368" s="1">
        <v>40</v>
      </c>
      <c r="E368">
        <f>D368</f>
        <v>40</v>
      </c>
      <c r="F368">
        <f>E368</f>
        <v>40</v>
      </c>
      <c r="G368">
        <f>F368</f>
        <v>40</v>
      </c>
      <c r="H368">
        <f>G368</f>
        <v>40</v>
      </c>
    </row>
    <row r="369" spans="2:8" x14ac:dyDescent="0.35">
      <c r="B369" t="s">
        <v>11</v>
      </c>
      <c r="C369" t="s">
        <v>15</v>
      </c>
      <c r="D369" s="1">
        <v>600</v>
      </c>
      <c r="E369">
        <f t="shared" ref="E369:H370" si="37">D369*0.85</f>
        <v>510</v>
      </c>
      <c r="F369">
        <f t="shared" si="37"/>
        <v>433.5</v>
      </c>
      <c r="G369">
        <f t="shared" si="37"/>
        <v>368.47499999999997</v>
      </c>
      <c r="H369">
        <f t="shared" si="37"/>
        <v>313.20374999999996</v>
      </c>
    </row>
    <row r="370" spans="2:8" x14ac:dyDescent="0.35">
      <c r="B370" t="s">
        <v>12</v>
      </c>
      <c r="C370" t="s">
        <v>15</v>
      </c>
      <c r="D370" s="1">
        <v>1300</v>
      </c>
      <c r="E370">
        <f t="shared" si="37"/>
        <v>1105</v>
      </c>
      <c r="F370">
        <f t="shared" si="37"/>
        <v>939.25</v>
      </c>
      <c r="G370">
        <f t="shared" si="37"/>
        <v>798.36249999999995</v>
      </c>
      <c r="H370">
        <f t="shared" si="37"/>
        <v>678.60812499999997</v>
      </c>
    </row>
    <row r="371" spans="2:8" x14ac:dyDescent="0.35">
      <c r="B371" s="4" t="s">
        <v>19</v>
      </c>
      <c r="C371" t="s">
        <v>18</v>
      </c>
    </row>
    <row r="372" spans="2:8" x14ac:dyDescent="0.35">
      <c r="B372" t="s">
        <v>13</v>
      </c>
      <c r="C372" t="s">
        <v>18</v>
      </c>
      <c r="D372" s="1">
        <v>10</v>
      </c>
      <c r="E372" s="1">
        <v>10</v>
      </c>
      <c r="F372" s="1">
        <v>10</v>
      </c>
      <c r="G372" s="1">
        <v>10</v>
      </c>
      <c r="H372" s="1">
        <v>10</v>
      </c>
    </row>
    <row r="373" spans="2:8" x14ac:dyDescent="0.35">
      <c r="B373" t="s">
        <v>11</v>
      </c>
      <c r="C373" t="s">
        <v>18</v>
      </c>
      <c r="D373" s="1">
        <v>10</v>
      </c>
      <c r="E373" s="1">
        <v>10</v>
      </c>
      <c r="F373" s="1">
        <v>10</v>
      </c>
      <c r="G373" s="1">
        <v>10</v>
      </c>
      <c r="H373" s="1">
        <v>10</v>
      </c>
    </row>
    <row r="374" spans="2:8" x14ac:dyDescent="0.35">
      <c r="B374" t="s">
        <v>12</v>
      </c>
      <c r="C374" t="s">
        <v>18</v>
      </c>
      <c r="D374" s="1">
        <v>10</v>
      </c>
      <c r="E374" s="1">
        <v>10</v>
      </c>
      <c r="F374" s="1">
        <v>10</v>
      </c>
      <c r="G374" s="1">
        <v>10</v>
      </c>
      <c r="H374" s="1">
        <v>10</v>
      </c>
    </row>
    <row r="375" spans="2:8" x14ac:dyDescent="0.35">
      <c r="B375" s="4" t="s">
        <v>21</v>
      </c>
      <c r="C375" t="s">
        <v>6</v>
      </c>
      <c r="D375" s="3">
        <v>0.05</v>
      </c>
      <c r="E375" s="3">
        <v>0.05</v>
      </c>
      <c r="F375" s="3">
        <v>0.05</v>
      </c>
      <c r="G375" s="3">
        <v>0.05</v>
      </c>
      <c r="H375" s="3">
        <v>0.05</v>
      </c>
    </row>
    <row r="376" spans="2:8" x14ac:dyDescent="0.35">
      <c r="B376" s="9" t="s">
        <v>16</v>
      </c>
      <c r="C376" t="s">
        <v>15</v>
      </c>
    </row>
    <row r="377" spans="2:8" x14ac:dyDescent="0.35">
      <c r="B377" t="s">
        <v>13</v>
      </c>
      <c r="C377" t="s">
        <v>15</v>
      </c>
      <c r="D377" s="5">
        <f t="shared" ref="D377:H379" si="38">PMT(D$80,D372,-D368)</f>
        <v>5.1801829986182666</v>
      </c>
      <c r="E377" s="5">
        <f t="shared" si="38"/>
        <v>5.1801829986182666</v>
      </c>
      <c r="F377" s="5">
        <f t="shared" si="38"/>
        <v>5.1801829986182666</v>
      </c>
      <c r="G377" s="5">
        <f t="shared" si="38"/>
        <v>5.1801829986182666</v>
      </c>
      <c r="H377" s="5">
        <f t="shared" si="38"/>
        <v>5.1801829986182666</v>
      </c>
    </row>
    <row r="378" spans="2:8" x14ac:dyDescent="0.35">
      <c r="B378" t="s">
        <v>11</v>
      </c>
      <c r="C378" t="s">
        <v>15</v>
      </c>
      <c r="D378" s="5">
        <f t="shared" si="38"/>
        <v>77.702744979274001</v>
      </c>
      <c r="E378" s="5">
        <f t="shared" si="38"/>
        <v>66.047333232382897</v>
      </c>
      <c r="F378" s="5">
        <f t="shared" si="38"/>
        <v>56.140233247525465</v>
      </c>
      <c r="G378" s="5">
        <f t="shared" si="38"/>
        <v>47.719198260396638</v>
      </c>
      <c r="H378" s="5">
        <f t="shared" si="38"/>
        <v>40.561318521337142</v>
      </c>
    </row>
    <row r="379" spans="2:8" x14ac:dyDescent="0.35">
      <c r="B379" t="s">
        <v>12</v>
      </c>
      <c r="C379" t="s">
        <v>15</v>
      </c>
      <c r="D379" s="5">
        <f t="shared" si="38"/>
        <v>168.35594745509366</v>
      </c>
      <c r="E379" s="5">
        <f t="shared" si="38"/>
        <v>143.1025553368296</v>
      </c>
      <c r="F379" s="5">
        <f t="shared" si="38"/>
        <v>121.63717203630517</v>
      </c>
      <c r="G379" s="5">
        <f t="shared" si="38"/>
        <v>103.39159623085939</v>
      </c>
      <c r="H379" s="5">
        <f t="shared" si="38"/>
        <v>87.882856796230485</v>
      </c>
    </row>
    <row r="380" spans="2:8" x14ac:dyDescent="0.35">
      <c r="B380" s="4" t="s">
        <v>20</v>
      </c>
      <c r="C380" t="s">
        <v>6</v>
      </c>
    </row>
    <row r="381" spans="2:8" x14ac:dyDescent="0.35">
      <c r="B381" t="s">
        <v>13</v>
      </c>
      <c r="C381" t="s">
        <v>6</v>
      </c>
      <c r="D381" s="3">
        <v>0.1</v>
      </c>
      <c r="E381" s="3">
        <v>0.1</v>
      </c>
      <c r="F381" s="3">
        <v>0.1</v>
      </c>
      <c r="G381" s="3">
        <v>0.1</v>
      </c>
      <c r="H381" s="3">
        <v>0.1</v>
      </c>
    </row>
    <row r="382" spans="2:8" x14ac:dyDescent="0.35">
      <c r="B382" t="s">
        <v>11</v>
      </c>
      <c r="C382" t="s">
        <v>6</v>
      </c>
      <c r="D382" s="3">
        <v>2.5000000000000001E-2</v>
      </c>
      <c r="E382" s="3">
        <v>2.5000000000000001E-2</v>
      </c>
      <c r="F382" s="3">
        <v>2.5000000000000001E-2</v>
      </c>
      <c r="G382" s="3">
        <v>2.5000000000000001E-2</v>
      </c>
      <c r="H382" s="3">
        <v>2.5000000000000001E-2</v>
      </c>
    </row>
    <row r="383" spans="2:8" x14ac:dyDescent="0.35">
      <c r="B383" t="s">
        <v>12</v>
      </c>
      <c r="C383" t="s">
        <v>6</v>
      </c>
      <c r="D383" s="3">
        <v>0.03</v>
      </c>
      <c r="E383" s="3">
        <v>0.03</v>
      </c>
      <c r="F383" s="3">
        <v>0.03</v>
      </c>
      <c r="G383" s="3">
        <v>0.03</v>
      </c>
      <c r="H383" s="3">
        <v>0.03</v>
      </c>
    </row>
    <row r="384" spans="2:8" x14ac:dyDescent="0.35">
      <c r="B384" s="4" t="s">
        <v>17</v>
      </c>
      <c r="C384" t="s">
        <v>15</v>
      </c>
    </row>
    <row r="385" spans="2:13" x14ac:dyDescent="0.35">
      <c r="B385" t="s">
        <v>13</v>
      </c>
      <c r="C385" t="s">
        <v>15</v>
      </c>
      <c r="D385" s="6">
        <f t="shared" ref="D385:H387" si="39">D381*D368</f>
        <v>4</v>
      </c>
      <c r="E385" s="6">
        <f t="shared" si="39"/>
        <v>4</v>
      </c>
      <c r="F385" s="6">
        <f t="shared" si="39"/>
        <v>4</v>
      </c>
      <c r="G385" s="6">
        <f t="shared" si="39"/>
        <v>4</v>
      </c>
      <c r="H385" s="6">
        <f t="shared" si="39"/>
        <v>4</v>
      </c>
    </row>
    <row r="386" spans="2:13" x14ac:dyDescent="0.35">
      <c r="B386" t="s">
        <v>11</v>
      </c>
      <c r="C386" t="s">
        <v>15</v>
      </c>
      <c r="D386" s="6">
        <f t="shared" si="39"/>
        <v>15</v>
      </c>
      <c r="E386" s="6">
        <f t="shared" si="39"/>
        <v>12.75</v>
      </c>
      <c r="F386" s="6">
        <f t="shared" si="39"/>
        <v>10.8375</v>
      </c>
      <c r="G386" s="6">
        <f t="shared" si="39"/>
        <v>9.2118749999999991</v>
      </c>
      <c r="H386" s="6">
        <f t="shared" si="39"/>
        <v>7.8300937499999996</v>
      </c>
    </row>
    <row r="387" spans="2:13" x14ac:dyDescent="0.35">
      <c r="B387" t="s">
        <v>12</v>
      </c>
      <c r="C387" t="s">
        <v>15</v>
      </c>
      <c r="D387" s="6">
        <f t="shared" si="39"/>
        <v>39</v>
      </c>
      <c r="E387" s="6">
        <f t="shared" si="39"/>
        <v>33.15</v>
      </c>
      <c r="F387" s="6">
        <f t="shared" si="39"/>
        <v>28.177499999999998</v>
      </c>
      <c r="G387" s="6">
        <f t="shared" si="39"/>
        <v>23.950874999999996</v>
      </c>
      <c r="H387" s="6">
        <f t="shared" si="39"/>
        <v>20.35824375</v>
      </c>
    </row>
    <row r="388" spans="2:13" x14ac:dyDescent="0.35">
      <c r="B388" s="4" t="s">
        <v>22</v>
      </c>
      <c r="C388" t="s">
        <v>15</v>
      </c>
    </row>
    <row r="389" spans="2:13" x14ac:dyDescent="0.35">
      <c r="B389" t="s">
        <v>13</v>
      </c>
      <c r="C389" t="s">
        <v>15</v>
      </c>
      <c r="D389" s="1">
        <v>75</v>
      </c>
      <c r="E389" s="1">
        <v>75</v>
      </c>
      <c r="F389" s="1">
        <v>75</v>
      </c>
      <c r="G389" s="1">
        <v>75</v>
      </c>
      <c r="H389" s="1">
        <v>75</v>
      </c>
    </row>
    <row r="390" spans="2:13" x14ac:dyDescent="0.35">
      <c r="B390" t="s">
        <v>11</v>
      </c>
      <c r="C390" t="s">
        <v>15</v>
      </c>
      <c r="D390" s="1">
        <v>15</v>
      </c>
      <c r="E390" s="1">
        <v>15</v>
      </c>
      <c r="F390" s="1">
        <v>15</v>
      </c>
      <c r="G390" s="1">
        <v>15</v>
      </c>
      <c r="H390" s="1">
        <v>15</v>
      </c>
    </row>
    <row r="391" spans="2:13" x14ac:dyDescent="0.35">
      <c r="B391" t="s">
        <v>12</v>
      </c>
      <c r="C391" t="s">
        <v>15</v>
      </c>
      <c r="D391" s="1">
        <v>60</v>
      </c>
      <c r="E391" s="1">
        <v>60</v>
      </c>
      <c r="F391" s="1">
        <v>60</v>
      </c>
      <c r="G391" s="1">
        <v>60</v>
      </c>
      <c r="H391" s="1">
        <v>60</v>
      </c>
    </row>
    <row r="392" spans="2:13" x14ac:dyDescent="0.35">
      <c r="B392" s="4" t="s">
        <v>25</v>
      </c>
      <c r="C392" t="s">
        <v>15</v>
      </c>
      <c r="J392" t="s">
        <v>82</v>
      </c>
    </row>
    <row r="393" spans="2:13" x14ac:dyDescent="0.35">
      <c r="B393" t="s">
        <v>13</v>
      </c>
      <c r="C393" t="s">
        <v>15</v>
      </c>
      <c r="D393" s="40">
        <f t="shared" ref="D393:H395" si="40">D377+D385+D389</f>
        <v>84.180182998618264</v>
      </c>
      <c r="E393" s="40">
        <f t="shared" si="40"/>
        <v>84.180182998618264</v>
      </c>
      <c r="F393" s="40">
        <f t="shared" si="40"/>
        <v>84.180182998618264</v>
      </c>
      <c r="G393" s="40">
        <f t="shared" si="40"/>
        <v>84.180182998618264</v>
      </c>
      <c r="H393" s="40">
        <f t="shared" si="40"/>
        <v>84.180182998618264</v>
      </c>
      <c r="J393" s="42" t="str">
        <f t="shared" ref="J393:M395" si="41">IF(E355&gt;0,E393,"-")</f>
        <v>-</v>
      </c>
      <c r="K393" s="42" t="str">
        <f t="shared" si="41"/>
        <v>-</v>
      </c>
      <c r="L393" s="42" t="str">
        <f t="shared" si="41"/>
        <v>-</v>
      </c>
      <c r="M393" s="42" t="str">
        <f t="shared" si="41"/>
        <v>-</v>
      </c>
    </row>
    <row r="394" spans="2:13" x14ac:dyDescent="0.35">
      <c r="B394" t="s">
        <v>11</v>
      </c>
      <c r="C394" t="s">
        <v>15</v>
      </c>
      <c r="D394" s="40">
        <f t="shared" si="40"/>
        <v>107.702744979274</v>
      </c>
      <c r="E394" s="40">
        <f t="shared" si="40"/>
        <v>93.797333232382897</v>
      </c>
      <c r="F394" s="40">
        <f t="shared" si="40"/>
        <v>81.977733247525464</v>
      </c>
      <c r="G394" s="40">
        <f t="shared" si="40"/>
        <v>71.93107326039663</v>
      </c>
      <c r="H394" s="40">
        <f t="shared" si="40"/>
        <v>63.391412271337146</v>
      </c>
      <c r="J394" s="42" t="str">
        <f t="shared" si="41"/>
        <v>-</v>
      </c>
      <c r="K394" s="42" t="str">
        <f t="shared" si="41"/>
        <v>-</v>
      </c>
      <c r="L394" s="42" t="str">
        <f t="shared" si="41"/>
        <v>-</v>
      </c>
      <c r="M394" s="42" t="str">
        <f t="shared" si="41"/>
        <v>-</v>
      </c>
    </row>
    <row r="395" spans="2:13" x14ac:dyDescent="0.35">
      <c r="B395" t="s">
        <v>12</v>
      </c>
      <c r="C395" t="s">
        <v>15</v>
      </c>
      <c r="D395" s="40">
        <f t="shared" si="40"/>
        <v>267.35594745509366</v>
      </c>
      <c r="E395" s="40">
        <f t="shared" si="40"/>
        <v>236.2525553368296</v>
      </c>
      <c r="F395" s="40">
        <f t="shared" si="40"/>
        <v>209.81467203630518</v>
      </c>
      <c r="G395" s="40">
        <f t="shared" si="40"/>
        <v>187.34247123085939</v>
      </c>
      <c r="H395" s="40">
        <f t="shared" si="40"/>
        <v>168.24110054623048</v>
      </c>
      <c r="J395" s="42" t="str">
        <f t="shared" si="41"/>
        <v>-</v>
      </c>
      <c r="K395" s="42" t="str">
        <f t="shared" si="41"/>
        <v>-</v>
      </c>
      <c r="L395" s="42" t="str">
        <f t="shared" si="41"/>
        <v>-</v>
      </c>
      <c r="M395" s="42" t="str">
        <f t="shared" si="41"/>
        <v>-</v>
      </c>
    </row>
    <row r="396" spans="2:13" x14ac:dyDescent="0.35">
      <c r="D396" s="5"/>
      <c r="E396" s="5"/>
      <c r="F396" s="5"/>
      <c r="G396" s="5"/>
      <c r="H396" s="5"/>
    </row>
    <row r="397" spans="2:13" x14ac:dyDescent="0.35">
      <c r="B397" s="4" t="s">
        <v>23</v>
      </c>
      <c r="C397" t="s">
        <v>24</v>
      </c>
    </row>
    <row r="398" spans="2:13" x14ac:dyDescent="0.35">
      <c r="B398" t="s">
        <v>13</v>
      </c>
      <c r="C398" t="s">
        <v>24</v>
      </c>
      <c r="D398" s="7">
        <f t="shared" ref="D398:H400" si="42">D393*D355</f>
        <v>0</v>
      </c>
      <c r="E398" s="7">
        <f t="shared" si="42"/>
        <v>0</v>
      </c>
      <c r="F398" s="7">
        <f t="shared" si="42"/>
        <v>0</v>
      </c>
      <c r="G398" s="7">
        <f t="shared" si="42"/>
        <v>0</v>
      </c>
      <c r="H398" s="7">
        <f t="shared" si="42"/>
        <v>0</v>
      </c>
    </row>
    <row r="399" spans="2:13" x14ac:dyDescent="0.35">
      <c r="B399" t="s">
        <v>11</v>
      </c>
      <c r="C399" t="s">
        <v>24</v>
      </c>
      <c r="D399" s="7">
        <f t="shared" si="42"/>
        <v>0</v>
      </c>
      <c r="E399" s="7">
        <f t="shared" si="42"/>
        <v>0</v>
      </c>
      <c r="F399" s="7">
        <f t="shared" si="42"/>
        <v>0</v>
      </c>
      <c r="G399" s="7">
        <f t="shared" si="42"/>
        <v>0</v>
      </c>
      <c r="H399" s="7">
        <f t="shared" si="42"/>
        <v>0</v>
      </c>
    </row>
    <row r="400" spans="2:13" x14ac:dyDescent="0.35">
      <c r="B400" t="s">
        <v>12</v>
      </c>
      <c r="C400" t="s">
        <v>24</v>
      </c>
      <c r="D400" s="7">
        <f t="shared" si="42"/>
        <v>0</v>
      </c>
      <c r="E400" s="7">
        <f t="shared" si="42"/>
        <v>0</v>
      </c>
      <c r="F400" s="7">
        <f t="shared" si="42"/>
        <v>0</v>
      </c>
      <c r="G400" s="7">
        <f t="shared" si="42"/>
        <v>0</v>
      </c>
      <c r="H400" s="7">
        <f t="shared" si="42"/>
        <v>0</v>
      </c>
    </row>
    <row r="401" spans="2:13" x14ac:dyDescent="0.35">
      <c r="I401" s="31">
        <f>SUM(D398:H400)</f>
        <v>0</v>
      </c>
    </row>
    <row r="402" spans="2:13" x14ac:dyDescent="0.35">
      <c r="B402" s="30" t="s">
        <v>64</v>
      </c>
    </row>
    <row r="403" spans="2:13" ht="15" thickBot="1" x14ac:dyDescent="0.4">
      <c r="B403" s="4" t="s">
        <v>10</v>
      </c>
      <c r="E403">
        <f>SUM(E404:E406)</f>
        <v>0</v>
      </c>
      <c r="F403">
        <f>SUM(F404:F406)</f>
        <v>0</v>
      </c>
      <c r="G403">
        <f>SUM(G404:G406)</f>
        <v>0</v>
      </c>
      <c r="H403">
        <f>SUM(H404:H406)</f>
        <v>0</v>
      </c>
    </row>
    <row r="404" spans="2:13" x14ac:dyDescent="0.35">
      <c r="B404" t="s">
        <v>13</v>
      </c>
      <c r="C404" t="s">
        <v>3</v>
      </c>
      <c r="D404">
        <v>0</v>
      </c>
      <c r="E404" s="13">
        <v>0</v>
      </c>
      <c r="F404" s="14">
        <v>0</v>
      </c>
      <c r="G404" s="14">
        <v>0</v>
      </c>
      <c r="H404" s="15">
        <v>0</v>
      </c>
    </row>
    <row r="405" spans="2:13" x14ac:dyDescent="0.35">
      <c r="B405" t="s">
        <v>11</v>
      </c>
      <c r="C405" t="s">
        <v>3</v>
      </c>
      <c r="D405">
        <v>0</v>
      </c>
      <c r="E405" s="16">
        <v>0</v>
      </c>
      <c r="F405" s="17">
        <v>0</v>
      </c>
      <c r="G405" s="17">
        <v>0</v>
      </c>
      <c r="H405" s="18">
        <v>0</v>
      </c>
    </row>
    <row r="406" spans="2:13" ht="15" thickBot="1" x14ac:dyDescent="0.4">
      <c r="B406" t="s">
        <v>12</v>
      </c>
      <c r="C406" t="s">
        <v>3</v>
      </c>
      <c r="D406">
        <v>0</v>
      </c>
      <c r="E406" s="19">
        <v>0</v>
      </c>
      <c r="F406" s="20">
        <v>0</v>
      </c>
      <c r="G406" s="20">
        <v>0</v>
      </c>
      <c r="H406" s="21">
        <v>0</v>
      </c>
    </row>
    <row r="407" spans="2:13" x14ac:dyDescent="0.35">
      <c r="B407" s="4" t="s">
        <v>26</v>
      </c>
      <c r="E407" s="8"/>
      <c r="F407" s="8"/>
      <c r="G407" s="8"/>
      <c r="H407" s="8"/>
    </row>
    <row r="408" spans="2:13" x14ac:dyDescent="0.35">
      <c r="B408" t="s">
        <v>13</v>
      </c>
      <c r="C408" t="s">
        <v>3</v>
      </c>
      <c r="D408">
        <v>0</v>
      </c>
      <c r="E408" s="10">
        <v>5</v>
      </c>
      <c r="F408" s="10">
        <v>10</v>
      </c>
      <c r="G408" s="10">
        <v>16</v>
      </c>
      <c r="H408" s="10">
        <v>20</v>
      </c>
    </row>
    <row r="409" spans="2:13" x14ac:dyDescent="0.35">
      <c r="B409" t="s">
        <v>11</v>
      </c>
      <c r="C409" t="s">
        <v>3</v>
      </c>
      <c r="D409">
        <v>0</v>
      </c>
      <c r="E409" s="10">
        <v>5</v>
      </c>
      <c r="F409" s="10">
        <v>10</v>
      </c>
      <c r="G409" s="10">
        <v>16</v>
      </c>
      <c r="H409" s="10">
        <v>20</v>
      </c>
    </row>
    <row r="410" spans="2:13" x14ac:dyDescent="0.35">
      <c r="B410" t="s">
        <v>12</v>
      </c>
      <c r="C410" t="s">
        <v>3</v>
      </c>
      <c r="D410">
        <v>0</v>
      </c>
      <c r="E410" s="10">
        <v>5</v>
      </c>
      <c r="F410" s="10">
        <v>10</v>
      </c>
      <c r="G410" s="10">
        <v>16</v>
      </c>
      <c r="H410" s="10">
        <v>20</v>
      </c>
    </row>
    <row r="411" spans="2:13" x14ac:dyDescent="0.35">
      <c r="B411" t="s">
        <v>27</v>
      </c>
      <c r="E411" s="8"/>
      <c r="F411" s="8"/>
      <c r="G411" s="8"/>
      <c r="H411" s="8"/>
      <c r="J411" t="s">
        <v>30</v>
      </c>
    </row>
    <row r="412" spans="2:13" x14ac:dyDescent="0.35">
      <c r="B412" t="s">
        <v>13</v>
      </c>
      <c r="C412" t="s">
        <v>3</v>
      </c>
      <c r="D412">
        <v>0</v>
      </c>
      <c r="E412" s="11" t="str" cm="1">
        <f t="array" ref="E412">[1]!WB(E408-E404,"&gt;=",0)</f>
        <v>&gt;=</v>
      </c>
      <c r="F412" s="11" t="str" cm="1">
        <f t="array" ref="F412">[1]!WB(F408-F404,"&gt;=",0)</f>
        <v>&gt;=</v>
      </c>
      <c r="G412" s="11" t="str" cm="1">
        <f t="array" ref="G412">[1]!WB(G408-G404,"&gt;=",0)</f>
        <v>&gt;=</v>
      </c>
      <c r="H412" s="11" t="str" cm="1">
        <f t="array" ref="H412">[1]!WB(H408-H404,"&gt;=",0)</f>
        <v>&gt;=</v>
      </c>
      <c r="J412" s="11">
        <f>[1]!WBDUAL(E412,0)</f>
        <v>0</v>
      </c>
      <c r="K412" s="11">
        <f>[1]!WBDUAL(F412,0)</f>
        <v>0</v>
      </c>
      <c r="L412" s="11">
        <f>[1]!WBDUAL(G412,0)</f>
        <v>0</v>
      </c>
      <c r="M412" s="11">
        <f>[1]!WBDUAL(H412,0)</f>
        <v>0</v>
      </c>
    </row>
    <row r="413" spans="2:13" x14ac:dyDescent="0.35">
      <c r="B413" t="s">
        <v>11</v>
      </c>
      <c r="C413" t="s">
        <v>3</v>
      </c>
      <c r="D413">
        <v>0</v>
      </c>
      <c r="E413" s="11" t="str" cm="1">
        <f t="array" ref="E413">[1]!WB(E409-E405,"&gt;=",0)</f>
        <v>&gt;=</v>
      </c>
      <c r="F413" s="11" t="str" cm="1">
        <f t="array" ref="F413">[1]!WB(F409-F405,"&gt;=",0)</f>
        <v>&gt;=</v>
      </c>
      <c r="G413" s="11" t="str" cm="1">
        <f t="array" ref="G413">[1]!WB(G409-G405,"&gt;=",0)</f>
        <v>&gt;=</v>
      </c>
      <c r="H413" s="11" t="str" cm="1">
        <f t="array" ref="H413">[1]!WB(H409-H405,"&gt;=",0)</f>
        <v>&gt;=</v>
      </c>
      <c r="J413" s="11">
        <f>[1]!WBDUAL(E413,0)</f>
        <v>0</v>
      </c>
      <c r="K413" s="11">
        <f>[1]!WBDUAL(F413,0)</f>
        <v>0</v>
      </c>
      <c r="L413" s="11">
        <f>[1]!WBDUAL(G413,0)</f>
        <v>0</v>
      </c>
      <c r="M413" s="11">
        <f>[1]!WBDUAL(H413,0)</f>
        <v>0</v>
      </c>
    </row>
    <row r="414" spans="2:13" x14ac:dyDescent="0.35">
      <c r="B414" t="s">
        <v>12</v>
      </c>
      <c r="C414" t="s">
        <v>3</v>
      </c>
      <c r="D414">
        <v>0</v>
      </c>
      <c r="E414" s="11" t="str" cm="1">
        <f t="array" ref="E414">[1]!WB(E410-E406,"&gt;=",0)</f>
        <v>&gt;=</v>
      </c>
      <c r="F414" s="11" t="str" cm="1">
        <f t="array" ref="F414">[1]!WB(F410-F406,"&gt;=",0)</f>
        <v>&gt;=</v>
      </c>
      <c r="G414" s="11" t="str" cm="1">
        <f t="array" ref="G414">[1]!WB(G410-G406,"&gt;=",0)</f>
        <v>&gt;=</v>
      </c>
      <c r="H414" s="11" t="str" cm="1">
        <f t="array" ref="H414">[1]!WB(H410-H406,"&gt;=",0)</f>
        <v>&gt;=</v>
      </c>
      <c r="J414" s="11">
        <f>[1]!WBDUAL(E414,0)</f>
        <v>0</v>
      </c>
      <c r="K414" s="11">
        <f>[1]!WBDUAL(F414,0)</f>
        <v>0</v>
      </c>
      <c r="L414" s="11">
        <f>[1]!WBDUAL(G414,0)</f>
        <v>0</v>
      </c>
      <c r="M414" s="11">
        <f>[1]!WBDUAL(H414,0)</f>
        <v>0</v>
      </c>
    </row>
    <row r="415" spans="2:13" x14ac:dyDescent="0.35">
      <c r="E415" s="8"/>
      <c r="F415" s="8"/>
      <c r="G415" s="8"/>
      <c r="H415" s="8"/>
    </row>
    <row r="416" spans="2:13" x14ac:dyDescent="0.35">
      <c r="B416" s="4" t="s">
        <v>14</v>
      </c>
      <c r="C416" t="s">
        <v>15</v>
      </c>
    </row>
    <row r="417" spans="2:8" x14ac:dyDescent="0.35">
      <c r="B417" t="s">
        <v>13</v>
      </c>
      <c r="C417" t="s">
        <v>15</v>
      </c>
      <c r="D417" s="1">
        <v>50</v>
      </c>
      <c r="E417">
        <f>D417</f>
        <v>50</v>
      </c>
      <c r="F417">
        <f>E417</f>
        <v>50</v>
      </c>
      <c r="G417">
        <f>F417</f>
        <v>50</v>
      </c>
      <c r="H417">
        <f>G417</f>
        <v>50</v>
      </c>
    </row>
    <row r="418" spans="2:8" x14ac:dyDescent="0.35">
      <c r="B418" t="s">
        <v>11</v>
      </c>
      <c r="C418" t="s">
        <v>15</v>
      </c>
      <c r="D418" s="1">
        <v>700</v>
      </c>
      <c r="E418">
        <f t="shared" ref="E418:H419" si="43">D418*0.85</f>
        <v>595</v>
      </c>
      <c r="F418">
        <f t="shared" si="43"/>
        <v>505.75</v>
      </c>
      <c r="G418">
        <f t="shared" si="43"/>
        <v>429.88749999999999</v>
      </c>
      <c r="H418">
        <f t="shared" si="43"/>
        <v>365.40437499999996</v>
      </c>
    </row>
    <row r="419" spans="2:8" x14ac:dyDescent="0.35">
      <c r="B419" t="s">
        <v>12</v>
      </c>
      <c r="C419" t="s">
        <v>15</v>
      </c>
      <c r="D419" s="1">
        <v>1500</v>
      </c>
      <c r="E419">
        <f t="shared" si="43"/>
        <v>1275</v>
      </c>
      <c r="F419">
        <f t="shared" si="43"/>
        <v>1083.75</v>
      </c>
      <c r="G419">
        <f t="shared" si="43"/>
        <v>921.1875</v>
      </c>
      <c r="H419">
        <f t="shared" si="43"/>
        <v>783.00937499999998</v>
      </c>
    </row>
    <row r="420" spans="2:8" x14ac:dyDescent="0.35">
      <c r="B420" s="4" t="s">
        <v>19</v>
      </c>
      <c r="C420" t="s">
        <v>18</v>
      </c>
    </row>
    <row r="421" spans="2:8" x14ac:dyDescent="0.35">
      <c r="B421" t="s">
        <v>13</v>
      </c>
      <c r="C421" t="s">
        <v>18</v>
      </c>
      <c r="D421" s="1">
        <v>10</v>
      </c>
      <c r="E421" s="1">
        <v>10</v>
      </c>
      <c r="F421" s="1">
        <v>10</v>
      </c>
      <c r="G421" s="1">
        <v>10</v>
      </c>
      <c r="H421" s="1">
        <v>10</v>
      </c>
    </row>
    <row r="422" spans="2:8" x14ac:dyDescent="0.35">
      <c r="B422" t="s">
        <v>11</v>
      </c>
      <c r="C422" t="s">
        <v>18</v>
      </c>
      <c r="D422" s="1">
        <v>10</v>
      </c>
      <c r="E422" s="1">
        <v>10</v>
      </c>
      <c r="F422" s="1">
        <v>10</v>
      </c>
      <c r="G422" s="1">
        <v>10</v>
      </c>
      <c r="H422" s="1">
        <v>10</v>
      </c>
    </row>
    <row r="423" spans="2:8" x14ac:dyDescent="0.35">
      <c r="B423" t="s">
        <v>12</v>
      </c>
      <c r="C423" t="s">
        <v>18</v>
      </c>
      <c r="D423" s="1">
        <v>10</v>
      </c>
      <c r="E423" s="1">
        <v>10</v>
      </c>
      <c r="F423" s="1">
        <v>10</v>
      </c>
      <c r="G423" s="1">
        <v>10</v>
      </c>
      <c r="H423" s="1">
        <v>10</v>
      </c>
    </row>
    <row r="424" spans="2:8" x14ac:dyDescent="0.35">
      <c r="B424" s="4" t="s">
        <v>21</v>
      </c>
      <c r="C424" t="s">
        <v>6</v>
      </c>
      <c r="D424" s="3">
        <v>0.05</v>
      </c>
      <c r="E424" s="3">
        <v>0.05</v>
      </c>
      <c r="F424" s="3">
        <v>0.05</v>
      </c>
      <c r="G424" s="3">
        <v>0.05</v>
      </c>
      <c r="H424" s="3">
        <v>0.05</v>
      </c>
    </row>
    <row r="425" spans="2:8" x14ac:dyDescent="0.35">
      <c r="B425" s="9" t="s">
        <v>16</v>
      </c>
      <c r="C425" t="s">
        <v>15</v>
      </c>
    </row>
    <row r="426" spans="2:8" x14ac:dyDescent="0.35">
      <c r="B426" t="s">
        <v>13</v>
      </c>
      <c r="C426" t="s">
        <v>15</v>
      </c>
      <c r="D426" s="5">
        <f t="shared" ref="D426:H428" si="44">PMT(D$80,D421,-D417)</f>
        <v>6.4752287482728335</v>
      </c>
      <c r="E426" s="5">
        <f t="shared" si="44"/>
        <v>6.4752287482728335</v>
      </c>
      <c r="F426" s="5">
        <f t="shared" si="44"/>
        <v>6.4752287482728335</v>
      </c>
      <c r="G426" s="5">
        <f t="shared" si="44"/>
        <v>6.4752287482728335</v>
      </c>
      <c r="H426" s="5">
        <f t="shared" si="44"/>
        <v>6.4752287482728335</v>
      </c>
    </row>
    <row r="427" spans="2:8" x14ac:dyDescent="0.35">
      <c r="B427" t="s">
        <v>11</v>
      </c>
      <c r="C427" t="s">
        <v>15</v>
      </c>
      <c r="D427" s="5">
        <f t="shared" si="44"/>
        <v>90.653202475819668</v>
      </c>
      <c r="E427" s="5">
        <f t="shared" si="44"/>
        <v>77.055222104446727</v>
      </c>
      <c r="F427" s="5">
        <f t="shared" si="44"/>
        <v>65.496938788779715</v>
      </c>
      <c r="G427" s="5">
        <f t="shared" si="44"/>
        <v>55.672397970462754</v>
      </c>
      <c r="H427" s="5">
        <f t="shared" si="44"/>
        <v>47.321538274893335</v>
      </c>
    </row>
    <row r="428" spans="2:8" x14ac:dyDescent="0.35">
      <c r="B428" t="s">
        <v>12</v>
      </c>
      <c r="C428" t="s">
        <v>15</v>
      </c>
      <c r="D428" s="5">
        <f t="shared" si="44"/>
        <v>194.25686244818499</v>
      </c>
      <c r="E428" s="5">
        <f t="shared" si="44"/>
        <v>165.11833308095726</v>
      </c>
      <c r="F428" s="5">
        <f t="shared" si="44"/>
        <v>140.35058311881366</v>
      </c>
      <c r="G428" s="5">
        <f t="shared" si="44"/>
        <v>119.29799565099161</v>
      </c>
      <c r="H428" s="5">
        <f t="shared" si="44"/>
        <v>101.40329630334287</v>
      </c>
    </row>
    <row r="429" spans="2:8" x14ac:dyDescent="0.35">
      <c r="B429" s="4" t="s">
        <v>20</v>
      </c>
      <c r="C429" t="s">
        <v>6</v>
      </c>
    </row>
    <row r="430" spans="2:8" x14ac:dyDescent="0.35">
      <c r="B430" t="s">
        <v>13</v>
      </c>
      <c r="C430" t="s">
        <v>6</v>
      </c>
      <c r="D430" s="3">
        <v>0.1</v>
      </c>
      <c r="E430" s="3">
        <v>0.1</v>
      </c>
      <c r="F430" s="3">
        <v>0.1</v>
      </c>
      <c r="G430" s="3">
        <v>0.1</v>
      </c>
      <c r="H430" s="3">
        <v>0.1</v>
      </c>
    </row>
    <row r="431" spans="2:8" x14ac:dyDescent="0.35">
      <c r="B431" t="s">
        <v>11</v>
      </c>
      <c r="C431" t="s">
        <v>6</v>
      </c>
      <c r="D431" s="3">
        <v>2.5000000000000001E-2</v>
      </c>
      <c r="E431" s="3">
        <v>2.5000000000000001E-2</v>
      </c>
      <c r="F431" s="3">
        <v>2.5000000000000001E-2</v>
      </c>
      <c r="G431" s="3">
        <v>2.5000000000000001E-2</v>
      </c>
      <c r="H431" s="3">
        <v>2.5000000000000001E-2</v>
      </c>
    </row>
    <row r="432" spans="2:8" x14ac:dyDescent="0.35">
      <c r="B432" t="s">
        <v>12</v>
      </c>
      <c r="C432" t="s">
        <v>6</v>
      </c>
      <c r="D432" s="3">
        <v>0.03</v>
      </c>
      <c r="E432" s="3">
        <v>0.03</v>
      </c>
      <c r="F432" s="3">
        <v>0.03</v>
      </c>
      <c r="G432" s="3">
        <v>0.03</v>
      </c>
      <c r="H432" s="3">
        <v>0.03</v>
      </c>
    </row>
    <row r="433" spans="2:13" x14ac:dyDescent="0.35">
      <c r="B433" s="4" t="s">
        <v>17</v>
      </c>
      <c r="C433" t="s">
        <v>15</v>
      </c>
    </row>
    <row r="434" spans="2:13" x14ac:dyDescent="0.35">
      <c r="B434" t="s">
        <v>13</v>
      </c>
      <c r="C434" t="s">
        <v>15</v>
      </c>
      <c r="D434" s="6">
        <f t="shared" ref="D434:H436" si="45">D430*D417</f>
        <v>5</v>
      </c>
      <c r="E434" s="6">
        <f t="shared" si="45"/>
        <v>5</v>
      </c>
      <c r="F434" s="6">
        <f t="shared" si="45"/>
        <v>5</v>
      </c>
      <c r="G434" s="6">
        <f t="shared" si="45"/>
        <v>5</v>
      </c>
      <c r="H434" s="6">
        <f t="shared" si="45"/>
        <v>5</v>
      </c>
    </row>
    <row r="435" spans="2:13" x14ac:dyDescent="0.35">
      <c r="B435" t="s">
        <v>11</v>
      </c>
      <c r="C435" t="s">
        <v>15</v>
      </c>
      <c r="D435" s="6">
        <f t="shared" si="45"/>
        <v>17.5</v>
      </c>
      <c r="E435" s="6">
        <f t="shared" si="45"/>
        <v>14.875</v>
      </c>
      <c r="F435" s="6">
        <f t="shared" si="45"/>
        <v>12.643750000000001</v>
      </c>
      <c r="G435" s="6">
        <f t="shared" si="45"/>
        <v>10.747187500000001</v>
      </c>
      <c r="H435" s="6">
        <f t="shared" si="45"/>
        <v>9.135109374999999</v>
      </c>
    </row>
    <row r="436" spans="2:13" x14ac:dyDescent="0.35">
      <c r="B436" t="s">
        <v>12</v>
      </c>
      <c r="C436" t="s">
        <v>15</v>
      </c>
      <c r="D436" s="6">
        <f t="shared" si="45"/>
        <v>45</v>
      </c>
      <c r="E436" s="6">
        <f t="shared" si="45"/>
        <v>38.25</v>
      </c>
      <c r="F436" s="6">
        <f t="shared" si="45"/>
        <v>32.512499999999996</v>
      </c>
      <c r="G436" s="6">
        <f t="shared" si="45"/>
        <v>27.635624999999997</v>
      </c>
      <c r="H436" s="6">
        <f t="shared" si="45"/>
        <v>23.490281249999999</v>
      </c>
    </row>
    <row r="437" spans="2:13" x14ac:dyDescent="0.35">
      <c r="B437" s="4" t="s">
        <v>22</v>
      </c>
      <c r="C437" t="s">
        <v>15</v>
      </c>
    </row>
    <row r="438" spans="2:13" x14ac:dyDescent="0.35">
      <c r="B438" t="s">
        <v>13</v>
      </c>
      <c r="C438" t="s">
        <v>15</v>
      </c>
      <c r="D438" s="1">
        <v>75</v>
      </c>
      <c r="E438" s="1">
        <v>75</v>
      </c>
      <c r="F438" s="1">
        <v>75</v>
      </c>
      <c r="G438" s="1">
        <v>75</v>
      </c>
      <c r="H438" s="1">
        <v>75</v>
      </c>
    </row>
    <row r="439" spans="2:13" x14ac:dyDescent="0.35">
      <c r="B439" t="s">
        <v>11</v>
      </c>
      <c r="C439" t="s">
        <v>15</v>
      </c>
      <c r="D439" s="1">
        <v>15</v>
      </c>
      <c r="E439" s="1">
        <v>15</v>
      </c>
      <c r="F439" s="1">
        <v>15</v>
      </c>
      <c r="G439" s="1">
        <v>15</v>
      </c>
      <c r="H439" s="1">
        <v>15</v>
      </c>
    </row>
    <row r="440" spans="2:13" x14ac:dyDescent="0.35">
      <c r="B440" t="s">
        <v>12</v>
      </c>
      <c r="C440" t="s">
        <v>15</v>
      </c>
      <c r="D440" s="1">
        <v>60</v>
      </c>
      <c r="E440" s="1">
        <v>60</v>
      </c>
      <c r="F440" s="1">
        <v>60</v>
      </c>
      <c r="G440" s="1">
        <v>60</v>
      </c>
      <c r="H440" s="1">
        <v>60</v>
      </c>
    </row>
    <row r="441" spans="2:13" x14ac:dyDescent="0.35">
      <c r="B441" s="4" t="s">
        <v>25</v>
      </c>
      <c r="C441" t="s">
        <v>15</v>
      </c>
      <c r="J441" t="s">
        <v>82</v>
      </c>
    </row>
    <row r="442" spans="2:13" x14ac:dyDescent="0.35">
      <c r="B442" t="s">
        <v>13</v>
      </c>
      <c r="C442" t="s">
        <v>15</v>
      </c>
      <c r="D442" s="40">
        <f t="shared" ref="D442:H444" si="46">D426+D434+D438</f>
        <v>86.475228748272826</v>
      </c>
      <c r="E442" s="40">
        <f t="shared" si="46"/>
        <v>86.475228748272826</v>
      </c>
      <c r="F442" s="40">
        <f t="shared" si="46"/>
        <v>86.475228748272826</v>
      </c>
      <c r="G442" s="40">
        <f t="shared" si="46"/>
        <v>86.475228748272826</v>
      </c>
      <c r="H442" s="40">
        <f t="shared" si="46"/>
        <v>86.475228748272826</v>
      </c>
      <c r="J442" s="42" t="str">
        <f t="shared" ref="J442:M444" si="47">IF(E404&gt;0,E442,"-")</f>
        <v>-</v>
      </c>
      <c r="K442" s="42" t="str">
        <f t="shared" si="47"/>
        <v>-</v>
      </c>
      <c r="L442" s="42" t="str">
        <f t="shared" si="47"/>
        <v>-</v>
      </c>
      <c r="M442" s="42" t="str">
        <f t="shared" si="47"/>
        <v>-</v>
      </c>
    </row>
    <row r="443" spans="2:13" x14ac:dyDescent="0.35">
      <c r="B443" t="s">
        <v>11</v>
      </c>
      <c r="C443" t="s">
        <v>15</v>
      </c>
      <c r="D443" s="40">
        <f t="shared" si="46"/>
        <v>123.15320247581967</v>
      </c>
      <c r="E443" s="40">
        <f t="shared" si="46"/>
        <v>106.93022210444673</v>
      </c>
      <c r="F443" s="40">
        <f t="shared" si="46"/>
        <v>93.140688788779713</v>
      </c>
      <c r="G443" s="40">
        <f t="shared" si="46"/>
        <v>81.419585470462749</v>
      </c>
      <c r="H443" s="40">
        <f t="shared" si="46"/>
        <v>71.456647649893341</v>
      </c>
      <c r="J443" s="42" t="str">
        <f t="shared" si="47"/>
        <v>-</v>
      </c>
      <c r="K443" s="42" t="str">
        <f t="shared" si="47"/>
        <v>-</v>
      </c>
      <c r="L443" s="42" t="str">
        <f t="shared" si="47"/>
        <v>-</v>
      </c>
      <c r="M443" s="42" t="str">
        <f t="shared" si="47"/>
        <v>-</v>
      </c>
    </row>
    <row r="444" spans="2:13" x14ac:dyDescent="0.35">
      <c r="B444" t="s">
        <v>12</v>
      </c>
      <c r="C444" t="s">
        <v>15</v>
      </c>
      <c r="D444" s="40">
        <f t="shared" si="46"/>
        <v>299.25686244818496</v>
      </c>
      <c r="E444" s="40">
        <f t="shared" si="46"/>
        <v>263.36833308095726</v>
      </c>
      <c r="F444" s="40">
        <f t="shared" si="46"/>
        <v>232.86308311881365</v>
      </c>
      <c r="G444" s="40">
        <f t="shared" si="46"/>
        <v>206.9336206509916</v>
      </c>
      <c r="H444" s="40">
        <f t="shared" si="46"/>
        <v>184.89357755334288</v>
      </c>
      <c r="J444" s="42" t="str">
        <f t="shared" si="47"/>
        <v>-</v>
      </c>
      <c r="K444" s="42" t="str">
        <f t="shared" si="47"/>
        <v>-</v>
      </c>
      <c r="L444" s="42" t="str">
        <f t="shared" si="47"/>
        <v>-</v>
      </c>
      <c r="M444" s="42" t="str">
        <f t="shared" si="47"/>
        <v>-</v>
      </c>
    </row>
    <row r="445" spans="2:13" x14ac:dyDescent="0.35">
      <c r="D445" s="5"/>
      <c r="E445" s="5"/>
      <c r="F445" s="5"/>
      <c r="G445" s="5"/>
      <c r="H445" s="5"/>
    </row>
    <row r="446" spans="2:13" x14ac:dyDescent="0.35">
      <c r="B446" s="4" t="s">
        <v>23</v>
      </c>
      <c r="C446" t="s">
        <v>24</v>
      </c>
    </row>
    <row r="447" spans="2:13" x14ac:dyDescent="0.35">
      <c r="B447" t="s">
        <v>13</v>
      </c>
      <c r="C447" t="s">
        <v>24</v>
      </c>
      <c r="D447" s="7">
        <f t="shared" ref="D447:H449" si="48">D442*D404</f>
        <v>0</v>
      </c>
      <c r="E447" s="7">
        <f t="shared" si="48"/>
        <v>0</v>
      </c>
      <c r="F447" s="7">
        <f t="shared" si="48"/>
        <v>0</v>
      </c>
      <c r="G447" s="7">
        <f t="shared" si="48"/>
        <v>0</v>
      </c>
      <c r="H447" s="7">
        <f t="shared" si="48"/>
        <v>0</v>
      </c>
    </row>
    <row r="448" spans="2:13" x14ac:dyDescent="0.35">
      <c r="B448" t="s">
        <v>11</v>
      </c>
      <c r="C448" t="s">
        <v>24</v>
      </c>
      <c r="D448" s="7">
        <f t="shared" si="48"/>
        <v>0</v>
      </c>
      <c r="E448" s="7">
        <f t="shared" si="48"/>
        <v>0</v>
      </c>
      <c r="F448" s="7">
        <f t="shared" si="48"/>
        <v>0</v>
      </c>
      <c r="G448" s="7">
        <f t="shared" si="48"/>
        <v>0</v>
      </c>
      <c r="H448" s="7">
        <f t="shared" si="48"/>
        <v>0</v>
      </c>
    </row>
    <row r="449" spans="2:9" x14ac:dyDescent="0.35">
      <c r="B449" t="s">
        <v>12</v>
      </c>
      <c r="C449" t="s">
        <v>24</v>
      </c>
      <c r="D449" s="7">
        <f t="shared" si="48"/>
        <v>0</v>
      </c>
      <c r="E449" s="7">
        <f t="shared" si="48"/>
        <v>0</v>
      </c>
      <c r="F449" s="7">
        <f t="shared" si="48"/>
        <v>0</v>
      </c>
      <c r="G449" s="7">
        <f t="shared" si="48"/>
        <v>0</v>
      </c>
      <c r="H449" s="7">
        <f t="shared" si="48"/>
        <v>0</v>
      </c>
    </row>
    <row r="450" spans="2:9" x14ac:dyDescent="0.35">
      <c r="I450" s="31">
        <f>SUM(D447:H449)</f>
        <v>0</v>
      </c>
    </row>
    <row r="452" spans="2:9" x14ac:dyDescent="0.35">
      <c r="B452" s="30" t="s">
        <v>65</v>
      </c>
      <c r="C452" s="30"/>
      <c r="D452" s="30">
        <v>2020</v>
      </c>
      <c r="E452" s="30">
        <v>2025</v>
      </c>
      <c r="F452" s="30">
        <v>2030</v>
      </c>
      <c r="G452" s="30">
        <v>2035</v>
      </c>
      <c r="H452" s="30">
        <v>2040</v>
      </c>
    </row>
    <row r="454" spans="2:9" x14ac:dyDescent="0.35">
      <c r="B454" s="4" t="s">
        <v>63</v>
      </c>
      <c r="C454" t="s">
        <v>3</v>
      </c>
      <c r="D454">
        <f>SUM(D455:D460)</f>
        <v>480</v>
      </c>
      <c r="E454">
        <f>SUM(E455:E460)</f>
        <v>436.96</v>
      </c>
      <c r="F454">
        <f>SUM(F455:F460)</f>
        <v>343.53999999999996</v>
      </c>
      <c r="G454">
        <f>SUM(G455:G460)</f>
        <v>282.19249999999994</v>
      </c>
      <c r="H454">
        <f>SUM(H455:H460)</f>
        <v>173.35999999999996</v>
      </c>
    </row>
    <row r="455" spans="2:9" x14ac:dyDescent="0.35">
      <c r="B455" t="s">
        <v>36</v>
      </c>
      <c r="C455" t="s">
        <v>3</v>
      </c>
      <c r="D455" s="1">
        <v>180</v>
      </c>
      <c r="E455">
        <f>($D455*(E$13/$D$13))-SUM(E472:E474)</f>
        <v>182.10999999999999</v>
      </c>
      <c r="F455">
        <f>($D455*(F$13/$D$13))-SUM(F472:F474)</f>
        <v>194.03999999999996</v>
      </c>
      <c r="G455">
        <f>($D455*(G$13/$D$13))-SUM(G472:G474)</f>
        <v>199.75499999999997</v>
      </c>
      <c r="H455">
        <f>($D455*(H$13/$D$13))-SUM(H472:H474)</f>
        <v>141.42089547856796</v>
      </c>
    </row>
    <row r="456" spans="2:9" x14ac:dyDescent="0.35">
      <c r="B456" t="s">
        <v>37</v>
      </c>
      <c r="C456" t="s">
        <v>3</v>
      </c>
      <c r="D456" s="1">
        <v>30</v>
      </c>
      <c r="E456">
        <f>($D456*(E$13/$D$13))-SUM(E523:E525)</f>
        <v>22.184999999999995</v>
      </c>
      <c r="F456">
        <f>($D456*(F$13/$D$13))-SUM(F523:F525)</f>
        <v>0</v>
      </c>
      <c r="G456">
        <f>($D456*(G$13/$D$13))-SUM(G523:G525)</f>
        <v>0</v>
      </c>
      <c r="H456">
        <f>($D456*(H$13/$D$13))-SUM(H523:H525)</f>
        <v>0</v>
      </c>
    </row>
    <row r="457" spans="2:9" x14ac:dyDescent="0.35">
      <c r="B457" t="s">
        <v>38</v>
      </c>
      <c r="C457" t="s">
        <v>3</v>
      </c>
      <c r="D457" s="1">
        <v>75</v>
      </c>
      <c r="E457">
        <f>($D457*(E$13/$D$13))-SUM(E574:E576)</f>
        <v>65.962499999999991</v>
      </c>
      <c r="F457">
        <f>($D457*(F$13/$D$13))-SUM(F574:F576)</f>
        <v>40.849999999999994</v>
      </c>
      <c r="G457">
        <f>($D457*(G$13/$D$13))-SUM(G574:G576)</f>
        <v>18.231249999999989</v>
      </c>
      <c r="H457">
        <f>($D457*(H$13/$D$13))-SUM(H574:H576)</f>
        <v>1.1463681762387665</v>
      </c>
    </row>
    <row r="458" spans="2:9" x14ac:dyDescent="0.35">
      <c r="B458" t="s">
        <v>39</v>
      </c>
      <c r="C458" t="s">
        <v>3</v>
      </c>
      <c r="D458" s="1">
        <v>75</v>
      </c>
      <c r="E458">
        <f>($D458*(E$13/$D$13))-SUM(E626:E628)</f>
        <v>65.962499999999991</v>
      </c>
      <c r="F458">
        <f>($D458*(F$13/$D$13))-SUM(F626:F628)</f>
        <v>40.849999999999994</v>
      </c>
      <c r="G458">
        <f>($D458*(G$13/$D$13))-SUM(G626:G628)</f>
        <v>18.231249999999989</v>
      </c>
      <c r="H458">
        <f>($D458*(H$13/$D$13))-SUM(H626:H628)</f>
        <v>1.1463681678620929</v>
      </c>
    </row>
    <row r="459" spans="2:9" x14ac:dyDescent="0.35">
      <c r="B459" t="s">
        <v>40</v>
      </c>
      <c r="C459" t="s">
        <v>3</v>
      </c>
      <c r="D459" s="1">
        <v>20</v>
      </c>
      <c r="E459">
        <f>($D459*(E$13/$D$13))-SUM(E678:E680)</f>
        <v>8.7899999999999991</v>
      </c>
      <c r="F459">
        <f>($D459*(F$13/$D$13))-SUM(F678:F680)</f>
        <v>0</v>
      </c>
      <c r="G459">
        <f>($D459*(G$13/$D$13))-SUM(G678:G680)</f>
        <v>0</v>
      </c>
      <c r="H459">
        <f>($D459*(H$13/$D$13))-SUM(H678:H680)</f>
        <v>0</v>
      </c>
    </row>
    <row r="460" spans="2:9" x14ac:dyDescent="0.35">
      <c r="B460" t="s">
        <v>41</v>
      </c>
      <c r="C460" t="s">
        <v>3</v>
      </c>
      <c r="D460" s="1">
        <v>100</v>
      </c>
      <c r="E460">
        <f>($D460*(E$13/$D$13))-SUM(E730:E732)</f>
        <v>91.949999999999989</v>
      </c>
      <c r="F460">
        <f>($D460*(F$13/$D$13))-SUM(F730:F732)</f>
        <v>67.799999999999983</v>
      </c>
      <c r="G460">
        <f>($D460*(G$13/$D$13))-SUM(G730:G732)</f>
        <v>45.97499999999998</v>
      </c>
      <c r="H460">
        <f>($D460*(H$13/$D$13))-SUM(H730:H732)</f>
        <v>29.646368177331183</v>
      </c>
    </row>
    <row r="462" spans="2:9" x14ac:dyDescent="0.35">
      <c r="B462" t="s">
        <v>67</v>
      </c>
    </row>
    <row r="463" spans="2:9" x14ac:dyDescent="0.35">
      <c r="B463" t="s">
        <v>36</v>
      </c>
      <c r="C463" t="s">
        <v>3</v>
      </c>
      <c r="D463" s="33">
        <v>0</v>
      </c>
      <c r="E463" s="34" t="str" cm="1">
        <f t="array" ref="E463">[1]!WB(E455,"&gt;=",0)</f>
        <v>&gt;=</v>
      </c>
      <c r="F463" s="34" t="str" cm="1">
        <f t="array" ref="F463">[1]!WB(F455,"&gt;=",0)</f>
        <v>&gt;=</v>
      </c>
      <c r="G463" s="34" t="str" cm="1">
        <f t="array" ref="G463">[1]!WB(G455,"&gt;=",0)</f>
        <v>&gt;=</v>
      </c>
      <c r="H463" s="34" t="str" cm="1">
        <f t="array" ref="H463">[1]!WB(H455,"&gt;=",0)</f>
        <v>&gt;=</v>
      </c>
    </row>
    <row r="464" spans="2:9" x14ac:dyDescent="0.35">
      <c r="B464" t="s">
        <v>37</v>
      </c>
      <c r="C464" t="s">
        <v>3</v>
      </c>
      <c r="D464" s="33">
        <v>0</v>
      </c>
      <c r="E464" s="34" t="str" cm="1">
        <f t="array" ref="E464">[1]!WB(E456,"&gt;=",0)</f>
        <v>&gt;=</v>
      </c>
      <c r="F464" s="34" t="str" cm="1">
        <f t="array" ref="F464">[1]!WB(F456,"&gt;=",0)</f>
        <v>=&gt;=</v>
      </c>
      <c r="G464" s="34" t="str" cm="1">
        <f t="array" ref="G464">[1]!WB(G456,"&gt;=",0)</f>
        <v>=&gt;=</v>
      </c>
      <c r="H464" s="34" t="str" cm="1">
        <f t="array" ref="H464">[1]!WB(H456,"&gt;=",0)</f>
        <v>=&gt;=</v>
      </c>
    </row>
    <row r="465" spans="2:13" x14ac:dyDescent="0.35">
      <c r="B465" t="s">
        <v>38</v>
      </c>
      <c r="C465" t="s">
        <v>3</v>
      </c>
      <c r="D465" s="33">
        <v>0</v>
      </c>
      <c r="E465" s="34" t="str" cm="1">
        <f t="array" ref="E465">[1]!WB(E457,"&gt;=",0)</f>
        <v>&gt;=</v>
      </c>
      <c r="F465" s="34" t="str" cm="1">
        <f t="array" ref="F465">[1]!WB(F457,"&gt;=",0)</f>
        <v>&gt;=</v>
      </c>
      <c r="G465" s="34" t="str" cm="1">
        <f t="array" ref="G465">[1]!WB(G457,"&gt;=",0)</f>
        <v>&gt;=</v>
      </c>
      <c r="H465" s="34" t="str" cm="1">
        <f t="array" ref="H465">[1]!WB(H457,"&gt;=",0)</f>
        <v>&gt;=</v>
      </c>
    </row>
    <row r="466" spans="2:13" x14ac:dyDescent="0.35">
      <c r="B466" t="s">
        <v>39</v>
      </c>
      <c r="C466" t="s">
        <v>3</v>
      </c>
      <c r="D466" s="33">
        <v>0</v>
      </c>
      <c r="E466" s="34" t="str" cm="1">
        <f t="array" ref="E466">[1]!WB(E458,"&gt;=",0)</f>
        <v>&gt;=</v>
      </c>
      <c r="F466" s="34" t="str" cm="1">
        <f t="array" ref="F466">[1]!WB(F458,"&gt;=",0)</f>
        <v>&gt;=</v>
      </c>
      <c r="G466" s="34" t="str" cm="1">
        <f t="array" ref="G466">[1]!WB(G458,"&gt;=",0)</f>
        <v>&gt;=</v>
      </c>
      <c r="H466" s="34" t="str" cm="1">
        <f t="array" ref="H466">[1]!WB(H458,"&gt;=",0)</f>
        <v>&gt;=</v>
      </c>
    </row>
    <row r="467" spans="2:13" x14ac:dyDescent="0.35">
      <c r="B467" t="s">
        <v>40</v>
      </c>
      <c r="C467" t="s">
        <v>3</v>
      </c>
      <c r="D467" s="33">
        <v>0</v>
      </c>
      <c r="E467" s="34" t="str" cm="1">
        <f t="array" ref="E467">[1]!WB(E459,"&gt;=",0)</f>
        <v>&gt;=</v>
      </c>
      <c r="F467" s="34" t="str" cm="1">
        <f t="array" ref="F467">[1]!WB(F459,"&gt;=",0)</f>
        <v>=&gt;=</v>
      </c>
      <c r="G467" s="34" t="str" cm="1">
        <f t="array" ref="G467">[1]!WB(G459,"&gt;=",0)</f>
        <v>=&gt;=</v>
      </c>
      <c r="H467" s="34" t="str" cm="1">
        <f t="array" ref="H467">[1]!WB(H459,"&gt;=",0)</f>
        <v>=&gt;=</v>
      </c>
    </row>
    <row r="468" spans="2:13" x14ac:dyDescent="0.35">
      <c r="B468" t="s">
        <v>41</v>
      </c>
      <c r="C468" t="s">
        <v>3</v>
      </c>
      <c r="D468" s="33">
        <v>0</v>
      </c>
      <c r="E468" s="34" t="str" cm="1">
        <f t="array" ref="E468">[1]!WB(E460,"&gt;=",0)</f>
        <v>&gt;=</v>
      </c>
      <c r="F468" s="34" t="str" cm="1">
        <f t="array" ref="F468">[1]!WB(F460,"&gt;=",0)</f>
        <v>&gt;=</v>
      </c>
      <c r="G468" s="34" t="str" cm="1">
        <f t="array" ref="G468">[1]!WB(G460,"&gt;=",0)</f>
        <v>&gt;=</v>
      </c>
      <c r="H468" s="34" t="str" cm="1">
        <f t="array" ref="H468">[1]!WB(H460,"&gt;=",0)</f>
        <v>&gt;=</v>
      </c>
    </row>
    <row r="471" spans="2:13" ht="15" thickBot="1" x14ac:dyDescent="0.4">
      <c r="B471" s="30" t="s">
        <v>42</v>
      </c>
      <c r="E471">
        <f>SUM(E472:E474)</f>
        <v>5</v>
      </c>
      <c r="F471">
        <f>SUM(F472:F474)</f>
        <v>0</v>
      </c>
      <c r="G471">
        <f>SUM(G472:G474)</f>
        <v>0</v>
      </c>
      <c r="H471">
        <f>SUM(H472:H474)</f>
        <v>63.779104521432018</v>
      </c>
    </row>
    <row r="472" spans="2:13" x14ac:dyDescent="0.35">
      <c r="B472" t="s">
        <v>33</v>
      </c>
      <c r="C472" t="s">
        <v>3</v>
      </c>
      <c r="D472">
        <v>0</v>
      </c>
      <c r="E472" s="13">
        <v>0</v>
      </c>
      <c r="F472" s="14">
        <v>0</v>
      </c>
      <c r="G472" s="14">
        <v>0</v>
      </c>
      <c r="H472" s="15">
        <v>0</v>
      </c>
    </row>
    <row r="473" spans="2:13" x14ac:dyDescent="0.35">
      <c r="B473" t="s">
        <v>43</v>
      </c>
      <c r="C473" t="s">
        <v>3</v>
      </c>
      <c r="D473">
        <v>0</v>
      </c>
      <c r="E473" s="16">
        <v>0</v>
      </c>
      <c r="F473" s="17">
        <v>0</v>
      </c>
      <c r="G473" s="17">
        <v>0</v>
      </c>
      <c r="H473" s="18">
        <v>33.779104521432018</v>
      </c>
    </row>
    <row r="474" spans="2:13" ht="15" thickBot="1" x14ac:dyDescent="0.4">
      <c r="B474" t="s">
        <v>32</v>
      </c>
      <c r="C474" t="s">
        <v>3</v>
      </c>
      <c r="D474">
        <v>0</v>
      </c>
      <c r="E474" s="19">
        <v>5</v>
      </c>
      <c r="F474" s="20">
        <v>0</v>
      </c>
      <c r="G474" s="20">
        <v>0</v>
      </c>
      <c r="H474" s="21">
        <v>30</v>
      </c>
    </row>
    <row r="475" spans="2:13" x14ac:dyDescent="0.35">
      <c r="B475" s="4" t="s">
        <v>26</v>
      </c>
      <c r="E475" s="8"/>
      <c r="F475" s="8"/>
      <c r="G475" s="8"/>
      <c r="H475" s="8"/>
    </row>
    <row r="476" spans="2:13" x14ac:dyDescent="0.35">
      <c r="B476" t="str">
        <f>B472</f>
        <v>Heat pumps DH</v>
      </c>
      <c r="C476" t="s">
        <v>3</v>
      </c>
      <c r="D476">
        <v>0</v>
      </c>
      <c r="E476" s="10">
        <v>50</v>
      </c>
      <c r="F476" s="10">
        <v>50</v>
      </c>
      <c r="G476" s="10">
        <v>50</v>
      </c>
      <c r="H476" s="10">
        <v>50</v>
      </c>
    </row>
    <row r="477" spans="2:13" x14ac:dyDescent="0.35">
      <c r="B477" t="str">
        <f>B473</f>
        <v>Heat pumps - distributed</v>
      </c>
      <c r="C477" t="s">
        <v>3</v>
      </c>
      <c r="D477">
        <v>0</v>
      </c>
      <c r="E477" s="10">
        <v>20</v>
      </c>
      <c r="F477" s="10">
        <v>40</v>
      </c>
      <c r="G477" s="10">
        <v>60</v>
      </c>
      <c r="H477" s="10">
        <v>80</v>
      </c>
    </row>
    <row r="478" spans="2:13" x14ac:dyDescent="0.35">
      <c r="B478" t="str">
        <f>B474</f>
        <v>Building and equipment mods</v>
      </c>
      <c r="C478" t="s">
        <v>3</v>
      </c>
      <c r="D478">
        <v>0</v>
      </c>
      <c r="E478" s="10">
        <v>5</v>
      </c>
      <c r="F478" s="10">
        <v>20</v>
      </c>
      <c r="G478" s="10">
        <v>25</v>
      </c>
      <c r="H478" s="10">
        <v>30</v>
      </c>
    </row>
    <row r="479" spans="2:13" x14ac:dyDescent="0.35">
      <c r="B479" t="s">
        <v>27</v>
      </c>
      <c r="E479" s="8"/>
      <c r="F479" s="8"/>
      <c r="G479" s="8"/>
      <c r="H479" s="8"/>
      <c r="J479" t="s">
        <v>30</v>
      </c>
    </row>
    <row r="480" spans="2:13" x14ac:dyDescent="0.35">
      <c r="B480" t="str">
        <f>B476</f>
        <v>Heat pumps DH</v>
      </c>
      <c r="C480" t="s">
        <v>3</v>
      </c>
      <c r="D480">
        <v>0</v>
      </c>
      <c r="E480" s="11" t="str" cm="1">
        <f t="array" ref="E480">[1]!WB(E476-E472,"&gt;=",0)</f>
        <v>&gt;=</v>
      </c>
      <c r="F480" s="11" t="str" cm="1">
        <f t="array" ref="F480">[1]!WB(F476-F472,"&gt;=",0)</f>
        <v>&gt;=</v>
      </c>
      <c r="G480" s="11" t="str" cm="1">
        <f t="array" ref="G480">[1]!WB(G476-G472,"&gt;=",0)</f>
        <v>&gt;=</v>
      </c>
      <c r="H480" s="11" t="str" cm="1">
        <f t="array" ref="H480">[1]!WB(H476-H472,"&gt;=",0)</f>
        <v>&gt;=</v>
      </c>
      <c r="J480" s="11">
        <f>[1]!WBDUAL(E480,0)</f>
        <v>0</v>
      </c>
      <c r="K480" s="11">
        <f>[1]!WBDUAL(F480,0)</f>
        <v>0</v>
      </c>
      <c r="L480" s="11">
        <f>[1]!WBDUAL(G480,0)</f>
        <v>0</v>
      </c>
      <c r="M480" s="11">
        <f>[1]!WBDUAL(H480,0)</f>
        <v>0</v>
      </c>
    </row>
    <row r="481" spans="2:13" x14ac:dyDescent="0.35">
      <c r="B481" t="str">
        <f>B477</f>
        <v>Heat pumps - distributed</v>
      </c>
      <c r="C481" t="s">
        <v>3</v>
      </c>
      <c r="D481">
        <v>0</v>
      </c>
      <c r="E481" s="11" t="str" cm="1">
        <f t="array" ref="E481">[1]!WB(E477-E473,"&gt;=",0)</f>
        <v>&gt;=</v>
      </c>
      <c r="F481" s="11" t="str" cm="1">
        <f t="array" ref="F481">[1]!WB(F477-F473,"&gt;=",0)</f>
        <v>&gt;=</v>
      </c>
      <c r="G481" s="11" t="str" cm="1">
        <f t="array" ref="G481">[1]!WB(G477-G473,"&gt;=",0)</f>
        <v>&gt;=</v>
      </c>
      <c r="H481" s="11" t="str" cm="1">
        <f t="array" ref="H481">[1]!WB(H477-H473,"&gt;=",0)</f>
        <v>&gt;=</v>
      </c>
      <c r="J481" s="11">
        <f>[1]!WBDUAL(E481,0)</f>
        <v>0</v>
      </c>
      <c r="K481" s="11">
        <f>[1]!WBDUAL(F481,0)</f>
        <v>0</v>
      </c>
      <c r="L481" s="11">
        <f>[1]!WBDUAL(G481,0)</f>
        <v>0</v>
      </c>
      <c r="M481" s="11">
        <f>[1]!WBDUAL(H481,0)</f>
        <v>0</v>
      </c>
    </row>
    <row r="482" spans="2:13" x14ac:dyDescent="0.35">
      <c r="B482" t="str">
        <f>B478</f>
        <v>Building and equipment mods</v>
      </c>
      <c r="C482" t="s">
        <v>3</v>
      </c>
      <c r="D482">
        <v>0</v>
      </c>
      <c r="E482" s="11" t="str" cm="1">
        <f t="array" ref="E482">[1]!WB(E478-E474,"&gt;=",0)</f>
        <v>=&gt;=</v>
      </c>
      <c r="F482" s="11" t="str" cm="1">
        <f t="array" ref="F482">[1]!WB(F478-F474,"&gt;=",0)</f>
        <v>&gt;=</v>
      </c>
      <c r="G482" s="11" t="str" cm="1">
        <f t="array" ref="G482">[1]!WB(G478-G474,"&gt;=",0)</f>
        <v>&gt;=</v>
      </c>
      <c r="H482" s="11" t="str" cm="1">
        <f t="array" ref="H482">[1]!WB(H478-H474,"&gt;=",0)</f>
        <v>=&gt;=</v>
      </c>
      <c r="J482" s="11">
        <f>[1]!WBDUAL(E482,-2.10839993942974)</f>
        <v>-2.1083999394297401</v>
      </c>
      <c r="K482" s="11">
        <f>[1]!WBDUAL(F482,0)</f>
        <v>0</v>
      </c>
      <c r="L482" s="11">
        <f>[1]!WBDUAL(G482,0)</f>
        <v>0</v>
      </c>
      <c r="M482" s="11">
        <f>[1]!WBDUAL(H482,-1.99568149135847)</f>
        <v>-1.99568149135847</v>
      </c>
    </row>
    <row r="483" spans="2:13" x14ac:dyDescent="0.35">
      <c r="E483" s="8"/>
      <c r="F483" s="8"/>
      <c r="G483" s="8"/>
      <c r="H483" s="8"/>
    </row>
    <row r="484" spans="2:13" x14ac:dyDescent="0.35">
      <c r="B484" s="4" t="s">
        <v>14</v>
      </c>
      <c r="C484" t="s">
        <v>15</v>
      </c>
    </row>
    <row r="485" spans="2:13" x14ac:dyDescent="0.35">
      <c r="B485" t="str">
        <f>B480</f>
        <v>Heat pumps DH</v>
      </c>
      <c r="C485" t="s">
        <v>15</v>
      </c>
      <c r="D485" s="1">
        <v>300</v>
      </c>
      <c r="E485">
        <f>D485</f>
        <v>300</v>
      </c>
      <c r="F485">
        <f>E485</f>
        <v>300</v>
      </c>
      <c r="G485">
        <f>F485</f>
        <v>300</v>
      </c>
      <c r="H485">
        <f>G485</f>
        <v>300</v>
      </c>
    </row>
    <row r="486" spans="2:13" x14ac:dyDescent="0.35">
      <c r="B486" t="str">
        <f>B481</f>
        <v>Heat pumps - distributed</v>
      </c>
      <c r="C486" t="s">
        <v>15</v>
      </c>
      <c r="D486" s="1">
        <v>500</v>
      </c>
      <c r="E486">
        <f t="shared" ref="E486:H487" si="49">D486*0.85</f>
        <v>425</v>
      </c>
      <c r="F486">
        <f t="shared" si="49"/>
        <v>361.25</v>
      </c>
      <c r="G486">
        <f t="shared" si="49"/>
        <v>307.0625</v>
      </c>
      <c r="H486">
        <f t="shared" si="49"/>
        <v>261.00312500000001</v>
      </c>
    </row>
    <row r="487" spans="2:13" x14ac:dyDescent="0.35">
      <c r="B487" t="str">
        <f>B482</f>
        <v>Building and equipment mods</v>
      </c>
      <c r="C487" t="s">
        <v>15</v>
      </c>
      <c r="D487" s="1">
        <v>40</v>
      </c>
      <c r="E487">
        <f t="shared" si="49"/>
        <v>34</v>
      </c>
      <c r="F487">
        <f t="shared" si="49"/>
        <v>28.9</v>
      </c>
      <c r="G487">
        <f t="shared" si="49"/>
        <v>24.564999999999998</v>
      </c>
      <c r="H487">
        <f t="shared" si="49"/>
        <v>20.880249999999997</v>
      </c>
    </row>
    <row r="488" spans="2:13" x14ac:dyDescent="0.35">
      <c r="B488" s="4" t="s">
        <v>19</v>
      </c>
      <c r="C488" t="s">
        <v>18</v>
      </c>
    </row>
    <row r="489" spans="2:13" x14ac:dyDescent="0.35">
      <c r="B489" t="str">
        <f>B485</f>
        <v>Heat pumps DH</v>
      </c>
      <c r="C489" t="s">
        <v>18</v>
      </c>
      <c r="D489" s="1">
        <v>10</v>
      </c>
      <c r="E489" s="1">
        <v>10</v>
      </c>
      <c r="F489" s="1">
        <v>10</v>
      </c>
      <c r="G489" s="1">
        <v>10</v>
      </c>
      <c r="H489" s="1">
        <v>10</v>
      </c>
    </row>
    <row r="490" spans="2:13" x14ac:dyDescent="0.35">
      <c r="B490" t="str">
        <f>B486</f>
        <v>Heat pumps - distributed</v>
      </c>
      <c r="C490" t="s">
        <v>18</v>
      </c>
      <c r="D490" s="1">
        <v>10</v>
      </c>
      <c r="E490" s="1">
        <v>10</v>
      </c>
      <c r="F490" s="1">
        <v>10</v>
      </c>
      <c r="G490" s="1">
        <v>10</v>
      </c>
      <c r="H490" s="1">
        <v>10</v>
      </c>
    </row>
    <row r="491" spans="2:13" x14ac:dyDescent="0.35">
      <c r="B491" t="str">
        <f>B487</f>
        <v>Building and equipment mods</v>
      </c>
      <c r="C491" t="s">
        <v>18</v>
      </c>
      <c r="D491" s="1">
        <v>10</v>
      </c>
      <c r="E491" s="1">
        <v>10</v>
      </c>
      <c r="F491" s="1">
        <v>10</v>
      </c>
      <c r="G491" s="1">
        <v>10</v>
      </c>
      <c r="H491" s="1">
        <v>10</v>
      </c>
    </row>
    <row r="492" spans="2:13" x14ac:dyDescent="0.35">
      <c r="B492" s="4" t="s">
        <v>21</v>
      </c>
      <c r="C492" t="s">
        <v>6</v>
      </c>
      <c r="D492" s="3">
        <v>0.05</v>
      </c>
      <c r="E492" s="3">
        <v>0.05</v>
      </c>
      <c r="F492" s="3">
        <v>0.05</v>
      </c>
      <c r="G492" s="3">
        <v>0.05</v>
      </c>
      <c r="H492" s="3">
        <v>0.05</v>
      </c>
    </row>
    <row r="493" spans="2:13" x14ac:dyDescent="0.35">
      <c r="B493" s="9" t="s">
        <v>16</v>
      </c>
      <c r="C493" t="s">
        <v>15</v>
      </c>
    </row>
    <row r="494" spans="2:13" x14ac:dyDescent="0.35">
      <c r="B494" t="str">
        <f>B489</f>
        <v>Heat pumps DH</v>
      </c>
      <c r="C494" t="s">
        <v>15</v>
      </c>
      <c r="D494" s="5">
        <f t="shared" ref="D494:H496" si="50">PMT(D$80,D489,-D485)</f>
        <v>38.851372489637001</v>
      </c>
      <c r="E494" s="5">
        <f t="shared" si="50"/>
        <v>38.851372489637001</v>
      </c>
      <c r="F494" s="5">
        <f t="shared" si="50"/>
        <v>38.851372489637001</v>
      </c>
      <c r="G494" s="5">
        <f t="shared" si="50"/>
        <v>38.851372489637001</v>
      </c>
      <c r="H494" s="5">
        <f t="shared" si="50"/>
        <v>38.851372489637001</v>
      </c>
    </row>
    <row r="495" spans="2:13" x14ac:dyDescent="0.35">
      <c r="B495" t="str">
        <f>B490</f>
        <v>Heat pumps - distributed</v>
      </c>
      <c r="C495" t="s">
        <v>15</v>
      </c>
      <c r="D495" s="5">
        <f t="shared" si="50"/>
        <v>64.752287482728335</v>
      </c>
      <c r="E495" s="5">
        <f t="shared" si="50"/>
        <v>55.039444360319081</v>
      </c>
      <c r="F495" s="5">
        <f t="shared" si="50"/>
        <v>46.783527706271222</v>
      </c>
      <c r="G495" s="5">
        <f t="shared" si="50"/>
        <v>39.765998550330536</v>
      </c>
      <c r="H495" s="5">
        <f t="shared" si="50"/>
        <v>33.801098767780957</v>
      </c>
    </row>
    <row r="496" spans="2:13" x14ac:dyDescent="0.35">
      <c r="B496" t="str">
        <f>B491</f>
        <v>Building and equipment mods</v>
      </c>
      <c r="C496" t="s">
        <v>15</v>
      </c>
      <c r="D496" s="5">
        <f t="shared" si="50"/>
        <v>5.1801829986182666</v>
      </c>
      <c r="E496" s="5">
        <f t="shared" si="50"/>
        <v>4.4031555488255263</v>
      </c>
      <c r="F496" s="5">
        <f t="shared" si="50"/>
        <v>3.7426822165016973</v>
      </c>
      <c r="G496" s="5">
        <f t="shared" si="50"/>
        <v>3.1812798840264427</v>
      </c>
      <c r="H496" s="5">
        <f t="shared" si="50"/>
        <v>2.7040879014224761</v>
      </c>
    </row>
    <row r="497" spans="2:13" x14ac:dyDescent="0.35">
      <c r="B497" s="4" t="s">
        <v>20</v>
      </c>
      <c r="C497" t="s">
        <v>6</v>
      </c>
    </row>
    <row r="498" spans="2:13" x14ac:dyDescent="0.35">
      <c r="B498" t="str">
        <f>B494</f>
        <v>Heat pumps DH</v>
      </c>
      <c r="C498" t="s">
        <v>6</v>
      </c>
      <c r="D498" s="3">
        <v>0.1</v>
      </c>
      <c r="E498" s="3">
        <v>0.1</v>
      </c>
      <c r="F498" s="3">
        <v>0.1</v>
      </c>
      <c r="G498" s="3">
        <v>0.1</v>
      </c>
      <c r="H498" s="3">
        <v>0.1</v>
      </c>
    </row>
    <row r="499" spans="2:13" x14ac:dyDescent="0.35">
      <c r="B499" t="str">
        <f>B495</f>
        <v>Heat pumps - distributed</v>
      </c>
      <c r="C499" t="s">
        <v>6</v>
      </c>
      <c r="D499" s="3">
        <v>2.5000000000000001E-2</v>
      </c>
      <c r="E499" s="3">
        <v>2.5000000000000001E-2</v>
      </c>
      <c r="F499" s="3">
        <v>2.5000000000000001E-2</v>
      </c>
      <c r="G499" s="3">
        <v>2.5000000000000001E-2</v>
      </c>
      <c r="H499" s="3">
        <v>2.5000000000000001E-2</v>
      </c>
    </row>
    <row r="500" spans="2:13" x14ac:dyDescent="0.35">
      <c r="B500" t="str">
        <f>B496</f>
        <v>Building and equipment mods</v>
      </c>
      <c r="C500" t="s">
        <v>6</v>
      </c>
      <c r="D500" s="3">
        <v>0.03</v>
      </c>
      <c r="E500" s="3">
        <v>0.03</v>
      </c>
      <c r="F500" s="3">
        <v>0.03</v>
      </c>
      <c r="G500" s="3">
        <v>0.03</v>
      </c>
      <c r="H500" s="3">
        <v>0.03</v>
      </c>
    </row>
    <row r="501" spans="2:13" x14ac:dyDescent="0.35">
      <c r="B501" s="4" t="s">
        <v>17</v>
      </c>
      <c r="C501" t="s">
        <v>15</v>
      </c>
    </row>
    <row r="502" spans="2:13" x14ac:dyDescent="0.35">
      <c r="B502" t="str">
        <f>B498</f>
        <v>Heat pumps DH</v>
      </c>
      <c r="C502" t="s">
        <v>15</v>
      </c>
      <c r="D502" s="6">
        <f t="shared" ref="D502:H504" si="51">D498*D485</f>
        <v>30</v>
      </c>
      <c r="E502" s="6">
        <f t="shared" si="51"/>
        <v>30</v>
      </c>
      <c r="F502" s="6">
        <f t="shared" si="51"/>
        <v>30</v>
      </c>
      <c r="G502" s="6">
        <f t="shared" si="51"/>
        <v>30</v>
      </c>
      <c r="H502" s="6">
        <f t="shared" si="51"/>
        <v>30</v>
      </c>
    </row>
    <row r="503" spans="2:13" x14ac:dyDescent="0.35">
      <c r="B503" t="str">
        <f>B499</f>
        <v>Heat pumps - distributed</v>
      </c>
      <c r="C503" t="s">
        <v>15</v>
      </c>
      <c r="D503" s="6">
        <f t="shared" si="51"/>
        <v>12.5</v>
      </c>
      <c r="E503" s="6">
        <f t="shared" si="51"/>
        <v>10.625</v>
      </c>
      <c r="F503" s="6">
        <f t="shared" si="51"/>
        <v>9.03125</v>
      </c>
      <c r="G503" s="6">
        <f t="shared" si="51"/>
        <v>7.6765625000000002</v>
      </c>
      <c r="H503" s="6">
        <f t="shared" si="51"/>
        <v>6.5250781250000003</v>
      </c>
    </row>
    <row r="504" spans="2:13" x14ac:dyDescent="0.35">
      <c r="B504" t="str">
        <f>B500</f>
        <v>Building and equipment mods</v>
      </c>
      <c r="C504" t="s">
        <v>15</v>
      </c>
      <c r="D504" s="6">
        <f t="shared" si="51"/>
        <v>1.2</v>
      </c>
      <c r="E504" s="6">
        <f t="shared" si="51"/>
        <v>1.02</v>
      </c>
      <c r="F504" s="6">
        <f t="shared" si="51"/>
        <v>0.86699999999999988</v>
      </c>
      <c r="G504" s="6">
        <f t="shared" si="51"/>
        <v>0.73694999999999988</v>
      </c>
      <c r="H504" s="6">
        <f t="shared" si="51"/>
        <v>0.62640749999999989</v>
      </c>
    </row>
    <row r="505" spans="2:13" x14ac:dyDescent="0.35">
      <c r="B505" s="4" t="s">
        <v>22</v>
      </c>
      <c r="C505" t="s">
        <v>15</v>
      </c>
    </row>
    <row r="506" spans="2:13" x14ac:dyDescent="0.35">
      <c r="B506" t="str">
        <f>B502</f>
        <v>Heat pumps DH</v>
      </c>
      <c r="C506" t="s">
        <v>15</v>
      </c>
      <c r="D506" s="1">
        <v>15</v>
      </c>
      <c r="E506" s="1">
        <v>15</v>
      </c>
      <c r="F506" s="1">
        <v>15</v>
      </c>
      <c r="G506" s="1">
        <v>15</v>
      </c>
      <c r="H506" s="1">
        <v>15</v>
      </c>
    </row>
    <row r="507" spans="2:13" x14ac:dyDescent="0.35">
      <c r="B507" t="str">
        <f>B503</f>
        <v>Heat pumps - distributed</v>
      </c>
      <c r="C507" t="s">
        <v>15</v>
      </c>
      <c r="D507" s="1">
        <v>25</v>
      </c>
      <c r="E507" s="1">
        <v>25</v>
      </c>
      <c r="F507" s="1">
        <v>25</v>
      </c>
      <c r="G507" s="1">
        <v>25</v>
      </c>
      <c r="H507" s="1">
        <v>25</v>
      </c>
    </row>
    <row r="508" spans="2:13" x14ac:dyDescent="0.35">
      <c r="B508" t="str">
        <f>B504</f>
        <v>Building and equipment mods</v>
      </c>
      <c r="C508" t="s">
        <v>15</v>
      </c>
      <c r="D508" s="1">
        <v>60</v>
      </c>
      <c r="E508" s="1">
        <v>60</v>
      </c>
      <c r="F508" s="1">
        <v>60</v>
      </c>
      <c r="G508" s="1">
        <v>60</v>
      </c>
      <c r="H508" s="1">
        <v>60</v>
      </c>
    </row>
    <row r="509" spans="2:13" x14ac:dyDescent="0.35">
      <c r="B509" s="4" t="s">
        <v>25</v>
      </c>
      <c r="C509" t="s">
        <v>15</v>
      </c>
      <c r="J509" t="s">
        <v>82</v>
      </c>
    </row>
    <row r="510" spans="2:13" x14ac:dyDescent="0.35">
      <c r="B510" t="str">
        <f>B506</f>
        <v>Heat pumps DH</v>
      </c>
      <c r="C510" t="s">
        <v>15</v>
      </c>
      <c r="D510" s="40">
        <f t="shared" ref="D510:H512" si="52">D494+D502+D506</f>
        <v>83.851372489637001</v>
      </c>
      <c r="E510" s="40">
        <f t="shared" si="52"/>
        <v>83.851372489637001</v>
      </c>
      <c r="F510" s="40">
        <f t="shared" si="52"/>
        <v>83.851372489637001</v>
      </c>
      <c r="G510" s="40">
        <f t="shared" si="52"/>
        <v>83.851372489637001</v>
      </c>
      <c r="H510" s="40">
        <f t="shared" si="52"/>
        <v>83.851372489637001</v>
      </c>
      <c r="J510" s="42" t="str">
        <f t="shared" ref="J510:M512" si="53">IF(E472&gt;0,E510,"-")</f>
        <v>-</v>
      </c>
      <c r="K510" s="42" t="str">
        <f t="shared" si="53"/>
        <v>-</v>
      </c>
      <c r="L510" s="42" t="str">
        <f t="shared" si="53"/>
        <v>-</v>
      </c>
      <c r="M510" s="42" t="str">
        <f t="shared" si="53"/>
        <v>-</v>
      </c>
    </row>
    <row r="511" spans="2:13" x14ac:dyDescent="0.35">
      <c r="B511" t="str">
        <f>B507</f>
        <v>Heat pumps - distributed</v>
      </c>
      <c r="C511" t="s">
        <v>15</v>
      </c>
      <c r="D511" s="40">
        <f t="shared" si="52"/>
        <v>102.25228748272833</v>
      </c>
      <c r="E511" s="40">
        <f t="shared" si="52"/>
        <v>90.664444360319081</v>
      </c>
      <c r="F511" s="40">
        <f t="shared" si="52"/>
        <v>80.814777706271229</v>
      </c>
      <c r="G511" s="40">
        <f t="shared" si="52"/>
        <v>72.442561050330539</v>
      </c>
      <c r="H511" s="40">
        <f t="shared" si="52"/>
        <v>65.32617689278095</v>
      </c>
      <c r="J511" s="42" t="str">
        <f t="shared" si="53"/>
        <v>-</v>
      </c>
      <c r="K511" s="42" t="str">
        <f t="shared" si="53"/>
        <v>-</v>
      </c>
      <c r="L511" s="42" t="str">
        <f t="shared" si="53"/>
        <v>-</v>
      </c>
      <c r="M511" s="42">
        <f t="shared" si="53"/>
        <v>65.32617689278095</v>
      </c>
    </row>
    <row r="512" spans="2:13" x14ac:dyDescent="0.35">
      <c r="B512" t="str">
        <f>B508</f>
        <v>Building and equipment mods</v>
      </c>
      <c r="C512" t="s">
        <v>15</v>
      </c>
      <c r="D512" s="40">
        <f t="shared" si="52"/>
        <v>66.380182998618267</v>
      </c>
      <c r="E512" s="40">
        <f t="shared" si="52"/>
        <v>65.42315554882552</v>
      </c>
      <c r="F512" s="40">
        <f t="shared" si="52"/>
        <v>64.609682216501696</v>
      </c>
      <c r="G512" s="40">
        <f t="shared" si="52"/>
        <v>63.918229884026445</v>
      </c>
      <c r="H512" s="40">
        <f t="shared" si="52"/>
        <v>63.330495401422475</v>
      </c>
      <c r="J512" s="42">
        <f t="shared" si="53"/>
        <v>65.42315554882552</v>
      </c>
      <c r="K512" s="42" t="str">
        <f t="shared" si="53"/>
        <v>-</v>
      </c>
      <c r="L512" s="42" t="str">
        <f t="shared" si="53"/>
        <v>-</v>
      </c>
      <c r="M512" s="42">
        <f t="shared" si="53"/>
        <v>63.330495401422475</v>
      </c>
    </row>
    <row r="513" spans="2:9" x14ac:dyDescent="0.35">
      <c r="D513" s="5"/>
      <c r="E513" s="5"/>
      <c r="F513" s="5"/>
      <c r="G513" s="5"/>
      <c r="H513" s="5"/>
    </row>
    <row r="514" spans="2:9" x14ac:dyDescent="0.35">
      <c r="B514" s="4" t="s">
        <v>23</v>
      </c>
      <c r="C514" t="s">
        <v>24</v>
      </c>
    </row>
    <row r="515" spans="2:9" x14ac:dyDescent="0.35">
      <c r="B515" t="s">
        <v>13</v>
      </c>
      <c r="C515" t="s">
        <v>24</v>
      </c>
      <c r="D515" s="7">
        <f t="shared" ref="D515:H517" si="54">D510*D472</f>
        <v>0</v>
      </c>
      <c r="E515" s="7">
        <f t="shared" si="54"/>
        <v>0</v>
      </c>
      <c r="F515" s="7">
        <f t="shared" si="54"/>
        <v>0</v>
      </c>
      <c r="G515" s="7">
        <f t="shared" si="54"/>
        <v>0</v>
      </c>
      <c r="H515" s="7">
        <f t="shared" si="54"/>
        <v>0</v>
      </c>
    </row>
    <row r="516" spans="2:9" x14ac:dyDescent="0.35">
      <c r="B516" t="s">
        <v>11</v>
      </c>
      <c r="C516" t="s">
        <v>24</v>
      </c>
      <c r="D516" s="7">
        <f t="shared" si="54"/>
        <v>0</v>
      </c>
      <c r="E516" s="7">
        <f t="shared" si="54"/>
        <v>0</v>
      </c>
      <c r="F516" s="7">
        <f t="shared" si="54"/>
        <v>0</v>
      </c>
      <c r="G516" s="7">
        <f t="shared" si="54"/>
        <v>0</v>
      </c>
      <c r="H516" s="7">
        <f t="shared" si="54"/>
        <v>2206.6597572468049</v>
      </c>
    </row>
    <row r="517" spans="2:9" x14ac:dyDescent="0.35">
      <c r="B517" t="s">
        <v>12</v>
      </c>
      <c r="C517" t="s">
        <v>24</v>
      </c>
      <c r="D517" s="7">
        <f t="shared" si="54"/>
        <v>0</v>
      </c>
      <c r="E517" s="7">
        <f t="shared" si="54"/>
        <v>327.11577774412763</v>
      </c>
      <c r="F517" s="7">
        <f t="shared" si="54"/>
        <v>0</v>
      </c>
      <c r="G517" s="7">
        <f t="shared" si="54"/>
        <v>0</v>
      </c>
      <c r="H517" s="7">
        <f t="shared" si="54"/>
        <v>1899.9148620426743</v>
      </c>
    </row>
    <row r="518" spans="2:9" x14ac:dyDescent="0.35">
      <c r="I518" s="31">
        <f>SUM(D515:H517)</f>
        <v>4433.690397033607</v>
      </c>
    </row>
    <row r="520" spans="2:9" x14ac:dyDescent="0.35">
      <c r="B520" s="25" t="s">
        <v>37</v>
      </c>
      <c r="C520" s="35"/>
      <c r="D520" s="35">
        <v>2020</v>
      </c>
      <c r="E520" s="35">
        <v>2025</v>
      </c>
      <c r="F520" s="35">
        <v>2030</v>
      </c>
      <c r="G520" s="35">
        <v>2035</v>
      </c>
      <c r="H520" s="35">
        <v>2040</v>
      </c>
    </row>
    <row r="522" spans="2:9" ht="15" thickBot="1" x14ac:dyDescent="0.4">
      <c r="B522" s="4" t="s">
        <v>10</v>
      </c>
      <c r="C522" t="s">
        <v>3</v>
      </c>
      <c r="D522">
        <f>SUM(D523:D525)</f>
        <v>0</v>
      </c>
      <c r="E522">
        <f>SUM(E523:E525)</f>
        <v>9</v>
      </c>
      <c r="F522">
        <f>SUM(F523:F525)</f>
        <v>32.339999999999996</v>
      </c>
      <c r="G522">
        <f>SUM(G523:G525)</f>
        <v>33.29249999999999</v>
      </c>
      <c r="H522">
        <f>SUM(H523:H525)</f>
        <v>34.199999999999996</v>
      </c>
    </row>
    <row r="523" spans="2:9" x14ac:dyDescent="0.35">
      <c r="B523" t="s">
        <v>44</v>
      </c>
      <c r="C523" t="s">
        <v>3</v>
      </c>
      <c r="D523">
        <v>0</v>
      </c>
      <c r="E523" s="13">
        <v>2</v>
      </c>
      <c r="F523" s="14">
        <v>5</v>
      </c>
      <c r="G523" s="14">
        <v>10</v>
      </c>
      <c r="H523" s="15">
        <v>20</v>
      </c>
    </row>
    <row r="524" spans="2:9" x14ac:dyDescent="0.35">
      <c r="B524" s="23" t="s">
        <v>45</v>
      </c>
      <c r="C524" t="s">
        <v>3</v>
      </c>
      <c r="D524">
        <v>0</v>
      </c>
      <c r="E524" s="16">
        <v>5</v>
      </c>
      <c r="F524" s="17">
        <v>24.743152497669485</v>
      </c>
      <c r="G524" s="17">
        <v>22.314652473821784</v>
      </c>
      <c r="H524" s="18">
        <v>14.199999999999996</v>
      </c>
    </row>
    <row r="525" spans="2:9" ht="15" thickBot="1" x14ac:dyDescent="0.4">
      <c r="B525" s="23" t="s">
        <v>31</v>
      </c>
      <c r="C525" t="s">
        <v>3</v>
      </c>
      <c r="D525">
        <v>0</v>
      </c>
      <c r="E525" s="19">
        <v>2</v>
      </c>
      <c r="F525" s="20">
        <v>2.5968475023305122</v>
      </c>
      <c r="G525" s="20">
        <v>0.97784752617821113</v>
      </c>
      <c r="H525" s="21">
        <v>0</v>
      </c>
    </row>
    <row r="527" spans="2:9" x14ac:dyDescent="0.35">
      <c r="B527" s="4" t="s">
        <v>26</v>
      </c>
    </row>
    <row r="528" spans="2:9" x14ac:dyDescent="0.35">
      <c r="B528" t="s">
        <v>44</v>
      </c>
      <c r="C528" t="s">
        <v>3</v>
      </c>
      <c r="D528">
        <v>0</v>
      </c>
      <c r="E528" s="1">
        <v>2</v>
      </c>
      <c r="F528" s="1">
        <v>5</v>
      </c>
      <c r="G528" s="1">
        <v>10</v>
      </c>
      <c r="H528" s="1">
        <v>20</v>
      </c>
    </row>
    <row r="529" spans="2:13" x14ac:dyDescent="0.35">
      <c r="B529" s="23" t="s">
        <v>45</v>
      </c>
      <c r="C529" t="s">
        <v>3</v>
      </c>
      <c r="D529">
        <v>0</v>
      </c>
      <c r="E529" s="1">
        <v>5</v>
      </c>
      <c r="F529" s="1">
        <v>30</v>
      </c>
      <c r="G529" s="1">
        <v>40</v>
      </c>
      <c r="H529" s="1">
        <v>50</v>
      </c>
    </row>
    <row r="530" spans="2:13" x14ac:dyDescent="0.35">
      <c r="B530" s="23" t="s">
        <v>31</v>
      </c>
      <c r="C530" t="s">
        <v>3</v>
      </c>
      <c r="D530">
        <v>0</v>
      </c>
      <c r="E530" s="1">
        <v>2</v>
      </c>
      <c r="F530" s="1">
        <v>5</v>
      </c>
      <c r="G530" s="1">
        <v>5</v>
      </c>
      <c r="H530" s="1">
        <v>10</v>
      </c>
    </row>
    <row r="531" spans="2:13" x14ac:dyDescent="0.35">
      <c r="J531" t="s">
        <v>30</v>
      </c>
    </row>
    <row r="532" spans="2:13" x14ac:dyDescent="0.35">
      <c r="B532" t="s">
        <v>44</v>
      </c>
      <c r="C532" t="s">
        <v>3</v>
      </c>
      <c r="D532">
        <v>0</v>
      </c>
      <c r="E532" s="29" t="str" cm="1">
        <f t="array" ref="E532">[1]!WB(E528-E523,"&gt;=",0)</f>
        <v>=&gt;=</v>
      </c>
      <c r="F532" s="29" t="str" cm="1">
        <f t="array" ref="F532">[1]!WB(F528-F523,"&gt;=",0)</f>
        <v>=&gt;=</v>
      </c>
      <c r="G532" s="29" t="str" cm="1">
        <f t="array" ref="G532">[1]!WB(G528-G523,"&gt;=",0)</f>
        <v>=&gt;=</v>
      </c>
      <c r="H532" s="29" t="str" cm="1">
        <f t="array" ref="H532">[1]!WB(H528-H523,"&gt;=",0)</f>
        <v>=&gt;=</v>
      </c>
      <c r="J532" s="11">
        <f>[1]!WBDUAL(E532,-65.3464681127863)</f>
        <v>-65.346468112786297</v>
      </c>
      <c r="K532" s="11">
        <f>[1]!WBDUAL(F532,-3.75858890556824)</f>
        <v>-3.75858890556824</v>
      </c>
      <c r="L532" s="11">
        <f>[1]!WBDUAL(G532,-2.77288889784303)</f>
        <v>-2.7728888978430302</v>
      </c>
      <c r="M532" s="11">
        <f>[1]!WBDUAL(H532,-0.149958410184233)</f>
        <v>-0.149958410184233</v>
      </c>
    </row>
    <row r="533" spans="2:13" x14ac:dyDescent="0.35">
      <c r="B533" s="23" t="s">
        <v>45</v>
      </c>
      <c r="C533" t="s">
        <v>3</v>
      </c>
      <c r="D533">
        <v>0</v>
      </c>
      <c r="E533" s="29" t="str" cm="1">
        <f t="array" ref="E533">[1]!WB(E529-E524,"&gt;=",0)</f>
        <v>=&gt;=</v>
      </c>
      <c r="F533" s="29" t="str" cm="1">
        <f t="array" ref="F533">[1]!WB(F529-F524,"&gt;=",0)</f>
        <v>&gt;=</v>
      </c>
      <c r="G533" s="29" t="str" cm="1">
        <f t="array" ref="G533">[1]!WB(G529-G524,"&gt;=",0)</f>
        <v>&gt;=</v>
      </c>
      <c r="H533" s="29" t="str" cm="1">
        <f t="array" ref="H533">[1]!WB(H529-H524,"&gt;=",0)</f>
        <v>&gt;=</v>
      </c>
      <c r="J533" s="11">
        <f>[1]!WBDUAL(E533,-65.2365097375949)</f>
        <v>-65.236509737594901</v>
      </c>
      <c r="K533" s="11">
        <f>[1]!WBDUAL(F533,0)</f>
        <v>0</v>
      </c>
      <c r="L533" s="11">
        <f>[1]!WBDUAL(G533,0)</f>
        <v>0</v>
      </c>
      <c r="M533" s="11">
        <f>[1]!WBDUAL(H533,0)</f>
        <v>0</v>
      </c>
    </row>
    <row r="534" spans="2:13" x14ac:dyDescent="0.35">
      <c r="B534" s="23" t="s">
        <v>31</v>
      </c>
      <c r="C534" t="s">
        <v>3</v>
      </c>
      <c r="D534">
        <v>0</v>
      </c>
      <c r="E534" s="29" t="str" cm="1">
        <f t="array" ref="E534">[1]!WB(E530-E525,"&gt;=",0)</f>
        <v>=&gt;=</v>
      </c>
      <c r="F534" s="29" t="str" cm="1">
        <f t="array" ref="F534">[1]!WB(F530-F525,"&gt;=",0)</f>
        <v>&gt;=</v>
      </c>
      <c r="G534" s="29" t="str" cm="1">
        <f t="array" ref="G534">[1]!WB(G530-G525,"&gt;=",0)</f>
        <v>&gt;=</v>
      </c>
      <c r="H534" s="29" t="str" cm="1">
        <f t="array" ref="H534">[1]!WB(H530-H525,"&gt;=",0)</f>
        <v>&gt;=</v>
      </c>
      <c r="J534" s="11">
        <f>[1]!WBDUAL(E534,-61.4669334688377)</f>
        <v>-61.466933468837702</v>
      </c>
      <c r="K534" s="11">
        <f>[1]!WBDUAL(F534,0)</f>
        <v>0</v>
      </c>
      <c r="L534" s="11">
        <f>[1]!WBDUAL(G534,0)</f>
        <v>0</v>
      </c>
      <c r="M534" s="11">
        <f>[1]!WBDUAL(H534,0)</f>
        <v>0</v>
      </c>
    </row>
    <row r="535" spans="2:13" x14ac:dyDescent="0.35">
      <c r="E535" s="8"/>
      <c r="F535" s="8"/>
      <c r="G535" s="8"/>
      <c r="H535" s="8"/>
    </row>
    <row r="536" spans="2:13" x14ac:dyDescent="0.35">
      <c r="B536" s="4" t="s">
        <v>14</v>
      </c>
    </row>
    <row r="537" spans="2:13" x14ac:dyDescent="0.35">
      <c r="B537" t="s">
        <v>44</v>
      </c>
      <c r="C537" t="s">
        <v>15</v>
      </c>
      <c r="D537">
        <v>5</v>
      </c>
      <c r="E537" s="1">
        <v>5</v>
      </c>
      <c r="F537" s="1">
        <v>5</v>
      </c>
      <c r="G537" s="1">
        <v>5</v>
      </c>
      <c r="H537" s="1">
        <v>5</v>
      </c>
    </row>
    <row r="538" spans="2:13" x14ac:dyDescent="0.35">
      <c r="B538" s="23" t="s">
        <v>45</v>
      </c>
      <c r="C538" t="s">
        <v>15</v>
      </c>
      <c r="D538">
        <v>10</v>
      </c>
      <c r="E538" s="1">
        <v>10</v>
      </c>
      <c r="F538" s="1">
        <v>10</v>
      </c>
      <c r="G538" s="1">
        <v>10</v>
      </c>
      <c r="H538" s="1">
        <v>10</v>
      </c>
    </row>
    <row r="539" spans="2:13" x14ac:dyDescent="0.35">
      <c r="B539" s="23" t="s">
        <v>31</v>
      </c>
      <c r="C539" t="s">
        <v>15</v>
      </c>
      <c r="D539">
        <v>15</v>
      </c>
      <c r="E539" s="1">
        <v>15</v>
      </c>
      <c r="F539" s="1">
        <v>15</v>
      </c>
      <c r="G539" s="1">
        <v>15</v>
      </c>
      <c r="H539" s="1">
        <v>15</v>
      </c>
    </row>
    <row r="540" spans="2:13" x14ac:dyDescent="0.35">
      <c r="B540" s="23"/>
    </row>
    <row r="541" spans="2:13" x14ac:dyDescent="0.35">
      <c r="B541" s="4" t="s">
        <v>46</v>
      </c>
    </row>
    <row r="542" spans="2:13" x14ac:dyDescent="0.35">
      <c r="B542" t="s">
        <v>44</v>
      </c>
      <c r="C542" t="s">
        <v>18</v>
      </c>
      <c r="D542">
        <v>5</v>
      </c>
      <c r="E542" s="1">
        <v>6</v>
      </c>
      <c r="F542" s="1">
        <v>6</v>
      </c>
      <c r="G542" s="1">
        <v>6</v>
      </c>
      <c r="H542" s="1">
        <v>6</v>
      </c>
    </row>
    <row r="543" spans="2:13" x14ac:dyDescent="0.35">
      <c r="B543" s="23" t="s">
        <v>45</v>
      </c>
      <c r="C543" t="s">
        <v>18</v>
      </c>
      <c r="D543">
        <v>5</v>
      </c>
      <c r="E543" s="1">
        <v>10</v>
      </c>
      <c r="F543" s="1">
        <v>10</v>
      </c>
      <c r="G543" s="1">
        <v>10</v>
      </c>
      <c r="H543" s="1">
        <v>10</v>
      </c>
    </row>
    <row r="544" spans="2:13" x14ac:dyDescent="0.35">
      <c r="B544" s="23" t="s">
        <v>31</v>
      </c>
      <c r="C544" t="s">
        <v>18</v>
      </c>
      <c r="D544">
        <v>5</v>
      </c>
      <c r="E544" s="1">
        <v>5</v>
      </c>
      <c r="F544" s="1">
        <v>5</v>
      </c>
      <c r="G544" s="1">
        <v>5</v>
      </c>
      <c r="H544" s="1">
        <v>5</v>
      </c>
    </row>
    <row r="545" spans="2:8" x14ac:dyDescent="0.35">
      <c r="B545" s="23"/>
    </row>
    <row r="546" spans="2:8" x14ac:dyDescent="0.35">
      <c r="B546" s="9" t="s">
        <v>16</v>
      </c>
    </row>
    <row r="547" spans="2:8" x14ac:dyDescent="0.35">
      <c r="B547" t="s">
        <v>44</v>
      </c>
      <c r="C547" t="s">
        <v>15</v>
      </c>
      <c r="D547">
        <v>0</v>
      </c>
      <c r="E547" s="28">
        <f>PMT(E$80,E542,-E537)</f>
        <v>0.98508734055094149</v>
      </c>
      <c r="F547" s="28">
        <f>PMT(F$80,F542,-F537)</f>
        <v>0.98508734055094149</v>
      </c>
      <c r="G547" s="28">
        <f>PMT(G$80,G542,-G537)</f>
        <v>0.98508734055094149</v>
      </c>
      <c r="H547" s="28">
        <f>PMT(H$80,H542,-H537)</f>
        <v>0.98508734055094149</v>
      </c>
    </row>
    <row r="548" spans="2:8" x14ac:dyDescent="0.35">
      <c r="B548" s="23" t="s">
        <v>45</v>
      </c>
      <c r="C548" t="s">
        <v>15</v>
      </c>
      <c r="D548">
        <v>0</v>
      </c>
      <c r="E548" s="28">
        <f t="shared" ref="E548:H549" si="55">PMT(E$80,E543,-E538)</f>
        <v>1.2950457496545666</v>
      </c>
      <c r="F548" s="28">
        <f t="shared" si="55"/>
        <v>1.2950457496545666</v>
      </c>
      <c r="G548" s="28">
        <f t="shared" si="55"/>
        <v>1.2950457496545666</v>
      </c>
      <c r="H548" s="28">
        <f t="shared" si="55"/>
        <v>1.2950457496545666</v>
      </c>
    </row>
    <row r="549" spans="2:8" x14ac:dyDescent="0.35">
      <c r="B549" s="23" t="s">
        <v>31</v>
      </c>
      <c r="C549" t="s">
        <v>15</v>
      </c>
      <c r="D549">
        <v>0</v>
      </c>
      <c r="E549" s="28">
        <f t="shared" si="55"/>
        <v>3.4646219719240214</v>
      </c>
      <c r="F549" s="28">
        <f t="shared" si="55"/>
        <v>3.4646219719240214</v>
      </c>
      <c r="G549" s="28">
        <f t="shared" si="55"/>
        <v>3.4646219719240214</v>
      </c>
      <c r="H549" s="28">
        <f t="shared" si="55"/>
        <v>3.4646219719240214</v>
      </c>
    </row>
    <row r="550" spans="2:8" x14ac:dyDescent="0.35">
      <c r="B550" s="23"/>
    </row>
    <row r="551" spans="2:8" x14ac:dyDescent="0.35">
      <c r="B551" s="4" t="s">
        <v>20</v>
      </c>
    </row>
    <row r="552" spans="2:8" x14ac:dyDescent="0.35">
      <c r="B552" t="s">
        <v>44</v>
      </c>
      <c r="C552" t="s">
        <v>6</v>
      </c>
      <c r="D552">
        <v>0</v>
      </c>
      <c r="E552" s="3">
        <v>0.01</v>
      </c>
      <c r="F552" s="3">
        <v>0.01</v>
      </c>
      <c r="G552" s="3">
        <v>0.01</v>
      </c>
      <c r="H552" s="3">
        <v>0.01</v>
      </c>
    </row>
    <row r="553" spans="2:8" x14ac:dyDescent="0.35">
      <c r="B553" s="23" t="s">
        <v>45</v>
      </c>
      <c r="C553" t="s">
        <v>6</v>
      </c>
      <c r="D553">
        <v>0</v>
      </c>
      <c r="E553" s="3">
        <v>0.01</v>
      </c>
      <c r="F553" s="3">
        <v>0.01</v>
      </c>
      <c r="G553" s="3">
        <v>0.01</v>
      </c>
      <c r="H553" s="3">
        <v>0.01</v>
      </c>
    </row>
    <row r="554" spans="2:8" x14ac:dyDescent="0.35">
      <c r="B554" s="23" t="s">
        <v>31</v>
      </c>
      <c r="C554" t="s">
        <v>6</v>
      </c>
      <c r="D554">
        <v>0</v>
      </c>
      <c r="E554" s="3">
        <v>0.01</v>
      </c>
      <c r="F554" s="3">
        <v>0.01</v>
      </c>
      <c r="G554" s="3">
        <v>0.01</v>
      </c>
      <c r="H554" s="3">
        <v>0.01</v>
      </c>
    </row>
    <row r="556" spans="2:8" x14ac:dyDescent="0.35">
      <c r="B556" s="4" t="s">
        <v>17</v>
      </c>
    </row>
    <row r="557" spans="2:8" x14ac:dyDescent="0.35">
      <c r="B557" t="str">
        <f>B552</f>
        <v>OLEDs</v>
      </c>
      <c r="C557" t="s">
        <v>15</v>
      </c>
      <c r="E557">
        <f t="shared" ref="E557:H559" si="56">E552*E537*E523</f>
        <v>0.1</v>
      </c>
      <c r="F557">
        <f t="shared" si="56"/>
        <v>0.25</v>
      </c>
      <c r="G557">
        <f t="shared" si="56"/>
        <v>0.5</v>
      </c>
      <c r="H557">
        <f t="shared" si="56"/>
        <v>1</v>
      </c>
    </row>
    <row r="558" spans="2:8" x14ac:dyDescent="0.35">
      <c r="B558" t="str">
        <f>B553</f>
        <v>Smart controls</v>
      </c>
      <c r="C558" t="s">
        <v>15</v>
      </c>
      <c r="E558">
        <f t="shared" si="56"/>
        <v>0.5</v>
      </c>
      <c r="F558">
        <f t="shared" si="56"/>
        <v>2.4743152497669487</v>
      </c>
      <c r="G558">
        <f t="shared" si="56"/>
        <v>2.2314652473821783</v>
      </c>
      <c r="H558">
        <f t="shared" si="56"/>
        <v>1.4199999999999997</v>
      </c>
    </row>
    <row r="559" spans="2:8" x14ac:dyDescent="0.35">
      <c r="B559" t="str">
        <f>B554</f>
        <v>Others</v>
      </c>
      <c r="C559" t="s">
        <v>15</v>
      </c>
      <c r="E559">
        <f t="shared" si="56"/>
        <v>0.3</v>
      </c>
      <c r="F559">
        <f t="shared" si="56"/>
        <v>0.38952712534957684</v>
      </c>
      <c r="G559">
        <f t="shared" si="56"/>
        <v>0.14667712892673165</v>
      </c>
      <c r="H559">
        <f t="shared" si="56"/>
        <v>0</v>
      </c>
    </row>
    <row r="561" spans="1:13" x14ac:dyDescent="0.35">
      <c r="B561" s="4" t="s">
        <v>22</v>
      </c>
      <c r="D561" s="6"/>
      <c r="E561" s="6"/>
      <c r="F561" s="6"/>
      <c r="G561" s="6"/>
      <c r="H561" s="6"/>
    </row>
    <row r="562" spans="1:13" x14ac:dyDescent="0.35">
      <c r="B562" t="s">
        <v>44</v>
      </c>
      <c r="C562" t="s">
        <v>15</v>
      </c>
      <c r="D562" s="6"/>
      <c r="E562" s="27">
        <v>1</v>
      </c>
      <c r="F562" s="27">
        <v>1</v>
      </c>
      <c r="G562" s="27">
        <v>1</v>
      </c>
      <c r="H562" s="27">
        <v>1</v>
      </c>
    </row>
    <row r="563" spans="1:13" x14ac:dyDescent="0.35">
      <c r="B563" t="s">
        <v>45</v>
      </c>
      <c r="C563" t="s">
        <v>15</v>
      </c>
      <c r="E563" s="1">
        <v>0</v>
      </c>
      <c r="F563" s="1">
        <v>0</v>
      </c>
      <c r="G563" s="1">
        <v>0</v>
      </c>
      <c r="H563" s="1">
        <v>0</v>
      </c>
    </row>
    <row r="564" spans="1:13" x14ac:dyDescent="0.35">
      <c r="B564" t="s">
        <v>31</v>
      </c>
      <c r="C564" t="s">
        <v>15</v>
      </c>
      <c r="E564" s="1">
        <v>2</v>
      </c>
      <c r="F564" s="1">
        <v>2</v>
      </c>
      <c r="G564" s="1">
        <v>2</v>
      </c>
      <c r="H564" s="1">
        <v>2</v>
      </c>
    </row>
    <row r="566" spans="1:13" x14ac:dyDescent="0.35">
      <c r="B566" s="4" t="s">
        <v>25</v>
      </c>
      <c r="J566" t="s">
        <v>82</v>
      </c>
    </row>
    <row r="567" spans="1:13" x14ac:dyDescent="0.35">
      <c r="B567" t="str">
        <f>B562</f>
        <v>OLEDs</v>
      </c>
      <c r="C567" t="s">
        <v>15</v>
      </c>
      <c r="E567" s="41">
        <f>E547+E557+E562</f>
        <v>2.0850873405509418</v>
      </c>
      <c r="F567" s="41">
        <f>F547+F557+F562</f>
        <v>2.2350873405509413</v>
      </c>
      <c r="G567" s="41">
        <f>G547+G557+G562</f>
        <v>2.4850873405509413</v>
      </c>
      <c r="H567" s="41">
        <f>H547+H557+H562</f>
        <v>2.9850873405509413</v>
      </c>
      <c r="J567" s="42">
        <f t="shared" ref="J567:M569" si="57">IF(E523&gt;0,E567,"-")</f>
        <v>2.0850873405509418</v>
      </c>
      <c r="K567" s="42">
        <f t="shared" si="57"/>
        <v>2.2350873405509413</v>
      </c>
      <c r="L567" s="42">
        <f t="shared" si="57"/>
        <v>2.4850873405509413</v>
      </c>
      <c r="M567" s="42">
        <f t="shared" si="57"/>
        <v>2.9850873405509413</v>
      </c>
    </row>
    <row r="568" spans="1:13" x14ac:dyDescent="0.35">
      <c r="B568" t="str">
        <f>B563</f>
        <v>Smart controls</v>
      </c>
      <c r="C568" t="s">
        <v>15</v>
      </c>
      <c r="E568" s="41">
        <f t="shared" ref="E568:H569" si="58">E548+E558+E563</f>
        <v>1.7950457496545666</v>
      </c>
      <c r="F568" s="41">
        <f t="shared" si="58"/>
        <v>3.7693609994215151</v>
      </c>
      <c r="G568" s="41">
        <f t="shared" si="58"/>
        <v>3.5265109970367448</v>
      </c>
      <c r="H568" s="41">
        <f t="shared" si="58"/>
        <v>2.7150457496545664</v>
      </c>
      <c r="J568" s="42">
        <f t="shared" si="57"/>
        <v>1.7950457496545666</v>
      </c>
      <c r="K568" s="42">
        <f t="shared" si="57"/>
        <v>3.7693609994215151</v>
      </c>
      <c r="L568" s="42">
        <f t="shared" si="57"/>
        <v>3.5265109970367448</v>
      </c>
      <c r="M568" s="42">
        <f t="shared" si="57"/>
        <v>2.7150457496545664</v>
      </c>
    </row>
    <row r="569" spans="1:13" x14ac:dyDescent="0.35">
      <c r="B569" t="str">
        <f>B564</f>
        <v>Others</v>
      </c>
      <c r="C569" t="s">
        <v>15</v>
      </c>
      <c r="D569" s="5"/>
      <c r="E569" s="41">
        <f t="shared" si="58"/>
        <v>5.7646219719240213</v>
      </c>
      <c r="F569" s="41">
        <f t="shared" si="58"/>
        <v>5.8541490972735986</v>
      </c>
      <c r="G569" s="41">
        <f t="shared" si="58"/>
        <v>5.6112991008507525</v>
      </c>
      <c r="H569" s="41">
        <f t="shared" si="58"/>
        <v>5.4646219719240214</v>
      </c>
      <c r="J569" s="42">
        <f t="shared" si="57"/>
        <v>5.7646219719240213</v>
      </c>
      <c r="K569" s="42">
        <f t="shared" si="57"/>
        <v>5.8541490972735986</v>
      </c>
      <c r="L569" s="42">
        <f t="shared" si="57"/>
        <v>5.6112991008507525</v>
      </c>
      <c r="M569" s="42" t="str">
        <f t="shared" si="57"/>
        <v>-</v>
      </c>
    </row>
    <row r="570" spans="1:13" x14ac:dyDescent="0.35">
      <c r="D570" s="5"/>
      <c r="E570" s="5"/>
      <c r="F570" s="5"/>
      <c r="G570" s="5"/>
      <c r="H570" s="5"/>
      <c r="I570">
        <f>SUMPRODUCT(E523:H525,E567:H569)</f>
        <v>351.60442271497891</v>
      </c>
    </row>
    <row r="571" spans="1:13" x14ac:dyDescent="0.35">
      <c r="B571" s="37" t="s">
        <v>38</v>
      </c>
      <c r="C571" s="35"/>
      <c r="D571" s="35">
        <v>2020</v>
      </c>
      <c r="E571" s="35">
        <v>2025</v>
      </c>
      <c r="F571" s="35">
        <v>2030</v>
      </c>
      <c r="G571" s="35">
        <v>2035</v>
      </c>
      <c r="H571" s="35">
        <v>2040</v>
      </c>
    </row>
    <row r="572" spans="1:13" x14ac:dyDescent="0.35">
      <c r="A572" s="33"/>
      <c r="B572" s="36"/>
      <c r="C572" s="33"/>
      <c r="D572" s="33"/>
      <c r="E572" s="33"/>
      <c r="F572" s="33"/>
      <c r="G572" s="33"/>
      <c r="H572" s="33"/>
    </row>
    <row r="573" spans="1:13" ht="15" thickBot="1" x14ac:dyDescent="0.4">
      <c r="B573" s="4" t="s">
        <v>10</v>
      </c>
      <c r="C573" t="s">
        <v>3</v>
      </c>
      <c r="D573">
        <f>SUM(D574:D576)</f>
        <v>0</v>
      </c>
      <c r="E573">
        <f>SUM(E574:E576)</f>
        <v>12</v>
      </c>
      <c r="F573">
        <f>SUM(F574:F576)</f>
        <v>40</v>
      </c>
      <c r="G573">
        <f>SUM(G574:G576)</f>
        <v>65</v>
      </c>
      <c r="H573">
        <f>SUM(H574:H576)</f>
        <v>84.353631823761219</v>
      </c>
      <c r="J573" t="s">
        <v>30</v>
      </c>
    </row>
    <row r="574" spans="1:13" x14ac:dyDescent="0.35">
      <c r="B574" t="s">
        <v>68</v>
      </c>
      <c r="C574" t="s">
        <v>3</v>
      </c>
      <c r="D574">
        <v>0</v>
      </c>
      <c r="E574" s="13">
        <v>5</v>
      </c>
      <c r="F574" s="14">
        <v>10</v>
      </c>
      <c r="G574" s="14">
        <v>20</v>
      </c>
      <c r="H574" s="15">
        <v>30</v>
      </c>
      <c r="J574" s="11">
        <f>[1]!WBDUAL(E574,0)</f>
        <v>0</v>
      </c>
      <c r="K574" s="11">
        <f>[1]!WBDUAL(F574,0)</f>
        <v>0</v>
      </c>
      <c r="L574" s="11">
        <f>[1]!WBDUAL(G574,0)</f>
        <v>0</v>
      </c>
      <c r="M574" s="11">
        <f>[1]!WBDUAL(H574,0)</f>
        <v>0</v>
      </c>
    </row>
    <row r="575" spans="1:13" x14ac:dyDescent="0.35">
      <c r="B575" s="23" t="s">
        <v>45</v>
      </c>
      <c r="C575" t="s">
        <v>3</v>
      </c>
      <c r="D575">
        <v>0</v>
      </c>
      <c r="E575" s="16">
        <v>5</v>
      </c>
      <c r="F575" s="17">
        <v>20</v>
      </c>
      <c r="G575" s="17">
        <v>30</v>
      </c>
      <c r="H575" s="18">
        <v>34.353631823761219</v>
      </c>
      <c r="J575" s="11">
        <f>[1]!WBDUAL(E575,0)</f>
        <v>0</v>
      </c>
      <c r="K575" s="11">
        <f>[1]!WBDUAL(F575,0)</f>
        <v>0</v>
      </c>
      <c r="L575" s="11">
        <f>[1]!WBDUAL(G575,0)</f>
        <v>0</v>
      </c>
      <c r="M575" s="11">
        <f>[1]!WBDUAL(H575,0)</f>
        <v>0</v>
      </c>
    </row>
    <row r="576" spans="1:13" ht="15" thickBot="1" x14ac:dyDescent="0.4">
      <c r="B576" s="23" t="s">
        <v>31</v>
      </c>
      <c r="C576" t="s">
        <v>3</v>
      </c>
      <c r="D576">
        <v>0</v>
      </c>
      <c r="E576" s="19">
        <v>2</v>
      </c>
      <c r="F576" s="20">
        <v>10</v>
      </c>
      <c r="G576" s="20">
        <v>15</v>
      </c>
      <c r="H576" s="21">
        <v>20</v>
      </c>
      <c r="J576" s="11">
        <f>[1]!WBDUAL(E576,0)</f>
        <v>0</v>
      </c>
      <c r="K576" s="11">
        <f>[1]!WBDUAL(F576,0)</f>
        <v>0</v>
      </c>
      <c r="L576" s="11">
        <f>[1]!WBDUAL(G576,0)</f>
        <v>0</v>
      </c>
      <c r="M576" s="11">
        <f>[1]!WBDUAL(H576,0)</f>
        <v>0</v>
      </c>
    </row>
    <row r="578" spans="2:8" x14ac:dyDescent="0.35">
      <c r="B578" s="4" t="s">
        <v>26</v>
      </c>
    </row>
    <row r="579" spans="2:8" x14ac:dyDescent="0.35">
      <c r="B579" t="str">
        <f>B574</f>
        <v>Low energy comms</v>
      </c>
      <c r="C579" t="s">
        <v>3</v>
      </c>
      <c r="D579">
        <v>0</v>
      </c>
      <c r="E579" s="1">
        <v>5</v>
      </c>
      <c r="F579" s="1">
        <v>10</v>
      </c>
      <c r="G579" s="1">
        <v>20</v>
      </c>
      <c r="H579" s="1">
        <v>30</v>
      </c>
    </row>
    <row r="580" spans="2:8" x14ac:dyDescent="0.35">
      <c r="B580" s="23" t="s">
        <v>45</v>
      </c>
      <c r="C580" t="s">
        <v>3</v>
      </c>
      <c r="D580">
        <v>0</v>
      </c>
      <c r="E580" s="1">
        <v>5</v>
      </c>
      <c r="F580" s="1">
        <v>20</v>
      </c>
      <c r="G580" s="1">
        <v>30</v>
      </c>
      <c r="H580" s="1">
        <v>40</v>
      </c>
    </row>
    <row r="581" spans="2:8" x14ac:dyDescent="0.35">
      <c r="B581" s="23" t="s">
        <v>31</v>
      </c>
      <c r="C581" t="s">
        <v>3</v>
      </c>
      <c r="D581">
        <v>0</v>
      </c>
      <c r="E581" s="1">
        <v>2</v>
      </c>
      <c r="F581" s="1">
        <v>10</v>
      </c>
      <c r="G581" s="1">
        <v>15</v>
      </c>
      <c r="H581" s="1">
        <v>20</v>
      </c>
    </row>
    <row r="583" spans="2:8" x14ac:dyDescent="0.35">
      <c r="B583" t="str">
        <f>B579</f>
        <v>Low energy comms</v>
      </c>
      <c r="C583" t="s">
        <v>3</v>
      </c>
      <c r="D583">
        <v>0</v>
      </c>
      <c r="E583" s="29" t="str" cm="1">
        <f t="array" ref="E583">[1]!WB(E579-E574,"&gt;=",0)</f>
        <v>=&gt;=</v>
      </c>
      <c r="F583" s="29" t="str" cm="1">
        <f t="array" ref="F583">[1]!WB(F579-F574,"&gt;=",0)</f>
        <v>=&gt;=</v>
      </c>
      <c r="G583" s="29" t="str" cm="1">
        <f t="array" ref="G583">[1]!WB(G579-G574,"&gt;=",0)</f>
        <v>=&gt;=</v>
      </c>
      <c r="H583" s="29" t="str" cm="1">
        <f t="array" ref="H583">[1]!WB(H579-H574,"&gt;=",0)</f>
        <v>=&gt;=</v>
      </c>
    </row>
    <row r="584" spans="2:8" x14ac:dyDescent="0.35">
      <c r="B584" s="23" t="s">
        <v>45</v>
      </c>
      <c r="C584" t="s">
        <v>3</v>
      </c>
      <c r="D584">
        <v>0</v>
      </c>
      <c r="E584" s="29" t="str" cm="1">
        <f t="array" ref="E584">[1]!WB(E580-E575,"&gt;=",0)</f>
        <v>=&gt;=</v>
      </c>
      <c r="F584" s="29" t="str" cm="1">
        <f t="array" ref="F584">[1]!WB(F580-F575,"&gt;=",0)</f>
        <v>=&gt;=</v>
      </c>
      <c r="G584" s="29" t="str" cm="1">
        <f t="array" ref="G584">[1]!WB(G580-G575,"&gt;=",0)</f>
        <v>=&gt;=</v>
      </c>
      <c r="H584" s="29" t="str" cm="1">
        <f t="array" ref="H584">[1]!WB(H580-H575,"&gt;=",0)</f>
        <v>&gt;=</v>
      </c>
    </row>
    <row r="585" spans="2:8" x14ac:dyDescent="0.35">
      <c r="B585" s="23" t="s">
        <v>31</v>
      </c>
      <c r="C585" t="s">
        <v>3</v>
      </c>
      <c r="D585">
        <v>0</v>
      </c>
      <c r="E585" s="29" t="str" cm="1">
        <f t="array" ref="E585">[1]!WB(E581-E576,"&gt;=",0)</f>
        <v>=&gt;=</v>
      </c>
      <c r="F585" s="29" t="str" cm="1">
        <f t="array" ref="F585">[1]!WB(F581-F576,"&gt;=",0)</f>
        <v>=&gt;=</v>
      </c>
      <c r="G585" s="29" t="str" cm="1">
        <f t="array" ref="G585">[1]!WB(G581-G576,"&gt;=",0)</f>
        <v>=&gt;=</v>
      </c>
      <c r="H585" s="29" t="str" cm="1">
        <f t="array" ref="H585">[1]!WB(H581-H576,"&gt;=",0)</f>
        <v>=&gt;=</v>
      </c>
    </row>
    <row r="586" spans="2:8" x14ac:dyDescent="0.35">
      <c r="E586" s="8"/>
      <c r="F586" s="8"/>
      <c r="G586" s="8"/>
      <c r="H586" s="8"/>
    </row>
    <row r="587" spans="2:8" x14ac:dyDescent="0.35">
      <c r="B587" s="4" t="s">
        <v>14</v>
      </c>
    </row>
    <row r="588" spans="2:8" x14ac:dyDescent="0.35">
      <c r="B588" t="str">
        <f>B574</f>
        <v>Low energy comms</v>
      </c>
      <c r="C588" t="s">
        <v>15</v>
      </c>
      <c r="D588">
        <v>0</v>
      </c>
      <c r="E588" s="1">
        <v>100</v>
      </c>
      <c r="F588" s="1">
        <v>88</v>
      </c>
      <c r="G588" s="1">
        <v>75</v>
      </c>
      <c r="H588" s="1">
        <v>70</v>
      </c>
    </row>
    <row r="589" spans="2:8" x14ac:dyDescent="0.35">
      <c r="B589" s="23" t="s">
        <v>45</v>
      </c>
      <c r="C589" t="s">
        <v>15</v>
      </c>
      <c r="D589">
        <v>0</v>
      </c>
      <c r="E589" s="1">
        <v>80</v>
      </c>
      <c r="F589" s="1">
        <v>80</v>
      </c>
      <c r="G589" s="1">
        <v>80</v>
      </c>
      <c r="H589" s="1">
        <v>80</v>
      </c>
    </row>
    <row r="590" spans="2:8" x14ac:dyDescent="0.35">
      <c r="B590" s="23" t="s">
        <v>31</v>
      </c>
      <c r="C590" t="s">
        <v>15</v>
      </c>
      <c r="D590">
        <v>0</v>
      </c>
      <c r="E590" s="1">
        <v>77</v>
      </c>
      <c r="F590" s="1">
        <v>77</v>
      </c>
      <c r="G590" s="1">
        <v>75</v>
      </c>
      <c r="H590" s="1">
        <v>80</v>
      </c>
    </row>
    <row r="591" spans="2:8" x14ac:dyDescent="0.35">
      <c r="B591" s="23"/>
    </row>
    <row r="592" spans="2:8" x14ac:dyDescent="0.35">
      <c r="B592" s="4" t="s">
        <v>46</v>
      </c>
    </row>
    <row r="593" spans="2:8" x14ac:dyDescent="0.35">
      <c r="B593" t="str">
        <f>B588</f>
        <v>Low energy comms</v>
      </c>
      <c r="C593" t="s">
        <v>18</v>
      </c>
      <c r="D593">
        <v>5</v>
      </c>
      <c r="E593" s="1">
        <v>6</v>
      </c>
      <c r="F593" s="1">
        <v>6</v>
      </c>
      <c r="G593" s="1">
        <v>6</v>
      </c>
      <c r="H593" s="1">
        <v>6</v>
      </c>
    </row>
    <row r="594" spans="2:8" x14ac:dyDescent="0.35">
      <c r="B594" s="23" t="s">
        <v>45</v>
      </c>
      <c r="C594" t="s">
        <v>18</v>
      </c>
      <c r="D594">
        <v>5</v>
      </c>
      <c r="E594" s="1">
        <v>10</v>
      </c>
      <c r="F594" s="1">
        <v>10</v>
      </c>
      <c r="G594" s="1">
        <v>10</v>
      </c>
      <c r="H594" s="1">
        <v>10</v>
      </c>
    </row>
    <row r="595" spans="2:8" x14ac:dyDescent="0.35">
      <c r="B595" s="23" t="s">
        <v>31</v>
      </c>
      <c r="C595" t="s">
        <v>18</v>
      </c>
      <c r="D595">
        <v>5</v>
      </c>
      <c r="E595" s="1">
        <v>5</v>
      </c>
      <c r="F595" s="1">
        <v>5</v>
      </c>
      <c r="G595" s="1">
        <v>5</v>
      </c>
      <c r="H595" s="1">
        <v>5</v>
      </c>
    </row>
    <row r="596" spans="2:8" x14ac:dyDescent="0.35">
      <c r="B596" s="23"/>
    </row>
    <row r="597" spans="2:8" x14ac:dyDescent="0.35">
      <c r="B597" s="9" t="s">
        <v>16</v>
      </c>
    </row>
    <row r="598" spans="2:8" x14ac:dyDescent="0.35">
      <c r="B598" t="str">
        <f>B574</f>
        <v>Low energy comms</v>
      </c>
      <c r="C598" t="s">
        <v>15</v>
      </c>
      <c r="D598">
        <v>0</v>
      </c>
      <c r="E598" s="28">
        <f t="shared" ref="E598:H600" si="59">PMT(E$80,E593,-E588)</f>
        <v>19.701746811018829</v>
      </c>
      <c r="F598" s="28">
        <f t="shared" si="59"/>
        <v>17.337537193696569</v>
      </c>
      <c r="G598" s="28">
        <f t="shared" si="59"/>
        <v>14.776310108264122</v>
      </c>
      <c r="H598" s="28">
        <f t="shared" si="59"/>
        <v>13.79122276771318</v>
      </c>
    </row>
    <row r="599" spans="2:8" x14ac:dyDescent="0.35">
      <c r="B599" s="23" t="s">
        <v>45</v>
      </c>
      <c r="C599" t="s">
        <v>15</v>
      </c>
      <c r="D599">
        <v>0</v>
      </c>
      <c r="E599" s="28">
        <f t="shared" si="59"/>
        <v>10.360365997236533</v>
      </c>
      <c r="F599" s="28">
        <f t="shared" si="59"/>
        <v>10.360365997236533</v>
      </c>
      <c r="G599" s="28">
        <f t="shared" si="59"/>
        <v>10.360365997236533</v>
      </c>
      <c r="H599" s="28">
        <f t="shared" si="59"/>
        <v>10.360365997236533</v>
      </c>
    </row>
    <row r="600" spans="2:8" x14ac:dyDescent="0.35">
      <c r="B600" s="23" t="s">
        <v>31</v>
      </c>
      <c r="C600" t="s">
        <v>15</v>
      </c>
      <c r="D600">
        <v>0</v>
      </c>
      <c r="E600" s="28">
        <f t="shared" si="59"/>
        <v>17.785059455876645</v>
      </c>
      <c r="F600" s="28">
        <f t="shared" si="59"/>
        <v>17.785059455876645</v>
      </c>
      <c r="G600" s="28">
        <f t="shared" si="59"/>
        <v>17.323109859620111</v>
      </c>
      <c r="H600" s="28">
        <f t="shared" si="59"/>
        <v>18.477983850261449</v>
      </c>
    </row>
    <row r="601" spans="2:8" x14ac:dyDescent="0.35">
      <c r="B601" s="23"/>
    </row>
    <row r="602" spans="2:8" x14ac:dyDescent="0.35">
      <c r="B602" s="4" t="s">
        <v>20</v>
      </c>
    </row>
    <row r="603" spans="2:8" x14ac:dyDescent="0.35">
      <c r="B603" t="str">
        <f>B574</f>
        <v>Low energy comms</v>
      </c>
      <c r="C603" t="s">
        <v>6</v>
      </c>
      <c r="D603">
        <v>0</v>
      </c>
      <c r="E603" s="3">
        <v>0.01</v>
      </c>
      <c r="F603" s="3">
        <v>0.01</v>
      </c>
      <c r="G603" s="3">
        <v>0.01</v>
      </c>
      <c r="H603" s="3">
        <v>0.01</v>
      </c>
    </row>
    <row r="604" spans="2:8" x14ac:dyDescent="0.35">
      <c r="B604" s="23" t="s">
        <v>45</v>
      </c>
      <c r="C604" t="s">
        <v>6</v>
      </c>
      <c r="D604">
        <v>0</v>
      </c>
      <c r="E604" s="3">
        <v>0.01</v>
      </c>
      <c r="F604" s="3">
        <v>0.01</v>
      </c>
      <c r="G604" s="3">
        <v>0.01</v>
      </c>
      <c r="H604" s="3">
        <v>0.01</v>
      </c>
    </row>
    <row r="605" spans="2:8" x14ac:dyDescent="0.35">
      <c r="B605" s="23" t="s">
        <v>31</v>
      </c>
      <c r="C605" t="s">
        <v>6</v>
      </c>
      <c r="D605">
        <v>0</v>
      </c>
      <c r="E605" s="3">
        <v>0.01</v>
      </c>
      <c r="F605" s="3">
        <v>0.01</v>
      </c>
      <c r="G605" s="3">
        <v>0.01</v>
      </c>
      <c r="H605" s="3">
        <v>0.01</v>
      </c>
    </row>
    <row r="607" spans="2:8" x14ac:dyDescent="0.35">
      <c r="B607" s="4" t="s">
        <v>17</v>
      </c>
    </row>
    <row r="608" spans="2:8" x14ac:dyDescent="0.35">
      <c r="B608" t="str">
        <f>B603</f>
        <v>Low energy comms</v>
      </c>
      <c r="C608" t="s">
        <v>15</v>
      </c>
      <c r="E608">
        <f t="shared" ref="E608:H610" si="60">E603*E588*E574</f>
        <v>5</v>
      </c>
      <c r="F608">
        <f t="shared" si="60"/>
        <v>8.8000000000000007</v>
      </c>
      <c r="G608">
        <f t="shared" si="60"/>
        <v>15</v>
      </c>
      <c r="H608">
        <f t="shared" si="60"/>
        <v>21.000000000000004</v>
      </c>
    </row>
    <row r="609" spans="2:13" x14ac:dyDescent="0.35">
      <c r="B609" t="str">
        <f>B604</f>
        <v>Smart controls</v>
      </c>
      <c r="C609" t="s">
        <v>15</v>
      </c>
      <c r="E609">
        <f t="shared" si="60"/>
        <v>4</v>
      </c>
      <c r="F609">
        <f t="shared" si="60"/>
        <v>16</v>
      </c>
      <c r="G609">
        <f t="shared" si="60"/>
        <v>24</v>
      </c>
      <c r="H609">
        <f t="shared" si="60"/>
        <v>27.482905459008975</v>
      </c>
    </row>
    <row r="610" spans="2:13" x14ac:dyDescent="0.35">
      <c r="B610" t="str">
        <f>B605</f>
        <v>Others</v>
      </c>
      <c r="C610" t="s">
        <v>15</v>
      </c>
      <c r="E610">
        <f t="shared" si="60"/>
        <v>1.54</v>
      </c>
      <c r="F610">
        <f t="shared" si="60"/>
        <v>7.7</v>
      </c>
      <c r="G610">
        <f t="shared" si="60"/>
        <v>11.25</v>
      </c>
      <c r="H610">
        <f t="shared" si="60"/>
        <v>16</v>
      </c>
    </row>
    <row r="612" spans="2:13" x14ac:dyDescent="0.35">
      <c r="B612" s="4" t="s">
        <v>22</v>
      </c>
      <c r="D612" s="6"/>
      <c r="E612" s="6"/>
      <c r="F612" s="6"/>
      <c r="G612" s="6"/>
      <c r="H612" s="6"/>
    </row>
    <row r="613" spans="2:13" x14ac:dyDescent="0.35">
      <c r="B613" t="str">
        <f>B588</f>
        <v>Low energy comms</v>
      </c>
      <c r="C613" t="s">
        <v>15</v>
      </c>
      <c r="D613" s="6"/>
      <c r="E613" s="27">
        <v>1</v>
      </c>
      <c r="F613" s="27">
        <v>1</v>
      </c>
      <c r="G613" s="27">
        <v>1</v>
      </c>
      <c r="H613" s="27">
        <v>1</v>
      </c>
    </row>
    <row r="614" spans="2:13" x14ac:dyDescent="0.35">
      <c r="B614" t="s">
        <v>45</v>
      </c>
      <c r="C614" t="s">
        <v>15</v>
      </c>
      <c r="E614" s="1">
        <v>0</v>
      </c>
      <c r="F614" s="1">
        <v>0</v>
      </c>
      <c r="G614" s="1">
        <v>0</v>
      </c>
      <c r="H614" s="1">
        <v>0</v>
      </c>
    </row>
    <row r="615" spans="2:13" x14ac:dyDescent="0.35">
      <c r="B615" t="s">
        <v>31</v>
      </c>
      <c r="C615" t="s">
        <v>15</v>
      </c>
      <c r="E615" s="1">
        <v>2</v>
      </c>
      <c r="F615" s="1">
        <v>2</v>
      </c>
      <c r="G615" s="1">
        <v>2</v>
      </c>
      <c r="H615" s="1">
        <v>2</v>
      </c>
    </row>
    <row r="617" spans="2:13" x14ac:dyDescent="0.35">
      <c r="B617" s="4" t="s">
        <v>25</v>
      </c>
      <c r="J617" t="s">
        <v>82</v>
      </c>
    </row>
    <row r="618" spans="2:13" x14ac:dyDescent="0.35">
      <c r="B618" t="str">
        <f>B613</f>
        <v>Low energy comms</v>
      </c>
      <c r="C618" t="s">
        <v>15</v>
      </c>
      <c r="E618" s="41">
        <f t="shared" ref="E618:H620" si="61">E598+E608+E613</f>
        <v>25.701746811018829</v>
      </c>
      <c r="F618" s="41">
        <f t="shared" si="61"/>
        <v>27.13753719369657</v>
      </c>
      <c r="G618" s="41">
        <f t="shared" si="61"/>
        <v>30.77631010826412</v>
      </c>
      <c r="H618" s="41">
        <f t="shared" si="61"/>
        <v>35.79122276771318</v>
      </c>
      <c r="J618" s="42">
        <f>IF(E574&gt;0,E618,"-")</f>
        <v>25.701746811018829</v>
      </c>
      <c r="K618" s="42">
        <f t="shared" ref="K618:M620" si="62">IF(F574&gt;0,F618,"-")</f>
        <v>27.13753719369657</v>
      </c>
      <c r="L618" s="42">
        <f t="shared" si="62"/>
        <v>30.77631010826412</v>
      </c>
      <c r="M618" s="42">
        <f t="shared" si="62"/>
        <v>35.79122276771318</v>
      </c>
    </row>
    <row r="619" spans="2:13" x14ac:dyDescent="0.35">
      <c r="B619" t="str">
        <f>B614</f>
        <v>Smart controls</v>
      </c>
      <c r="C619" t="s">
        <v>15</v>
      </c>
      <c r="E619" s="41">
        <f t="shared" si="61"/>
        <v>14.360365997236533</v>
      </c>
      <c r="F619" s="41">
        <f t="shared" si="61"/>
        <v>26.360365997236535</v>
      </c>
      <c r="G619" s="41">
        <f t="shared" si="61"/>
        <v>34.360365997236535</v>
      </c>
      <c r="H619" s="41">
        <f t="shared" si="61"/>
        <v>37.84327145624551</v>
      </c>
      <c r="J619" s="42">
        <f>IF(E575&gt;0,E619,"-")</f>
        <v>14.360365997236533</v>
      </c>
      <c r="K619" s="42">
        <f t="shared" si="62"/>
        <v>26.360365997236535</v>
      </c>
      <c r="L619" s="42">
        <f t="shared" si="62"/>
        <v>34.360365997236535</v>
      </c>
      <c r="M619" s="42">
        <f t="shared" si="62"/>
        <v>37.84327145624551</v>
      </c>
    </row>
    <row r="620" spans="2:13" x14ac:dyDescent="0.35">
      <c r="B620" t="str">
        <f>B615</f>
        <v>Others</v>
      </c>
      <c r="C620" t="s">
        <v>15</v>
      </c>
      <c r="D620" s="5"/>
      <c r="E620" s="41">
        <f t="shared" si="61"/>
        <v>21.325059455876644</v>
      </c>
      <c r="F620" s="41">
        <f t="shared" si="61"/>
        <v>27.485059455876645</v>
      </c>
      <c r="G620" s="41">
        <f t="shared" si="61"/>
        <v>30.573109859620111</v>
      </c>
      <c r="H620" s="41">
        <f t="shared" si="61"/>
        <v>36.477983850261452</v>
      </c>
      <c r="J620" s="42">
        <f>IF(E576&gt;0,E620,"-")</f>
        <v>21.325059455876644</v>
      </c>
      <c r="K620" s="42">
        <f t="shared" si="62"/>
        <v>27.485059455876645</v>
      </c>
      <c r="L620" s="42">
        <f t="shared" si="62"/>
        <v>30.573109859620111</v>
      </c>
      <c r="M620" s="42">
        <f t="shared" si="62"/>
        <v>36.477983850261452</v>
      </c>
    </row>
    <row r="621" spans="2:13" x14ac:dyDescent="0.35">
      <c r="D621" s="5"/>
      <c r="E621" s="5"/>
      <c r="F621" s="5"/>
      <c r="G621" s="5"/>
      <c r="H621" s="5"/>
      <c r="I621">
        <f>SUMPRODUCT(E574:H576,E618:H620)</f>
        <v>6524.6779740213078</v>
      </c>
    </row>
    <row r="623" spans="2:13" x14ac:dyDescent="0.35">
      <c r="B623" s="37" t="s">
        <v>39</v>
      </c>
      <c r="C623" s="35"/>
      <c r="D623" s="35">
        <v>2020</v>
      </c>
      <c r="E623" s="35">
        <v>2025</v>
      </c>
      <c r="F623" s="35">
        <v>2030</v>
      </c>
      <c r="G623" s="35">
        <v>2035</v>
      </c>
      <c r="H623" s="35">
        <v>2040</v>
      </c>
    </row>
    <row r="624" spans="2:13" x14ac:dyDescent="0.35">
      <c r="B624" s="36"/>
      <c r="C624" s="33"/>
      <c r="D624" s="33"/>
      <c r="E624" s="33"/>
      <c r="F624" s="33"/>
      <c r="G624" s="33"/>
      <c r="H624" s="33"/>
    </row>
    <row r="625" spans="2:13" ht="15" thickBot="1" x14ac:dyDescent="0.4">
      <c r="B625" s="4" t="s">
        <v>10</v>
      </c>
      <c r="C625" t="s">
        <v>3</v>
      </c>
      <c r="D625">
        <f>SUM(D626:D628)</f>
        <v>0</v>
      </c>
      <c r="E625">
        <f>SUM(E626:E628)</f>
        <v>12</v>
      </c>
      <c r="F625">
        <f>SUM(F626:F628)</f>
        <v>40</v>
      </c>
      <c r="G625">
        <f>SUM(G626:G628)</f>
        <v>65</v>
      </c>
      <c r="H625">
        <f>SUM(H626:H628)</f>
        <v>84.353631832137893</v>
      </c>
    </row>
    <row r="626" spans="2:13" x14ac:dyDescent="0.35">
      <c r="B626" s="38" t="s">
        <v>68</v>
      </c>
      <c r="C626" t="s">
        <v>3</v>
      </c>
      <c r="D626">
        <v>0</v>
      </c>
      <c r="E626" s="13">
        <v>5</v>
      </c>
      <c r="F626" s="14">
        <v>10</v>
      </c>
      <c r="G626" s="14">
        <v>20</v>
      </c>
      <c r="H626" s="15">
        <v>30</v>
      </c>
    </row>
    <row r="627" spans="2:13" x14ac:dyDescent="0.35">
      <c r="B627" s="39" t="s">
        <v>45</v>
      </c>
      <c r="C627" t="s">
        <v>3</v>
      </c>
      <c r="D627">
        <v>0</v>
      </c>
      <c r="E627" s="16">
        <v>5</v>
      </c>
      <c r="F627" s="17">
        <v>20</v>
      </c>
      <c r="G627" s="17">
        <v>30</v>
      </c>
      <c r="H627" s="18">
        <v>34.353631832137893</v>
      </c>
    </row>
    <row r="628" spans="2:13" ht="15" thickBot="1" x14ac:dyDescent="0.4">
      <c r="B628" s="39" t="s">
        <v>31</v>
      </c>
      <c r="C628" t="s">
        <v>3</v>
      </c>
      <c r="D628">
        <v>0</v>
      </c>
      <c r="E628" s="19">
        <v>2</v>
      </c>
      <c r="F628" s="20">
        <v>10</v>
      </c>
      <c r="G628" s="20">
        <v>15</v>
      </c>
      <c r="H628" s="21">
        <v>20</v>
      </c>
    </row>
    <row r="630" spans="2:13" x14ac:dyDescent="0.35">
      <c r="B630" s="4" t="s">
        <v>26</v>
      </c>
    </row>
    <row r="631" spans="2:13" x14ac:dyDescent="0.35">
      <c r="B631" t="str">
        <f>B626</f>
        <v>Low energy comms</v>
      </c>
      <c r="C631" t="s">
        <v>3</v>
      </c>
      <c r="D631">
        <v>0</v>
      </c>
      <c r="E631" s="1">
        <v>5</v>
      </c>
      <c r="F631" s="1">
        <v>10</v>
      </c>
      <c r="G631" s="1">
        <v>20</v>
      </c>
      <c r="H631" s="1">
        <v>30</v>
      </c>
    </row>
    <row r="632" spans="2:13" x14ac:dyDescent="0.35">
      <c r="B632" s="23" t="s">
        <v>45</v>
      </c>
      <c r="C632" t="s">
        <v>3</v>
      </c>
      <c r="D632">
        <v>0</v>
      </c>
      <c r="E632" s="1">
        <v>5</v>
      </c>
      <c r="F632" s="1">
        <v>20</v>
      </c>
      <c r="G632" s="1">
        <v>30</v>
      </c>
      <c r="H632" s="1">
        <v>40</v>
      </c>
    </row>
    <row r="633" spans="2:13" x14ac:dyDescent="0.35">
      <c r="B633" s="23" t="s">
        <v>31</v>
      </c>
      <c r="C633" t="s">
        <v>3</v>
      </c>
      <c r="D633">
        <v>0</v>
      </c>
      <c r="E633" s="1">
        <v>2</v>
      </c>
      <c r="F633" s="1">
        <v>10</v>
      </c>
      <c r="G633" s="1">
        <v>15</v>
      </c>
      <c r="H633" s="1">
        <v>20</v>
      </c>
    </row>
    <row r="634" spans="2:13" x14ac:dyDescent="0.35">
      <c r="J634" t="s">
        <v>30</v>
      </c>
    </row>
    <row r="635" spans="2:13" x14ac:dyDescent="0.35">
      <c r="B635" t="str">
        <f>B631</f>
        <v>Low energy comms</v>
      </c>
      <c r="C635" t="s">
        <v>3</v>
      </c>
      <c r="D635">
        <v>0</v>
      </c>
      <c r="E635" s="29" t="str" cm="1">
        <f t="array" ref="E635">[1]!WB(E631-E626,"&gt;=",0)</f>
        <v>=&gt;=</v>
      </c>
      <c r="F635" s="29" t="str" cm="1">
        <f t="array" ref="F635">[1]!WB(F631-F626,"&gt;=",0)</f>
        <v>=&gt;=</v>
      </c>
      <c r="G635" s="29" t="str" cm="1">
        <f t="array" ref="G635">[1]!WB(G631-G626,"&gt;=",0)</f>
        <v>=&gt;=</v>
      </c>
      <c r="H635" s="29" t="str" cm="1">
        <f t="array" ref="H635">[1]!WB(H631-H626,"&gt;=",0)</f>
        <v>=&gt;=</v>
      </c>
      <c r="J635" s="11">
        <f>[1]!WBDUAL(E635,-36.8298089736897)</f>
        <v>-36.829808973689701</v>
      </c>
      <c r="K635" s="11">
        <f>[1]!WBDUAL(F635,-23.7142850841421)</f>
        <v>-23.714285084142102</v>
      </c>
      <c r="L635" s="11">
        <f>[1]!WBDUAL(G635,-16.6662509746363)</f>
        <v>-16.666250974636299</v>
      </c>
      <c r="M635" s="11">
        <f>[1]!WBDUAL(H635,-8.53495405429314)</f>
        <v>-8.5349540542931397</v>
      </c>
    </row>
    <row r="636" spans="2:13" x14ac:dyDescent="0.35">
      <c r="B636" s="23" t="s">
        <v>45</v>
      </c>
      <c r="C636" t="s">
        <v>3</v>
      </c>
      <c r="D636">
        <v>0</v>
      </c>
      <c r="E636" s="29" t="str" cm="1">
        <f t="array" ref="E636">[1]!WB(E632-E627,"&gt;=",0)</f>
        <v>=&gt;=</v>
      </c>
      <c r="F636" s="29" t="str" cm="1">
        <f t="array" ref="F636">[1]!WB(F632-F627,"&gt;=",0)</f>
        <v>=&gt;=</v>
      </c>
      <c r="G636" s="29" t="str" cm="1">
        <f t="array" ref="G636">[1]!WB(G632-G627,"&gt;=",0)</f>
        <v>=&gt;=</v>
      </c>
      <c r="H636" s="29" t="str" cm="1">
        <f t="array" ref="H636">[1]!WB(H632-H627,"&gt;=",0)</f>
        <v>&gt;=</v>
      </c>
      <c r="J636" s="11">
        <f>[1]!WBDUAL(E636,-49.1711892504068)</f>
        <v>-49.171189250406798</v>
      </c>
      <c r="K636" s="11">
        <f>[1]!WBDUAL(F636,-17.2914563525074)</f>
        <v>-17.291456352507399</v>
      </c>
      <c r="L636" s="11">
        <f>[1]!WBDUAL(G636,-4.08219517966217)</f>
        <v>-4.08219517966217</v>
      </c>
      <c r="M636" s="11">
        <f>[1]!WBDUAL(H636,0)</f>
        <v>0</v>
      </c>
    </row>
    <row r="637" spans="2:13" x14ac:dyDescent="0.35">
      <c r="B637" s="23" t="s">
        <v>31</v>
      </c>
      <c r="C637" t="s">
        <v>3</v>
      </c>
      <c r="D637">
        <v>0</v>
      </c>
      <c r="E637" s="29" t="str" cm="1">
        <f t="array" ref="E637">[1]!WB(E633-E628,"&gt;=",0)</f>
        <v>=&gt;=</v>
      </c>
      <c r="F637" s="29" t="str" cm="1">
        <f t="array" ref="F637">[1]!WB(F633-F628,"&gt;=",0)</f>
        <v>=&gt;=</v>
      </c>
      <c r="G637" s="29" t="str" cm="1">
        <f t="array" ref="G637">[1]!WB(G633-G628,"&gt;=",0)</f>
        <v>=&gt;=</v>
      </c>
      <c r="H637" s="29" t="str" cm="1">
        <f t="array" ref="H637">[1]!WB(H633-H628,"&gt;=",0)</f>
        <v>=&gt;=</v>
      </c>
      <c r="J637" s="11">
        <f>[1]!WBDUAL(E637,-44.6664968464062)</f>
        <v>-44.666496846406197</v>
      </c>
      <c r="K637" s="11">
        <f>[1]!WBDUAL(F637,-24.466762781153)</f>
        <v>-24.466762781153001</v>
      </c>
      <c r="L637" s="11">
        <f>[1]!WBDUAL(G637,-20.61945142452)</f>
        <v>-20.619451424520001</v>
      </c>
      <c r="M637" s="11">
        <f>[1]!WBDUAL(H637,-12.8481929654744)</f>
        <v>-12.8481929654744</v>
      </c>
    </row>
    <row r="638" spans="2:13" x14ac:dyDescent="0.35">
      <c r="E638" s="8"/>
      <c r="F638" s="8"/>
      <c r="G638" s="8"/>
      <c r="H638" s="8"/>
    </row>
    <row r="639" spans="2:13" x14ac:dyDescent="0.35">
      <c r="B639" s="4" t="s">
        <v>14</v>
      </c>
    </row>
    <row r="640" spans="2:13" x14ac:dyDescent="0.35">
      <c r="B640" t="str">
        <f>B626</f>
        <v>Low energy comms</v>
      </c>
      <c r="C640" t="s">
        <v>15</v>
      </c>
      <c r="D640">
        <v>0</v>
      </c>
      <c r="E640" s="1">
        <v>100</v>
      </c>
      <c r="F640" s="1">
        <v>88</v>
      </c>
      <c r="G640" s="1">
        <v>75</v>
      </c>
      <c r="H640" s="1">
        <v>70</v>
      </c>
    </row>
    <row r="641" spans="2:8" x14ac:dyDescent="0.35">
      <c r="B641" s="23" t="s">
        <v>45</v>
      </c>
      <c r="C641" t="s">
        <v>15</v>
      </c>
      <c r="D641">
        <v>0</v>
      </c>
      <c r="E641" s="1">
        <v>80</v>
      </c>
      <c r="F641" s="1">
        <v>80</v>
      </c>
      <c r="G641" s="1">
        <v>80</v>
      </c>
      <c r="H641" s="1">
        <v>80</v>
      </c>
    </row>
    <row r="642" spans="2:8" x14ac:dyDescent="0.35">
      <c r="B642" s="23" t="s">
        <v>31</v>
      </c>
      <c r="C642" t="s">
        <v>15</v>
      </c>
      <c r="D642">
        <v>0</v>
      </c>
      <c r="E642" s="1">
        <v>77</v>
      </c>
      <c r="F642" s="1">
        <v>77</v>
      </c>
      <c r="G642" s="1">
        <v>75</v>
      </c>
      <c r="H642" s="1">
        <v>80</v>
      </c>
    </row>
    <row r="643" spans="2:8" x14ac:dyDescent="0.35">
      <c r="B643" s="23"/>
    </row>
    <row r="644" spans="2:8" x14ac:dyDescent="0.35">
      <c r="B644" s="4" t="s">
        <v>46</v>
      </c>
    </row>
    <row r="645" spans="2:8" x14ac:dyDescent="0.35">
      <c r="B645" t="str">
        <f>B640</f>
        <v>Low energy comms</v>
      </c>
      <c r="C645" t="s">
        <v>18</v>
      </c>
      <c r="D645">
        <v>5</v>
      </c>
      <c r="E645" s="1">
        <v>6</v>
      </c>
      <c r="F645" s="1">
        <v>6</v>
      </c>
      <c r="G645" s="1">
        <v>6</v>
      </c>
      <c r="H645" s="1">
        <v>6</v>
      </c>
    </row>
    <row r="646" spans="2:8" x14ac:dyDescent="0.35">
      <c r="B646" s="23" t="s">
        <v>45</v>
      </c>
      <c r="C646" t="s">
        <v>18</v>
      </c>
      <c r="D646">
        <v>5</v>
      </c>
      <c r="E646" s="1">
        <v>10</v>
      </c>
      <c r="F646" s="1">
        <v>10</v>
      </c>
      <c r="G646" s="1">
        <v>10</v>
      </c>
      <c r="H646" s="1">
        <v>10</v>
      </c>
    </row>
    <row r="647" spans="2:8" x14ac:dyDescent="0.35">
      <c r="B647" s="23" t="s">
        <v>31</v>
      </c>
      <c r="C647" t="s">
        <v>18</v>
      </c>
      <c r="D647">
        <v>5</v>
      </c>
      <c r="E647" s="1">
        <v>5</v>
      </c>
      <c r="F647" s="1">
        <v>5</v>
      </c>
      <c r="G647" s="1">
        <v>5</v>
      </c>
      <c r="H647" s="1">
        <v>5</v>
      </c>
    </row>
    <row r="648" spans="2:8" x14ac:dyDescent="0.35">
      <c r="B648" s="23"/>
    </row>
    <row r="649" spans="2:8" x14ac:dyDescent="0.35">
      <c r="B649" s="9" t="s">
        <v>16</v>
      </c>
    </row>
    <row r="650" spans="2:8" x14ac:dyDescent="0.35">
      <c r="B650" t="str">
        <f>B626</f>
        <v>Low energy comms</v>
      </c>
      <c r="C650" t="s">
        <v>15</v>
      </c>
      <c r="D650">
        <v>0</v>
      </c>
      <c r="E650" s="28">
        <f t="shared" ref="E650:H652" si="63">PMT(E$80,E645,-E640)</f>
        <v>19.701746811018829</v>
      </c>
      <c r="F650" s="28">
        <f t="shared" si="63"/>
        <v>17.337537193696569</v>
      </c>
      <c r="G650" s="28">
        <f t="shared" si="63"/>
        <v>14.776310108264122</v>
      </c>
      <c r="H650" s="28">
        <f t="shared" si="63"/>
        <v>13.79122276771318</v>
      </c>
    </row>
    <row r="651" spans="2:8" x14ac:dyDescent="0.35">
      <c r="B651" s="23" t="s">
        <v>45</v>
      </c>
      <c r="C651" t="s">
        <v>15</v>
      </c>
      <c r="D651">
        <v>0</v>
      </c>
      <c r="E651" s="28">
        <f t="shared" si="63"/>
        <v>10.360365997236533</v>
      </c>
      <c r="F651" s="28">
        <f t="shared" si="63"/>
        <v>10.360365997236533</v>
      </c>
      <c r="G651" s="28">
        <f t="shared" si="63"/>
        <v>10.360365997236533</v>
      </c>
      <c r="H651" s="28">
        <f t="shared" si="63"/>
        <v>10.360365997236533</v>
      </c>
    </row>
    <row r="652" spans="2:8" x14ac:dyDescent="0.35">
      <c r="B652" s="23" t="s">
        <v>31</v>
      </c>
      <c r="C652" t="s">
        <v>15</v>
      </c>
      <c r="D652">
        <v>0</v>
      </c>
      <c r="E652" s="28">
        <f t="shared" si="63"/>
        <v>17.785059455876645</v>
      </c>
      <c r="F652" s="28">
        <f t="shared" si="63"/>
        <v>17.785059455876645</v>
      </c>
      <c r="G652" s="28">
        <f t="shared" si="63"/>
        <v>17.323109859620111</v>
      </c>
      <c r="H652" s="28">
        <f t="shared" si="63"/>
        <v>18.477983850261449</v>
      </c>
    </row>
    <row r="653" spans="2:8" x14ac:dyDescent="0.35">
      <c r="B653" s="23"/>
    </row>
    <row r="654" spans="2:8" x14ac:dyDescent="0.35">
      <c r="B654" s="4" t="s">
        <v>20</v>
      </c>
    </row>
    <row r="655" spans="2:8" x14ac:dyDescent="0.35">
      <c r="B655" t="str">
        <f>B626</f>
        <v>Low energy comms</v>
      </c>
      <c r="C655" t="s">
        <v>6</v>
      </c>
      <c r="D655">
        <v>0</v>
      </c>
      <c r="E655" s="3">
        <v>0.01</v>
      </c>
      <c r="F655" s="3">
        <v>0.01</v>
      </c>
      <c r="G655" s="3">
        <v>0.01</v>
      </c>
      <c r="H655" s="3">
        <v>0.01</v>
      </c>
    </row>
    <row r="656" spans="2:8" x14ac:dyDescent="0.35">
      <c r="B656" s="23" t="s">
        <v>45</v>
      </c>
      <c r="C656" t="s">
        <v>6</v>
      </c>
      <c r="D656">
        <v>0</v>
      </c>
      <c r="E656" s="3">
        <v>0.01</v>
      </c>
      <c r="F656" s="3">
        <v>0.01</v>
      </c>
      <c r="G656" s="3">
        <v>0.01</v>
      </c>
      <c r="H656" s="3">
        <v>0.01</v>
      </c>
    </row>
    <row r="657" spans="2:13" x14ac:dyDescent="0.35">
      <c r="B657" s="23" t="s">
        <v>31</v>
      </c>
      <c r="C657" t="s">
        <v>6</v>
      </c>
      <c r="D657">
        <v>0</v>
      </c>
      <c r="E657" s="3">
        <v>0.01</v>
      </c>
      <c r="F657" s="3">
        <v>0.01</v>
      </c>
      <c r="G657" s="3">
        <v>0.01</v>
      </c>
      <c r="H657" s="3">
        <v>0.01</v>
      </c>
    </row>
    <row r="659" spans="2:13" x14ac:dyDescent="0.35">
      <c r="B659" s="4" t="s">
        <v>17</v>
      </c>
    </row>
    <row r="660" spans="2:13" x14ac:dyDescent="0.35">
      <c r="B660" t="str">
        <f>B655</f>
        <v>Low energy comms</v>
      </c>
      <c r="C660" t="s">
        <v>15</v>
      </c>
      <c r="E660">
        <f t="shared" ref="E660:H662" si="64">E655*E640*E626</f>
        <v>5</v>
      </c>
      <c r="F660">
        <f t="shared" si="64"/>
        <v>8.8000000000000007</v>
      </c>
      <c r="G660">
        <f t="shared" si="64"/>
        <v>15</v>
      </c>
      <c r="H660">
        <f t="shared" si="64"/>
        <v>21.000000000000004</v>
      </c>
    </row>
    <row r="661" spans="2:13" x14ac:dyDescent="0.35">
      <c r="B661" t="str">
        <f>B656</f>
        <v>Smart controls</v>
      </c>
      <c r="C661" t="s">
        <v>15</v>
      </c>
      <c r="E661">
        <f t="shared" si="64"/>
        <v>4</v>
      </c>
      <c r="F661">
        <f t="shared" si="64"/>
        <v>16</v>
      </c>
      <c r="G661">
        <f t="shared" si="64"/>
        <v>24</v>
      </c>
      <c r="H661">
        <f t="shared" si="64"/>
        <v>27.482905465710317</v>
      </c>
    </row>
    <row r="662" spans="2:13" x14ac:dyDescent="0.35">
      <c r="B662" t="str">
        <f>B657</f>
        <v>Others</v>
      </c>
      <c r="C662" t="s">
        <v>15</v>
      </c>
      <c r="E662">
        <f t="shared" si="64"/>
        <v>1.54</v>
      </c>
      <c r="F662">
        <f t="shared" si="64"/>
        <v>7.7</v>
      </c>
      <c r="G662">
        <f t="shared" si="64"/>
        <v>11.25</v>
      </c>
      <c r="H662">
        <f t="shared" si="64"/>
        <v>16</v>
      </c>
    </row>
    <row r="664" spans="2:13" x14ac:dyDescent="0.35">
      <c r="B664" s="4" t="s">
        <v>22</v>
      </c>
      <c r="D664" s="6"/>
      <c r="E664" s="6"/>
      <c r="F664" s="6"/>
      <c r="G664" s="6"/>
      <c r="H664" s="6"/>
    </row>
    <row r="665" spans="2:13" x14ac:dyDescent="0.35">
      <c r="B665" t="str">
        <f>B640</f>
        <v>Low energy comms</v>
      </c>
      <c r="C665" t="s">
        <v>15</v>
      </c>
      <c r="D665" s="6"/>
      <c r="E665" s="27">
        <v>1</v>
      </c>
      <c r="F665" s="27">
        <v>1</v>
      </c>
      <c r="G665" s="27">
        <v>1</v>
      </c>
      <c r="H665" s="27">
        <v>1</v>
      </c>
    </row>
    <row r="666" spans="2:13" x14ac:dyDescent="0.35">
      <c r="B666" t="s">
        <v>45</v>
      </c>
      <c r="C666" t="s">
        <v>15</v>
      </c>
      <c r="E666" s="1">
        <v>0</v>
      </c>
      <c r="F666" s="1">
        <v>0</v>
      </c>
      <c r="G666" s="1">
        <v>0</v>
      </c>
      <c r="H666" s="1">
        <v>0</v>
      </c>
    </row>
    <row r="667" spans="2:13" x14ac:dyDescent="0.35">
      <c r="B667" t="s">
        <v>31</v>
      </c>
      <c r="C667" t="s">
        <v>15</v>
      </c>
      <c r="E667" s="1">
        <v>2</v>
      </c>
      <c r="F667" s="1">
        <v>2</v>
      </c>
      <c r="G667" s="1">
        <v>2</v>
      </c>
      <c r="H667" s="1">
        <v>2</v>
      </c>
    </row>
    <row r="669" spans="2:13" x14ac:dyDescent="0.35">
      <c r="B669" s="4" t="s">
        <v>25</v>
      </c>
      <c r="J669" t="s">
        <v>82</v>
      </c>
    </row>
    <row r="670" spans="2:13" x14ac:dyDescent="0.35">
      <c r="B670" t="str">
        <f>B665</f>
        <v>Low energy comms</v>
      </c>
      <c r="C670" t="s">
        <v>15</v>
      </c>
      <c r="E670" s="41">
        <f t="shared" ref="E670:H672" si="65">E650+E660+E665</f>
        <v>25.701746811018829</v>
      </c>
      <c r="F670" s="41">
        <f t="shared" si="65"/>
        <v>27.13753719369657</v>
      </c>
      <c r="G670" s="41">
        <f t="shared" si="65"/>
        <v>30.77631010826412</v>
      </c>
      <c r="H670" s="41">
        <f t="shared" si="65"/>
        <v>35.79122276771318</v>
      </c>
      <c r="J670" s="42">
        <f t="shared" ref="J670:M672" si="66">IF(E626&gt;0,E670,"-")</f>
        <v>25.701746811018829</v>
      </c>
      <c r="K670" s="42">
        <f t="shared" si="66"/>
        <v>27.13753719369657</v>
      </c>
      <c r="L670" s="42">
        <f t="shared" si="66"/>
        <v>30.77631010826412</v>
      </c>
      <c r="M670" s="42">
        <f t="shared" si="66"/>
        <v>35.79122276771318</v>
      </c>
    </row>
    <row r="671" spans="2:13" x14ac:dyDescent="0.35">
      <c r="B671" t="str">
        <f>B666</f>
        <v>Smart controls</v>
      </c>
      <c r="C671" t="s">
        <v>15</v>
      </c>
      <c r="E671" s="41">
        <f t="shared" si="65"/>
        <v>14.360365997236533</v>
      </c>
      <c r="F671" s="41">
        <f t="shared" si="65"/>
        <v>26.360365997236535</v>
      </c>
      <c r="G671" s="41">
        <f t="shared" si="65"/>
        <v>34.360365997236535</v>
      </c>
      <c r="H671" s="41">
        <f t="shared" si="65"/>
        <v>37.843271462946852</v>
      </c>
      <c r="J671" s="42">
        <f t="shared" si="66"/>
        <v>14.360365997236533</v>
      </c>
      <c r="K671" s="42">
        <f t="shared" si="66"/>
        <v>26.360365997236535</v>
      </c>
      <c r="L671" s="42">
        <f t="shared" si="66"/>
        <v>34.360365997236535</v>
      </c>
      <c r="M671" s="42">
        <f t="shared" si="66"/>
        <v>37.843271462946852</v>
      </c>
    </row>
    <row r="672" spans="2:13" x14ac:dyDescent="0.35">
      <c r="B672" t="str">
        <f>B667</f>
        <v>Others</v>
      </c>
      <c r="C672" t="s">
        <v>15</v>
      </c>
      <c r="D672" s="5"/>
      <c r="E672" s="41">
        <f t="shared" si="65"/>
        <v>21.325059455876644</v>
      </c>
      <c r="F672" s="41">
        <f t="shared" si="65"/>
        <v>27.485059455876645</v>
      </c>
      <c r="G672" s="41">
        <f t="shared" si="65"/>
        <v>30.573109859620111</v>
      </c>
      <c r="H672" s="41">
        <f t="shared" si="65"/>
        <v>36.477983850261452</v>
      </c>
      <c r="J672" s="42">
        <f t="shared" si="66"/>
        <v>21.325059455876644</v>
      </c>
      <c r="K672" s="42">
        <f t="shared" si="66"/>
        <v>27.485059455876645</v>
      </c>
      <c r="L672" s="42">
        <f t="shared" si="66"/>
        <v>30.573109859620111</v>
      </c>
      <c r="M672" s="42">
        <f t="shared" si="66"/>
        <v>36.477983850261452</v>
      </c>
    </row>
    <row r="673" spans="2:13" x14ac:dyDescent="0.35">
      <c r="D673" s="5"/>
      <c r="E673" s="5"/>
      <c r="F673" s="5"/>
      <c r="G673" s="5"/>
      <c r="H673" s="5"/>
      <c r="I673">
        <f>SUMPRODUCT(E626:H628,E670:H672)</f>
        <v>6524.6779745685244</v>
      </c>
    </row>
    <row r="675" spans="2:13" x14ac:dyDescent="0.35">
      <c r="B675" s="37" t="s">
        <v>40</v>
      </c>
      <c r="C675" s="35"/>
      <c r="D675" s="35">
        <v>2020</v>
      </c>
      <c r="E675" s="35">
        <v>2025</v>
      </c>
      <c r="F675" s="35">
        <v>2030</v>
      </c>
      <c r="G675" s="35">
        <v>2035</v>
      </c>
      <c r="H675" s="35">
        <v>2040</v>
      </c>
    </row>
    <row r="676" spans="2:13" x14ac:dyDescent="0.35">
      <c r="B676" s="36"/>
      <c r="C676" s="33"/>
      <c r="D676" s="33"/>
      <c r="E676" s="33"/>
      <c r="F676" s="33"/>
      <c r="G676" s="33"/>
      <c r="H676" s="33"/>
    </row>
    <row r="677" spans="2:13" ht="15" thickBot="1" x14ac:dyDescent="0.4">
      <c r="B677" s="4" t="s">
        <v>10</v>
      </c>
      <c r="C677" t="s">
        <v>3</v>
      </c>
      <c r="D677">
        <f>SUM(D678:D680)</f>
        <v>0</v>
      </c>
      <c r="E677">
        <f>SUM(E678:E680)</f>
        <v>12</v>
      </c>
      <c r="F677">
        <f>SUM(F678:F680)</f>
        <v>21.559999999999995</v>
      </c>
      <c r="G677">
        <f>SUM(G678:G680)</f>
        <v>22.194999999999997</v>
      </c>
      <c r="H677">
        <f>SUM(H678:H680)</f>
        <v>22.799999999999997</v>
      </c>
    </row>
    <row r="678" spans="2:13" x14ac:dyDescent="0.35">
      <c r="B678" s="38" t="s">
        <v>68</v>
      </c>
      <c r="C678" t="s">
        <v>3</v>
      </c>
      <c r="D678">
        <v>0</v>
      </c>
      <c r="E678" s="13">
        <v>5</v>
      </c>
      <c r="F678" s="14">
        <v>5.4008600416634378</v>
      </c>
      <c r="G678" s="14">
        <v>7.2083636127840114</v>
      </c>
      <c r="H678" s="15">
        <v>8.5763418942839458</v>
      </c>
    </row>
    <row r="679" spans="2:13" x14ac:dyDescent="0.35">
      <c r="B679" s="39" t="s">
        <v>45</v>
      </c>
      <c r="C679" t="s">
        <v>3</v>
      </c>
      <c r="D679">
        <v>0</v>
      </c>
      <c r="E679" s="16">
        <v>5</v>
      </c>
      <c r="F679" s="17">
        <v>10.92667802595729</v>
      </c>
      <c r="G679" s="17">
        <v>10.142805949683371</v>
      </c>
      <c r="H679" s="18">
        <v>10.273584625326102</v>
      </c>
    </row>
    <row r="680" spans="2:13" ht="15" thickBot="1" x14ac:dyDescent="0.4">
      <c r="B680" s="39" t="s">
        <v>31</v>
      </c>
      <c r="C680" t="s">
        <v>3</v>
      </c>
      <c r="D680">
        <v>0</v>
      </c>
      <c r="E680" s="19">
        <v>2</v>
      </c>
      <c r="F680" s="20">
        <v>5.232461932379266</v>
      </c>
      <c r="G680" s="20">
        <v>4.8438304375326133</v>
      </c>
      <c r="H680" s="21">
        <v>3.9500734803899489</v>
      </c>
    </row>
    <row r="682" spans="2:13" x14ac:dyDescent="0.35">
      <c r="B682" s="4" t="s">
        <v>26</v>
      </c>
    </row>
    <row r="683" spans="2:13" x14ac:dyDescent="0.35">
      <c r="B683" t="str">
        <f>B678</f>
        <v>Low energy comms</v>
      </c>
      <c r="C683" t="s">
        <v>3</v>
      </c>
      <c r="D683">
        <v>0</v>
      </c>
      <c r="E683" s="1">
        <v>5</v>
      </c>
      <c r="F683" s="1">
        <v>10</v>
      </c>
      <c r="G683" s="1">
        <v>20</v>
      </c>
      <c r="H683" s="1">
        <v>30</v>
      </c>
    </row>
    <row r="684" spans="2:13" x14ac:dyDescent="0.35">
      <c r="B684" s="23" t="s">
        <v>45</v>
      </c>
      <c r="C684" t="s">
        <v>3</v>
      </c>
      <c r="D684">
        <v>0</v>
      </c>
      <c r="E684" s="1">
        <v>5</v>
      </c>
      <c r="F684" s="1">
        <v>20</v>
      </c>
      <c r="G684" s="1">
        <v>30</v>
      </c>
      <c r="H684" s="1">
        <v>40</v>
      </c>
    </row>
    <row r="685" spans="2:13" x14ac:dyDescent="0.35">
      <c r="B685" s="23" t="s">
        <v>31</v>
      </c>
      <c r="C685" t="s">
        <v>3</v>
      </c>
      <c r="D685">
        <v>0</v>
      </c>
      <c r="E685" s="1">
        <v>2</v>
      </c>
      <c r="F685" s="1">
        <v>10</v>
      </c>
      <c r="G685" s="1">
        <v>15</v>
      </c>
      <c r="H685" s="1">
        <v>20</v>
      </c>
    </row>
    <row r="686" spans="2:13" x14ac:dyDescent="0.35">
      <c r="J686" t="s">
        <v>30</v>
      </c>
    </row>
    <row r="687" spans="2:13" x14ac:dyDescent="0.35">
      <c r="B687" t="str">
        <f>B683</f>
        <v>Low energy comms</v>
      </c>
      <c r="C687" t="s">
        <v>3</v>
      </c>
      <c r="D687">
        <v>0</v>
      </c>
      <c r="E687" s="29" t="str" cm="1">
        <f t="array" ref="E687">[1]!WB(E683-E678,"&gt;=",0)</f>
        <v>=&gt;=</v>
      </c>
      <c r="F687" s="29" t="str" cm="1">
        <f t="array" ref="F687">[1]!WB(F683-F678,"&gt;=",0)</f>
        <v>&gt;=</v>
      </c>
      <c r="G687" s="29" t="str" cm="1">
        <f t="array" ref="G687">[1]!WB(G683-G678,"&gt;=",0)</f>
        <v>&gt;=</v>
      </c>
      <c r="H687" s="29" t="str" cm="1">
        <f t="array" ref="H687">[1]!WB(H683-H678,"&gt;=",0)</f>
        <v>&gt;=</v>
      </c>
      <c r="J687" s="11">
        <f>[1]!WBDUAL(E687,-36.8298087564043)</f>
        <v>-36.829808756404297</v>
      </c>
      <c r="K687" s="11">
        <f>[1]!WBDUAL(F687,0)</f>
        <v>0</v>
      </c>
      <c r="L687" s="11">
        <f>[1]!WBDUAL(G687,0)</f>
        <v>0</v>
      </c>
      <c r="M687" s="11">
        <f>[1]!WBDUAL(H687,0)</f>
        <v>0</v>
      </c>
    </row>
    <row r="688" spans="2:13" x14ac:dyDescent="0.35">
      <c r="B688" s="23" t="s">
        <v>45</v>
      </c>
      <c r="C688" t="s">
        <v>3</v>
      </c>
      <c r="D688">
        <v>0</v>
      </c>
      <c r="E688" s="29" t="str" cm="1">
        <f t="array" ref="E688">[1]!WB(E684-E679,"&gt;=",0)</f>
        <v>=&gt;=</v>
      </c>
      <c r="F688" s="29" t="str" cm="1">
        <f t="array" ref="F688">[1]!WB(F684-F679,"&gt;=",0)</f>
        <v>&gt;=</v>
      </c>
      <c r="G688" s="29" t="str" cm="1">
        <f t="array" ref="G688">[1]!WB(G684-G679,"&gt;=",0)</f>
        <v>&gt;=</v>
      </c>
      <c r="H688" s="29" t="str" cm="1">
        <f t="array" ref="H688">[1]!WB(H684-H679,"&gt;=",0)</f>
        <v>&gt;=</v>
      </c>
      <c r="J688" s="11">
        <f>[1]!WBDUAL(E688,-49.1711894829727)</f>
        <v>-49.1711894829727</v>
      </c>
      <c r="K688" s="11">
        <f>[1]!WBDUAL(F688,0)</f>
        <v>0</v>
      </c>
      <c r="L688" s="11">
        <f>[1]!WBDUAL(G688,0)</f>
        <v>0</v>
      </c>
      <c r="M688" s="11">
        <f>[1]!WBDUAL(H688,0)</f>
        <v>0</v>
      </c>
    </row>
    <row r="689" spans="2:13" x14ac:dyDescent="0.35">
      <c r="B689" s="23" t="s">
        <v>31</v>
      </c>
      <c r="C689" t="s">
        <v>3</v>
      </c>
      <c r="D689">
        <v>0</v>
      </c>
      <c r="E689" s="29" t="str" cm="1">
        <f t="array" ref="E689">[1]!WB(E685-E680,"&gt;=",0)</f>
        <v>=&gt;=</v>
      </c>
      <c r="F689" s="29" t="str" cm="1">
        <f t="array" ref="F689">[1]!WB(F685-F680,"&gt;=",0)</f>
        <v>&gt;=</v>
      </c>
      <c r="G689" s="29" t="str" cm="1">
        <f t="array" ref="G689">[1]!WB(G685-G680,"&gt;=",0)</f>
        <v>&gt;=</v>
      </c>
      <c r="H689" s="29" t="str" cm="1">
        <f t="array" ref="H689">[1]!WB(H685-H680,"&gt;=",0)</f>
        <v>&gt;=</v>
      </c>
      <c r="J689" s="11">
        <f>[1]!WBDUAL(E689,-44.6664961150255)</f>
        <v>-44.666496115025502</v>
      </c>
      <c r="K689" s="11">
        <f>[1]!WBDUAL(F689,0)</f>
        <v>0</v>
      </c>
      <c r="L689" s="11">
        <f>[1]!WBDUAL(G689,0)</f>
        <v>0</v>
      </c>
      <c r="M689" s="11">
        <f>[1]!WBDUAL(H689,0)</f>
        <v>0</v>
      </c>
    </row>
    <row r="690" spans="2:13" x14ac:dyDescent="0.35">
      <c r="E690" s="8"/>
      <c r="F690" s="8"/>
      <c r="G690" s="8"/>
      <c r="H690" s="8"/>
    </row>
    <row r="691" spans="2:13" x14ac:dyDescent="0.35">
      <c r="B691" s="4" t="s">
        <v>14</v>
      </c>
    </row>
    <row r="692" spans="2:13" x14ac:dyDescent="0.35">
      <c r="B692" t="str">
        <f>B678</f>
        <v>Low energy comms</v>
      </c>
      <c r="C692" t="s">
        <v>15</v>
      </c>
      <c r="D692">
        <v>0</v>
      </c>
      <c r="E692" s="1">
        <v>100</v>
      </c>
      <c r="F692" s="1">
        <v>88</v>
      </c>
      <c r="G692" s="1">
        <v>75</v>
      </c>
      <c r="H692" s="1">
        <v>70</v>
      </c>
    </row>
    <row r="693" spans="2:13" x14ac:dyDescent="0.35">
      <c r="B693" s="23" t="s">
        <v>45</v>
      </c>
      <c r="C693" t="s">
        <v>15</v>
      </c>
      <c r="D693">
        <v>0</v>
      </c>
      <c r="E693" s="1">
        <v>80</v>
      </c>
      <c r="F693" s="1">
        <v>80</v>
      </c>
      <c r="G693" s="1">
        <v>80</v>
      </c>
      <c r="H693" s="1">
        <v>80</v>
      </c>
    </row>
    <row r="694" spans="2:13" x14ac:dyDescent="0.35">
      <c r="B694" s="23" t="s">
        <v>31</v>
      </c>
      <c r="C694" t="s">
        <v>15</v>
      </c>
      <c r="D694">
        <v>0</v>
      </c>
      <c r="E694" s="1">
        <v>77</v>
      </c>
      <c r="F694" s="1">
        <v>77</v>
      </c>
      <c r="G694" s="1">
        <v>75</v>
      </c>
      <c r="H694" s="1">
        <v>80</v>
      </c>
    </row>
    <row r="695" spans="2:13" x14ac:dyDescent="0.35">
      <c r="B695" s="23"/>
    </row>
    <row r="696" spans="2:13" x14ac:dyDescent="0.35">
      <c r="B696" s="4" t="s">
        <v>46</v>
      </c>
    </row>
    <row r="697" spans="2:13" x14ac:dyDescent="0.35">
      <c r="B697" t="str">
        <f>B692</f>
        <v>Low energy comms</v>
      </c>
      <c r="C697" t="s">
        <v>18</v>
      </c>
      <c r="D697">
        <v>5</v>
      </c>
      <c r="E697" s="1">
        <v>6</v>
      </c>
      <c r="F697" s="1">
        <v>6</v>
      </c>
      <c r="G697" s="1">
        <v>6</v>
      </c>
      <c r="H697" s="1">
        <v>6</v>
      </c>
    </row>
    <row r="698" spans="2:13" x14ac:dyDescent="0.35">
      <c r="B698" s="23" t="s">
        <v>45</v>
      </c>
      <c r="C698" t="s">
        <v>18</v>
      </c>
      <c r="D698">
        <v>5</v>
      </c>
      <c r="E698" s="1">
        <v>10</v>
      </c>
      <c r="F698" s="1">
        <v>10</v>
      </c>
      <c r="G698" s="1">
        <v>10</v>
      </c>
      <c r="H698" s="1">
        <v>10</v>
      </c>
    </row>
    <row r="699" spans="2:13" x14ac:dyDescent="0.35">
      <c r="B699" s="23" t="s">
        <v>31</v>
      </c>
      <c r="C699" t="s">
        <v>18</v>
      </c>
      <c r="D699">
        <v>5</v>
      </c>
      <c r="E699" s="1">
        <v>5</v>
      </c>
      <c r="F699" s="1">
        <v>5</v>
      </c>
      <c r="G699" s="1">
        <v>5</v>
      </c>
      <c r="H699" s="1">
        <v>5</v>
      </c>
    </row>
    <row r="700" spans="2:13" x14ac:dyDescent="0.35">
      <c r="B700" s="23"/>
    </row>
    <row r="701" spans="2:13" x14ac:dyDescent="0.35">
      <c r="B701" s="9" t="s">
        <v>16</v>
      </c>
    </row>
    <row r="702" spans="2:13" x14ac:dyDescent="0.35">
      <c r="B702" t="str">
        <f>B678</f>
        <v>Low energy comms</v>
      </c>
      <c r="C702" t="s">
        <v>15</v>
      </c>
      <c r="D702">
        <v>0</v>
      </c>
      <c r="E702" s="28">
        <f t="shared" ref="E702:H704" si="67">PMT(E$80,E697,-E692)</f>
        <v>19.701746811018829</v>
      </c>
      <c r="F702" s="28">
        <f t="shared" si="67"/>
        <v>17.337537193696569</v>
      </c>
      <c r="G702" s="28">
        <f t="shared" si="67"/>
        <v>14.776310108264122</v>
      </c>
      <c r="H702" s="28">
        <f t="shared" si="67"/>
        <v>13.79122276771318</v>
      </c>
    </row>
    <row r="703" spans="2:13" x14ac:dyDescent="0.35">
      <c r="B703" s="23" t="s">
        <v>45</v>
      </c>
      <c r="C703" t="s">
        <v>15</v>
      </c>
      <c r="D703">
        <v>0</v>
      </c>
      <c r="E703" s="28">
        <f t="shared" si="67"/>
        <v>10.360365997236533</v>
      </c>
      <c r="F703" s="28">
        <f t="shared" si="67"/>
        <v>10.360365997236533</v>
      </c>
      <c r="G703" s="28">
        <f t="shared" si="67"/>
        <v>10.360365997236533</v>
      </c>
      <c r="H703" s="28">
        <f t="shared" si="67"/>
        <v>10.360365997236533</v>
      </c>
    </row>
    <row r="704" spans="2:13" x14ac:dyDescent="0.35">
      <c r="B704" s="23" t="s">
        <v>31</v>
      </c>
      <c r="C704" t="s">
        <v>15</v>
      </c>
      <c r="D704">
        <v>0</v>
      </c>
      <c r="E704" s="28">
        <f t="shared" si="67"/>
        <v>17.785059455876645</v>
      </c>
      <c r="F704" s="28">
        <f t="shared" si="67"/>
        <v>17.785059455876645</v>
      </c>
      <c r="G704" s="28">
        <f t="shared" si="67"/>
        <v>17.323109859620111</v>
      </c>
      <c r="H704" s="28">
        <f t="shared" si="67"/>
        <v>18.477983850261449</v>
      </c>
    </row>
    <row r="705" spans="2:8" x14ac:dyDescent="0.35">
      <c r="B705" s="23"/>
    </row>
    <row r="706" spans="2:8" x14ac:dyDescent="0.35">
      <c r="B706" s="4" t="s">
        <v>20</v>
      </c>
    </row>
    <row r="707" spans="2:8" x14ac:dyDescent="0.35">
      <c r="B707" t="str">
        <f>B678</f>
        <v>Low energy comms</v>
      </c>
      <c r="C707" t="s">
        <v>6</v>
      </c>
      <c r="D707">
        <v>0</v>
      </c>
      <c r="E707" s="3">
        <v>0.01</v>
      </c>
      <c r="F707" s="3">
        <v>0.01</v>
      </c>
      <c r="G707" s="3">
        <v>0.01</v>
      </c>
      <c r="H707" s="3">
        <v>0.01</v>
      </c>
    </row>
    <row r="708" spans="2:8" x14ac:dyDescent="0.35">
      <c r="B708" s="23" t="s">
        <v>45</v>
      </c>
      <c r="C708" t="s">
        <v>6</v>
      </c>
      <c r="D708">
        <v>0</v>
      </c>
      <c r="E708" s="3">
        <v>0.01</v>
      </c>
      <c r="F708" s="3">
        <v>0.01</v>
      </c>
      <c r="G708" s="3">
        <v>0.01</v>
      </c>
      <c r="H708" s="3">
        <v>0.01</v>
      </c>
    </row>
    <row r="709" spans="2:8" x14ac:dyDescent="0.35">
      <c r="B709" s="23" t="s">
        <v>31</v>
      </c>
      <c r="C709" t="s">
        <v>6</v>
      </c>
      <c r="D709">
        <v>0</v>
      </c>
      <c r="E709" s="3">
        <v>0.01</v>
      </c>
      <c r="F709" s="3">
        <v>0.01</v>
      </c>
      <c r="G709" s="3">
        <v>0.01</v>
      </c>
      <c r="H709" s="3">
        <v>0.01</v>
      </c>
    </row>
    <row r="711" spans="2:8" x14ac:dyDescent="0.35">
      <c r="B711" s="4" t="s">
        <v>17</v>
      </c>
    </row>
    <row r="712" spans="2:8" x14ac:dyDescent="0.35">
      <c r="B712" t="str">
        <f>B707</f>
        <v>Low energy comms</v>
      </c>
      <c r="C712" t="s">
        <v>15</v>
      </c>
      <c r="E712">
        <f t="shared" ref="E712:H714" si="68">E707*E692*E678</f>
        <v>5</v>
      </c>
      <c r="F712">
        <f t="shared" si="68"/>
        <v>4.7527568366638251</v>
      </c>
      <c r="G712">
        <f t="shared" si="68"/>
        <v>5.4062727095880083</v>
      </c>
      <c r="H712">
        <f t="shared" si="68"/>
        <v>6.0034393259987624</v>
      </c>
    </row>
    <row r="713" spans="2:8" x14ac:dyDescent="0.35">
      <c r="B713" t="str">
        <f>B708</f>
        <v>Smart controls</v>
      </c>
      <c r="C713" t="s">
        <v>15</v>
      </c>
      <c r="E713">
        <f t="shared" si="68"/>
        <v>4</v>
      </c>
      <c r="F713">
        <f t="shared" si="68"/>
        <v>8.7413424207658323</v>
      </c>
      <c r="G713">
        <f t="shared" si="68"/>
        <v>8.1142447597466969</v>
      </c>
      <c r="H713">
        <f t="shared" si="68"/>
        <v>8.2188677002608816</v>
      </c>
    </row>
    <row r="714" spans="2:8" x14ac:dyDescent="0.35">
      <c r="B714" t="str">
        <f>B709</f>
        <v>Others</v>
      </c>
      <c r="C714" t="s">
        <v>15</v>
      </c>
      <c r="E714">
        <f t="shared" si="68"/>
        <v>1.54</v>
      </c>
      <c r="F714">
        <f t="shared" si="68"/>
        <v>4.028995687932035</v>
      </c>
      <c r="G714">
        <f t="shared" si="68"/>
        <v>3.63287282814946</v>
      </c>
      <c r="H714">
        <f t="shared" si="68"/>
        <v>3.1600587843119592</v>
      </c>
    </row>
    <row r="716" spans="2:8" x14ac:dyDescent="0.35">
      <c r="B716" s="4" t="s">
        <v>22</v>
      </c>
      <c r="D716" s="6"/>
      <c r="E716" s="6"/>
      <c r="F716" s="6"/>
      <c r="G716" s="6"/>
      <c r="H716" s="6"/>
    </row>
    <row r="717" spans="2:8" x14ac:dyDescent="0.35">
      <c r="B717" t="str">
        <f>B692</f>
        <v>Low energy comms</v>
      </c>
      <c r="C717" t="s">
        <v>15</v>
      </c>
      <c r="D717" s="6"/>
      <c r="E717" s="27">
        <v>1</v>
      </c>
      <c r="F717" s="27">
        <v>1</v>
      </c>
      <c r="G717" s="27">
        <v>1</v>
      </c>
      <c r="H717" s="27">
        <v>1</v>
      </c>
    </row>
    <row r="718" spans="2:8" x14ac:dyDescent="0.35">
      <c r="B718" t="s">
        <v>45</v>
      </c>
      <c r="C718" t="s">
        <v>15</v>
      </c>
      <c r="E718" s="1">
        <v>0</v>
      </c>
      <c r="F718" s="1">
        <v>0</v>
      </c>
      <c r="G718" s="1">
        <v>0</v>
      </c>
      <c r="H718" s="1">
        <v>0</v>
      </c>
    </row>
    <row r="719" spans="2:8" x14ac:dyDescent="0.35">
      <c r="B719" t="s">
        <v>31</v>
      </c>
      <c r="C719" t="s">
        <v>15</v>
      </c>
      <c r="E719" s="1">
        <v>2</v>
      </c>
      <c r="F719" s="1">
        <v>2</v>
      </c>
      <c r="G719" s="1">
        <v>2</v>
      </c>
      <c r="H719" s="1">
        <v>2</v>
      </c>
    </row>
    <row r="721" spans="2:13" x14ac:dyDescent="0.35">
      <c r="B721" s="4" t="s">
        <v>25</v>
      </c>
      <c r="J721" t="s">
        <v>82</v>
      </c>
    </row>
    <row r="722" spans="2:13" x14ac:dyDescent="0.35">
      <c r="B722" t="str">
        <f>B717</f>
        <v>Low energy comms</v>
      </c>
      <c r="C722" t="s">
        <v>15</v>
      </c>
      <c r="E722" s="41">
        <f t="shared" ref="E722:H724" si="69">E702+E712+E717</f>
        <v>25.701746811018829</v>
      </c>
      <c r="F722" s="41">
        <f t="shared" si="69"/>
        <v>23.090294030360393</v>
      </c>
      <c r="G722" s="41">
        <f t="shared" si="69"/>
        <v>21.182582817852129</v>
      </c>
      <c r="H722" s="41">
        <f t="shared" si="69"/>
        <v>20.794662093711942</v>
      </c>
      <c r="J722" s="42">
        <f t="shared" ref="J722:M724" si="70">IF(E678&gt;0,E722,"-")</f>
        <v>25.701746811018829</v>
      </c>
      <c r="K722" s="42">
        <f t="shared" si="70"/>
        <v>23.090294030360393</v>
      </c>
      <c r="L722" s="42">
        <f t="shared" si="70"/>
        <v>21.182582817852129</v>
      </c>
      <c r="M722" s="42">
        <f t="shared" si="70"/>
        <v>20.794662093711942</v>
      </c>
    </row>
    <row r="723" spans="2:13" x14ac:dyDescent="0.35">
      <c r="B723" t="str">
        <f>B718</f>
        <v>Smart controls</v>
      </c>
      <c r="C723" t="s">
        <v>15</v>
      </c>
      <c r="E723" s="41">
        <f t="shared" si="69"/>
        <v>14.360365997236533</v>
      </c>
      <c r="F723" s="41">
        <f t="shared" si="69"/>
        <v>19.101708418002367</v>
      </c>
      <c r="G723" s="41">
        <f t="shared" si="69"/>
        <v>18.474610756983232</v>
      </c>
      <c r="H723" s="41">
        <f t="shared" si="69"/>
        <v>18.579233697497415</v>
      </c>
      <c r="J723" s="42">
        <f t="shared" si="70"/>
        <v>14.360365997236533</v>
      </c>
      <c r="K723" s="42">
        <f t="shared" si="70"/>
        <v>19.101708418002367</v>
      </c>
      <c r="L723" s="42">
        <f t="shared" si="70"/>
        <v>18.474610756983232</v>
      </c>
      <c r="M723" s="42">
        <f t="shared" si="70"/>
        <v>18.579233697497415</v>
      </c>
    </row>
    <row r="724" spans="2:13" x14ac:dyDescent="0.35">
      <c r="B724" t="str">
        <f>B719</f>
        <v>Others</v>
      </c>
      <c r="C724" t="s">
        <v>15</v>
      </c>
      <c r="D724" s="5"/>
      <c r="E724" s="41">
        <f t="shared" si="69"/>
        <v>21.325059455876644</v>
      </c>
      <c r="F724" s="41">
        <f t="shared" si="69"/>
        <v>23.81405514380868</v>
      </c>
      <c r="G724" s="41">
        <f t="shared" si="69"/>
        <v>22.95598268776957</v>
      </c>
      <c r="H724" s="41">
        <f t="shared" si="69"/>
        <v>23.638042634573409</v>
      </c>
      <c r="J724" s="42">
        <f t="shared" si="70"/>
        <v>21.325059455876644</v>
      </c>
      <c r="K724" s="42">
        <f t="shared" si="70"/>
        <v>23.81405514380868</v>
      </c>
      <c r="L724" s="42">
        <f t="shared" si="70"/>
        <v>22.95598268776957</v>
      </c>
      <c r="M724" s="42">
        <f t="shared" si="70"/>
        <v>23.638042634573409</v>
      </c>
    </row>
    <row r="725" spans="2:13" x14ac:dyDescent="0.35">
      <c r="D725" s="5"/>
      <c r="E725" s="5"/>
      <c r="F725" s="5"/>
      <c r="G725" s="5"/>
      <c r="H725" s="5"/>
      <c r="I725">
        <f>SUMPRODUCT(E678:H680,E722:H724)</f>
        <v>1614.8529894320309</v>
      </c>
    </row>
    <row r="727" spans="2:13" x14ac:dyDescent="0.35">
      <c r="B727" s="37" t="s">
        <v>41</v>
      </c>
      <c r="C727" s="35"/>
      <c r="D727" s="35">
        <v>2020</v>
      </c>
      <c r="E727" s="35">
        <v>2025</v>
      </c>
      <c r="F727" s="35">
        <v>2030</v>
      </c>
      <c r="G727" s="35">
        <v>2035</v>
      </c>
      <c r="H727" s="35">
        <v>2040</v>
      </c>
    </row>
    <row r="728" spans="2:13" x14ac:dyDescent="0.35">
      <c r="B728" s="36"/>
      <c r="C728" s="33"/>
      <c r="D728" s="33"/>
      <c r="E728" s="33"/>
      <c r="F728" s="33"/>
      <c r="G728" s="33"/>
      <c r="H728" s="33"/>
    </row>
    <row r="729" spans="2:13" ht="15" thickBot="1" x14ac:dyDescent="0.4">
      <c r="B729" s="4" t="s">
        <v>10</v>
      </c>
      <c r="C729" t="s">
        <v>3</v>
      </c>
      <c r="D729">
        <f>SUM(D730:D732)</f>
        <v>0</v>
      </c>
      <c r="E729">
        <f>SUM(E730:E732)</f>
        <v>12</v>
      </c>
      <c r="F729">
        <f>SUM(F730:F732)</f>
        <v>40</v>
      </c>
      <c r="G729">
        <f>SUM(G730:G732)</f>
        <v>65</v>
      </c>
      <c r="H729">
        <f>SUM(H730:H732)</f>
        <v>84.353631822668802</v>
      </c>
    </row>
    <row r="730" spans="2:13" x14ac:dyDescent="0.35">
      <c r="B730" s="38" t="s">
        <v>68</v>
      </c>
      <c r="C730" t="s">
        <v>3</v>
      </c>
      <c r="D730">
        <v>0</v>
      </c>
      <c r="E730" s="13">
        <v>5</v>
      </c>
      <c r="F730" s="14">
        <v>10</v>
      </c>
      <c r="G730" s="14">
        <v>20</v>
      </c>
      <c r="H730" s="15">
        <v>30</v>
      </c>
    </row>
    <row r="731" spans="2:13" x14ac:dyDescent="0.35">
      <c r="B731" s="39" t="s">
        <v>45</v>
      </c>
      <c r="C731" t="s">
        <v>3</v>
      </c>
      <c r="D731">
        <v>0</v>
      </c>
      <c r="E731" s="16">
        <v>5</v>
      </c>
      <c r="F731" s="17">
        <v>20</v>
      </c>
      <c r="G731" s="17">
        <v>30</v>
      </c>
      <c r="H731" s="18">
        <v>34.353631822668795</v>
      </c>
    </row>
    <row r="732" spans="2:13" ht="15" thickBot="1" x14ac:dyDescent="0.4">
      <c r="B732" s="39" t="s">
        <v>31</v>
      </c>
      <c r="C732" t="s">
        <v>3</v>
      </c>
      <c r="D732">
        <v>0</v>
      </c>
      <c r="E732" s="19">
        <v>2</v>
      </c>
      <c r="F732" s="20">
        <v>10</v>
      </c>
      <c r="G732" s="20">
        <v>15</v>
      </c>
      <c r="H732" s="21">
        <v>20</v>
      </c>
    </row>
    <row r="734" spans="2:13" x14ac:dyDescent="0.35">
      <c r="B734" s="4" t="s">
        <v>26</v>
      </c>
    </row>
    <row r="735" spans="2:13" x14ac:dyDescent="0.35">
      <c r="B735" t="str">
        <f>B730</f>
        <v>Low energy comms</v>
      </c>
      <c r="C735" t="s">
        <v>3</v>
      </c>
      <c r="D735">
        <v>0</v>
      </c>
      <c r="E735" s="1">
        <v>5</v>
      </c>
      <c r="F735" s="1">
        <v>10</v>
      </c>
      <c r="G735" s="1">
        <v>20</v>
      </c>
      <c r="H735" s="1">
        <v>30</v>
      </c>
    </row>
    <row r="736" spans="2:13" x14ac:dyDescent="0.35">
      <c r="B736" s="23" t="s">
        <v>45</v>
      </c>
      <c r="C736" t="s">
        <v>3</v>
      </c>
      <c r="D736">
        <v>0</v>
      </c>
      <c r="E736" s="1">
        <v>5</v>
      </c>
      <c r="F736" s="1">
        <v>20</v>
      </c>
      <c r="G736" s="1">
        <v>30</v>
      </c>
      <c r="H736" s="1">
        <v>40</v>
      </c>
    </row>
    <row r="737" spans="2:13" x14ac:dyDescent="0.35">
      <c r="B737" s="23" t="s">
        <v>31</v>
      </c>
      <c r="C737" t="s">
        <v>3</v>
      </c>
      <c r="D737">
        <v>0</v>
      </c>
      <c r="E737" s="1">
        <v>2</v>
      </c>
      <c r="F737" s="1">
        <v>10</v>
      </c>
      <c r="G737" s="1">
        <v>15</v>
      </c>
      <c r="H737" s="1">
        <v>20</v>
      </c>
    </row>
    <row r="738" spans="2:13" x14ac:dyDescent="0.35">
      <c r="J738" t="s">
        <v>30</v>
      </c>
    </row>
    <row r="739" spans="2:13" x14ac:dyDescent="0.35">
      <c r="B739" t="str">
        <f>B735</f>
        <v>Low energy comms</v>
      </c>
      <c r="C739" t="s">
        <v>3</v>
      </c>
      <c r="D739">
        <v>0</v>
      </c>
      <c r="E739" s="29" t="str" cm="1">
        <f t="array" ref="E739">[1]!WB(E735-E730,"&gt;=",0)</f>
        <v>=&gt;=</v>
      </c>
      <c r="F739" s="29" t="str" cm="1">
        <f t="array" ref="F739">[1]!WB(F735-F730,"&gt;=",0)</f>
        <v>=&gt;=</v>
      </c>
      <c r="G739" s="29" t="str" cm="1">
        <f t="array" ref="G739">[1]!WB(G735-G730,"&gt;=",0)</f>
        <v>=&gt;=</v>
      </c>
      <c r="H739" s="29" t="str" cm="1">
        <f t="array" ref="H739">[1]!WB(H735-H730,"&gt;=",0)</f>
        <v>=&gt;=</v>
      </c>
      <c r="J739" s="11">
        <f>[1]!WBDUAL(E739,-36.8298089736897)</f>
        <v>-36.829808973689701</v>
      </c>
      <c r="K739" s="11">
        <f>[1]!WBDUAL(F739,-23.7142850841421)</f>
        <v>-23.714285084142102</v>
      </c>
      <c r="L739" s="11">
        <f>[1]!WBDUAL(G739,-16.6662509746363)</f>
        <v>-16.666250974636299</v>
      </c>
      <c r="M739" s="11">
        <f>[1]!WBDUAL(H739,-8.53495413289204)</f>
        <v>-8.5349541328920395</v>
      </c>
    </row>
    <row r="740" spans="2:13" x14ac:dyDescent="0.35">
      <c r="B740" s="23" t="s">
        <v>45</v>
      </c>
      <c r="C740" t="s">
        <v>3</v>
      </c>
      <c r="D740">
        <v>0</v>
      </c>
      <c r="E740" s="29" t="str" cm="1">
        <f t="array" ref="E740">[1]!WB(E736-E731,"&gt;=",0)</f>
        <v>=&gt;=</v>
      </c>
      <c r="F740" s="29" t="str" cm="1">
        <f t="array" ref="F740">[1]!WB(F736-F731,"&gt;=",0)</f>
        <v>=&gt;=</v>
      </c>
      <c r="G740" s="29" t="str" cm="1">
        <f t="array" ref="G740">[1]!WB(G736-G731,"&gt;=",0)</f>
        <v>=&gt;=</v>
      </c>
      <c r="H740" s="29" t="str" cm="1">
        <f t="array" ref="H740">[1]!WB(H736-H731,"&gt;=",0)</f>
        <v>&gt;=</v>
      </c>
      <c r="J740" s="11">
        <f>[1]!WBDUAL(E740,-49.1711892504068)</f>
        <v>-49.171189250406798</v>
      </c>
      <c r="K740" s="11">
        <f>[1]!WBDUAL(F740,-17.2914563525074)</f>
        <v>-17.291456352507399</v>
      </c>
      <c r="L740" s="11">
        <f>[1]!WBDUAL(G740,-4.08219517966217)</f>
        <v>-4.08219517966217</v>
      </c>
      <c r="M740" s="11">
        <f>[1]!WBDUAL(H740,-6.26665439540374E-08)</f>
        <v>-6.26665439540374E-8</v>
      </c>
    </row>
    <row r="741" spans="2:13" x14ac:dyDescent="0.35">
      <c r="B741" s="23" t="s">
        <v>31</v>
      </c>
      <c r="C741" t="s">
        <v>3</v>
      </c>
      <c r="D741">
        <v>0</v>
      </c>
      <c r="E741" s="29" t="str" cm="1">
        <f t="array" ref="E741">[1]!WB(E737-E732,"&gt;=",0)</f>
        <v>=&gt;=</v>
      </c>
      <c r="F741" s="29" t="str" cm="1">
        <f t="array" ref="F741">[1]!WB(F737-F732,"&gt;=",0)</f>
        <v>=&gt;=</v>
      </c>
      <c r="G741" s="29" t="str" cm="1">
        <f t="array" ref="G741">[1]!WB(G737-G732,"&gt;=",0)</f>
        <v>=&gt;=</v>
      </c>
      <c r="H741" s="29" t="str" cm="1">
        <f t="array" ref="H741">[1]!WB(H737-H732,"&gt;=",0)</f>
        <v>=&gt;=</v>
      </c>
      <c r="J741" s="11">
        <f>[1]!WBDUAL(E741,-44.6664968464062)</f>
        <v>-44.666496846406197</v>
      </c>
      <c r="K741" s="11">
        <f>[1]!WBDUAL(F741,-24.466762781153)</f>
        <v>-24.466762781153001</v>
      </c>
      <c r="L741" s="11">
        <f>[1]!WBDUAL(G741,-20.61945142452)</f>
        <v>-20.619451424520001</v>
      </c>
      <c r="M741" s="11">
        <f>[1]!WBDUAL(H741,-12.8481930440733)</f>
        <v>-12.8481930440733</v>
      </c>
    </row>
    <row r="742" spans="2:13" x14ac:dyDescent="0.35">
      <c r="E742" s="8"/>
      <c r="F742" s="8"/>
      <c r="G742" s="8"/>
      <c r="H742" s="8"/>
    </row>
    <row r="743" spans="2:13" x14ac:dyDescent="0.35">
      <c r="B743" s="4" t="s">
        <v>14</v>
      </c>
    </row>
    <row r="744" spans="2:13" x14ac:dyDescent="0.35">
      <c r="B744" t="str">
        <f>B730</f>
        <v>Low energy comms</v>
      </c>
      <c r="C744" t="s">
        <v>15</v>
      </c>
      <c r="D744">
        <v>0</v>
      </c>
      <c r="E744" s="1">
        <v>100</v>
      </c>
      <c r="F744" s="1">
        <v>88</v>
      </c>
      <c r="G744" s="1">
        <v>75</v>
      </c>
      <c r="H744" s="1">
        <v>70</v>
      </c>
    </row>
    <row r="745" spans="2:13" x14ac:dyDescent="0.35">
      <c r="B745" s="23" t="s">
        <v>45</v>
      </c>
      <c r="C745" t="s">
        <v>15</v>
      </c>
      <c r="D745">
        <v>0</v>
      </c>
      <c r="E745" s="1">
        <v>80</v>
      </c>
      <c r="F745" s="1">
        <v>80</v>
      </c>
      <c r="G745" s="1">
        <v>80</v>
      </c>
      <c r="H745" s="1">
        <v>80</v>
      </c>
    </row>
    <row r="746" spans="2:13" x14ac:dyDescent="0.35">
      <c r="B746" s="23" t="s">
        <v>31</v>
      </c>
      <c r="C746" t="s">
        <v>15</v>
      </c>
      <c r="D746">
        <v>0</v>
      </c>
      <c r="E746" s="1">
        <v>77</v>
      </c>
      <c r="F746" s="1">
        <v>77</v>
      </c>
      <c r="G746" s="1">
        <v>75</v>
      </c>
      <c r="H746" s="1">
        <v>80</v>
      </c>
    </row>
    <row r="747" spans="2:13" x14ac:dyDescent="0.35">
      <c r="B747" s="23"/>
    </row>
    <row r="748" spans="2:13" x14ac:dyDescent="0.35">
      <c r="B748" s="4" t="s">
        <v>46</v>
      </c>
    </row>
    <row r="749" spans="2:13" x14ac:dyDescent="0.35">
      <c r="B749" t="str">
        <f>B744</f>
        <v>Low energy comms</v>
      </c>
      <c r="C749" t="s">
        <v>18</v>
      </c>
      <c r="D749">
        <v>5</v>
      </c>
      <c r="E749" s="1">
        <v>6</v>
      </c>
      <c r="F749" s="1">
        <v>6</v>
      </c>
      <c r="G749" s="1">
        <v>6</v>
      </c>
      <c r="H749" s="1">
        <v>6</v>
      </c>
    </row>
    <row r="750" spans="2:13" x14ac:dyDescent="0.35">
      <c r="B750" s="23" t="s">
        <v>45</v>
      </c>
      <c r="C750" t="s">
        <v>18</v>
      </c>
      <c r="D750">
        <v>5</v>
      </c>
      <c r="E750" s="1">
        <v>10</v>
      </c>
      <c r="F750" s="1">
        <v>10</v>
      </c>
      <c r="G750" s="1">
        <v>10</v>
      </c>
      <c r="H750" s="1">
        <v>10</v>
      </c>
    </row>
    <row r="751" spans="2:13" x14ac:dyDescent="0.35">
      <c r="B751" s="23" t="s">
        <v>31</v>
      </c>
      <c r="C751" t="s">
        <v>18</v>
      </c>
      <c r="D751">
        <v>5</v>
      </c>
      <c r="E751" s="1">
        <v>5</v>
      </c>
      <c r="F751" s="1">
        <v>5</v>
      </c>
      <c r="G751" s="1">
        <v>5</v>
      </c>
      <c r="H751" s="1">
        <v>5</v>
      </c>
    </row>
    <row r="752" spans="2:13" x14ac:dyDescent="0.35">
      <c r="B752" s="23"/>
    </row>
    <row r="753" spans="2:8" x14ac:dyDescent="0.35">
      <c r="B753" s="9" t="s">
        <v>16</v>
      </c>
    </row>
    <row r="754" spans="2:8" x14ac:dyDescent="0.35">
      <c r="B754" t="str">
        <f>B730</f>
        <v>Low energy comms</v>
      </c>
      <c r="C754" t="s">
        <v>15</v>
      </c>
      <c r="D754">
        <v>0</v>
      </c>
      <c r="E754" s="28">
        <f t="shared" ref="E754:H756" si="71">PMT(E$80,E749,-E744)</f>
        <v>19.701746811018829</v>
      </c>
      <c r="F754" s="28">
        <f t="shared" si="71"/>
        <v>17.337537193696569</v>
      </c>
      <c r="G754" s="28">
        <f t="shared" si="71"/>
        <v>14.776310108264122</v>
      </c>
      <c r="H754" s="28">
        <f t="shared" si="71"/>
        <v>13.79122276771318</v>
      </c>
    </row>
    <row r="755" spans="2:8" x14ac:dyDescent="0.35">
      <c r="B755" s="23" t="s">
        <v>45</v>
      </c>
      <c r="C755" t="s">
        <v>15</v>
      </c>
      <c r="D755">
        <v>0</v>
      </c>
      <c r="E755" s="28">
        <f t="shared" si="71"/>
        <v>10.360365997236533</v>
      </c>
      <c r="F755" s="28">
        <f t="shared" si="71"/>
        <v>10.360365997236533</v>
      </c>
      <c r="G755" s="28">
        <f t="shared" si="71"/>
        <v>10.360365997236533</v>
      </c>
      <c r="H755" s="28">
        <f t="shared" si="71"/>
        <v>10.360365997236533</v>
      </c>
    </row>
    <row r="756" spans="2:8" x14ac:dyDescent="0.35">
      <c r="B756" s="23" t="s">
        <v>31</v>
      </c>
      <c r="C756" t="s">
        <v>15</v>
      </c>
      <c r="D756">
        <v>0</v>
      </c>
      <c r="E756" s="28">
        <f t="shared" si="71"/>
        <v>17.785059455876645</v>
      </c>
      <c r="F756" s="28">
        <f t="shared" si="71"/>
        <v>17.785059455876645</v>
      </c>
      <c r="G756" s="28">
        <f t="shared" si="71"/>
        <v>17.323109859620111</v>
      </c>
      <c r="H756" s="28">
        <f t="shared" si="71"/>
        <v>18.477983850261449</v>
      </c>
    </row>
    <row r="757" spans="2:8" x14ac:dyDescent="0.35">
      <c r="B757" s="23"/>
    </row>
    <row r="758" spans="2:8" x14ac:dyDescent="0.35">
      <c r="B758" s="4" t="s">
        <v>20</v>
      </c>
    </row>
    <row r="759" spans="2:8" x14ac:dyDescent="0.35">
      <c r="B759" t="str">
        <f>B730</f>
        <v>Low energy comms</v>
      </c>
      <c r="C759" t="s">
        <v>6</v>
      </c>
      <c r="D759">
        <v>0</v>
      </c>
      <c r="E759" s="3">
        <v>0.01</v>
      </c>
      <c r="F759" s="3">
        <v>0.01</v>
      </c>
      <c r="G759" s="3">
        <v>0.01</v>
      </c>
      <c r="H759" s="3">
        <v>0.01</v>
      </c>
    </row>
    <row r="760" spans="2:8" x14ac:dyDescent="0.35">
      <c r="B760" s="23" t="s">
        <v>45</v>
      </c>
      <c r="C760" t="s">
        <v>6</v>
      </c>
      <c r="D760">
        <v>0</v>
      </c>
      <c r="E760" s="3">
        <v>0.01</v>
      </c>
      <c r="F760" s="3">
        <v>0.01</v>
      </c>
      <c r="G760" s="3">
        <v>0.01</v>
      </c>
      <c r="H760" s="3">
        <v>0.01</v>
      </c>
    </row>
    <row r="761" spans="2:8" x14ac:dyDescent="0.35">
      <c r="B761" s="23" t="s">
        <v>31</v>
      </c>
      <c r="C761" t="s">
        <v>6</v>
      </c>
      <c r="D761">
        <v>0</v>
      </c>
      <c r="E761" s="3">
        <v>0.01</v>
      </c>
      <c r="F761" s="3">
        <v>0.01</v>
      </c>
      <c r="G761" s="3">
        <v>0.01</v>
      </c>
      <c r="H761" s="3">
        <v>0.01</v>
      </c>
    </row>
    <row r="763" spans="2:8" x14ac:dyDescent="0.35">
      <c r="B763" s="4" t="s">
        <v>17</v>
      </c>
    </row>
    <row r="764" spans="2:8" x14ac:dyDescent="0.35">
      <c r="B764" t="str">
        <f>B759</f>
        <v>Low energy comms</v>
      </c>
      <c r="C764" t="s">
        <v>15</v>
      </c>
      <c r="E764">
        <f t="shared" ref="E764:H766" si="72">E759*E744*E730</f>
        <v>5</v>
      </c>
      <c r="F764">
        <f t="shared" si="72"/>
        <v>8.8000000000000007</v>
      </c>
      <c r="G764">
        <f t="shared" si="72"/>
        <v>15</v>
      </c>
      <c r="H764">
        <f t="shared" si="72"/>
        <v>21.000000000000004</v>
      </c>
    </row>
    <row r="765" spans="2:8" x14ac:dyDescent="0.35">
      <c r="B765" t="str">
        <f>B760</f>
        <v>Smart controls</v>
      </c>
      <c r="C765" t="s">
        <v>15</v>
      </c>
      <c r="E765">
        <f t="shared" si="72"/>
        <v>4</v>
      </c>
      <c r="F765">
        <f t="shared" si="72"/>
        <v>16</v>
      </c>
      <c r="G765">
        <f t="shared" si="72"/>
        <v>24</v>
      </c>
      <c r="H765">
        <f t="shared" si="72"/>
        <v>27.482905458135036</v>
      </c>
    </row>
    <row r="766" spans="2:8" x14ac:dyDescent="0.35">
      <c r="B766" t="str">
        <f>B761</f>
        <v>Others</v>
      </c>
      <c r="C766" t="s">
        <v>15</v>
      </c>
      <c r="E766">
        <f t="shared" si="72"/>
        <v>1.54</v>
      </c>
      <c r="F766">
        <f t="shared" si="72"/>
        <v>7.7</v>
      </c>
      <c r="G766">
        <f t="shared" si="72"/>
        <v>11.25</v>
      </c>
      <c r="H766">
        <f t="shared" si="72"/>
        <v>16</v>
      </c>
    </row>
    <row r="768" spans="2:8" x14ac:dyDescent="0.35">
      <c r="B768" s="4" t="s">
        <v>22</v>
      </c>
      <c r="D768" s="6"/>
      <c r="E768" s="6"/>
      <c r="F768" s="6"/>
      <c r="G768" s="6"/>
      <c r="H768" s="6"/>
    </row>
    <row r="769" spans="2:13" x14ac:dyDescent="0.35">
      <c r="B769" t="str">
        <f>B744</f>
        <v>Low energy comms</v>
      </c>
      <c r="C769" t="s">
        <v>15</v>
      </c>
      <c r="D769" s="6"/>
      <c r="E769" s="27">
        <v>1</v>
      </c>
      <c r="F769" s="27">
        <v>1</v>
      </c>
      <c r="G769" s="27">
        <v>1</v>
      </c>
      <c r="H769" s="27">
        <v>1</v>
      </c>
    </row>
    <row r="770" spans="2:13" x14ac:dyDescent="0.35">
      <c r="B770" t="s">
        <v>45</v>
      </c>
      <c r="C770" t="s">
        <v>15</v>
      </c>
      <c r="E770" s="1">
        <v>0</v>
      </c>
      <c r="F770" s="1">
        <v>0</v>
      </c>
      <c r="G770" s="1">
        <v>0</v>
      </c>
      <c r="H770" s="1">
        <v>0</v>
      </c>
    </row>
    <row r="771" spans="2:13" x14ac:dyDescent="0.35">
      <c r="B771" t="s">
        <v>31</v>
      </c>
      <c r="C771" t="s">
        <v>15</v>
      </c>
      <c r="E771" s="1">
        <v>2</v>
      </c>
      <c r="F771" s="1">
        <v>2</v>
      </c>
      <c r="G771" s="1">
        <v>2</v>
      </c>
      <c r="H771" s="1">
        <v>2</v>
      </c>
    </row>
    <row r="773" spans="2:13" x14ac:dyDescent="0.35">
      <c r="B773" s="4" t="s">
        <v>25</v>
      </c>
      <c r="J773" t="s">
        <v>82</v>
      </c>
    </row>
    <row r="774" spans="2:13" x14ac:dyDescent="0.35">
      <c r="B774" t="str">
        <f>B769</f>
        <v>Low energy comms</v>
      </c>
      <c r="C774" t="s">
        <v>15</v>
      </c>
      <c r="E774" s="41">
        <f t="shared" ref="E774:H776" si="73">E754+E764+E769</f>
        <v>25.701746811018829</v>
      </c>
      <c r="F774" s="41">
        <f t="shared" si="73"/>
        <v>27.13753719369657</v>
      </c>
      <c r="G774" s="41">
        <f t="shared" si="73"/>
        <v>30.77631010826412</v>
      </c>
      <c r="H774" s="41">
        <f t="shared" si="73"/>
        <v>35.79122276771318</v>
      </c>
      <c r="J774" s="42">
        <f t="shared" ref="J774:M776" si="74">IF(E730&gt;0,E774,"-")</f>
        <v>25.701746811018829</v>
      </c>
      <c r="K774" s="42">
        <f t="shared" si="74"/>
        <v>27.13753719369657</v>
      </c>
      <c r="L774" s="42">
        <f t="shared" si="74"/>
        <v>30.77631010826412</v>
      </c>
      <c r="M774" s="42">
        <f t="shared" si="74"/>
        <v>35.79122276771318</v>
      </c>
    </row>
    <row r="775" spans="2:13" x14ac:dyDescent="0.35">
      <c r="B775" t="str">
        <f>B770</f>
        <v>Smart controls</v>
      </c>
      <c r="C775" t="s">
        <v>15</v>
      </c>
      <c r="E775" s="41">
        <f t="shared" si="73"/>
        <v>14.360365997236533</v>
      </c>
      <c r="F775" s="41">
        <f t="shared" si="73"/>
        <v>26.360365997236535</v>
      </c>
      <c r="G775" s="41">
        <f t="shared" si="73"/>
        <v>34.360365997236535</v>
      </c>
      <c r="H775" s="41">
        <f t="shared" si="73"/>
        <v>37.843271455371571</v>
      </c>
      <c r="J775" s="42">
        <f t="shared" si="74"/>
        <v>14.360365997236533</v>
      </c>
      <c r="K775" s="42">
        <f t="shared" si="74"/>
        <v>26.360365997236535</v>
      </c>
      <c r="L775" s="42">
        <f t="shared" si="74"/>
        <v>34.360365997236535</v>
      </c>
      <c r="M775" s="42">
        <f t="shared" si="74"/>
        <v>37.843271455371571</v>
      </c>
    </row>
    <row r="776" spans="2:13" x14ac:dyDescent="0.35">
      <c r="B776" t="str">
        <f>B771</f>
        <v>Others</v>
      </c>
      <c r="C776" t="s">
        <v>15</v>
      </c>
      <c r="D776" s="5"/>
      <c r="E776" s="41">
        <f t="shared" si="73"/>
        <v>21.325059455876644</v>
      </c>
      <c r="F776" s="41">
        <f t="shared" si="73"/>
        <v>27.485059455876645</v>
      </c>
      <c r="G776" s="41">
        <f t="shared" si="73"/>
        <v>30.573109859620111</v>
      </c>
      <c r="H776" s="41">
        <f t="shared" si="73"/>
        <v>36.477983850261452</v>
      </c>
      <c r="J776" s="42">
        <f t="shared" si="74"/>
        <v>21.325059455876644</v>
      </c>
      <c r="K776" s="42">
        <f t="shared" si="74"/>
        <v>27.485059455876645</v>
      </c>
      <c r="L776" s="42">
        <f t="shared" si="74"/>
        <v>30.573109859620111</v>
      </c>
      <c r="M776" s="42">
        <f t="shared" si="74"/>
        <v>36.477983850261452</v>
      </c>
    </row>
    <row r="777" spans="2:13" x14ac:dyDescent="0.35">
      <c r="D777" s="5"/>
      <c r="E777" s="5"/>
      <c r="F777" s="5"/>
      <c r="G777" s="5"/>
      <c r="H777" s="5"/>
      <c r="I777">
        <f>SUMPRODUCT(E730:H732,E774:H776)</f>
        <v>6524.6779739499443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4A7F2-4C47-4E3B-8C0D-CEE8213903AC}">
  <sheetPr codeName="Sheet3">
    <tabColor rgb="FFFFFF00"/>
    <pageSetUpPr fitToPage="1"/>
  </sheetPr>
  <dimension ref="A1:AK34"/>
  <sheetViews>
    <sheetView workbookViewId="0">
      <selection activeCell="B24" sqref="B24"/>
    </sheetView>
  </sheetViews>
  <sheetFormatPr defaultColWidth="8.7265625" defaultRowHeight="14.5" x14ac:dyDescent="0.35"/>
  <cols>
    <col min="1" max="1" width="3.81640625" style="23" customWidth="1"/>
    <col min="2" max="2" width="54.1796875" style="23" bestFit="1" customWidth="1"/>
    <col min="3" max="3" width="25" style="23" hidden="1" customWidth="1"/>
    <col min="4" max="4" width="25.453125" style="23" customWidth="1"/>
    <col min="5" max="5" width="10.1796875" style="23" customWidth="1"/>
    <col min="6" max="6" width="9.54296875" style="23" customWidth="1"/>
    <col min="7" max="7" width="10.26953125" style="23" customWidth="1"/>
    <col min="8" max="8" width="10.1796875" style="23" customWidth="1"/>
    <col min="9" max="17" width="8.7265625" style="23"/>
    <col min="18" max="18" width="9.81640625" style="23" customWidth="1"/>
    <col min="19" max="28" width="8.7265625" style="23"/>
    <col min="29" max="29" width="4.54296875" style="23" customWidth="1"/>
    <col min="30" max="16384" width="8.7265625" style="23"/>
  </cols>
  <sheetData>
    <row r="1" spans="1:37" x14ac:dyDescent="0.35">
      <c r="W1" s="23" t="s">
        <v>202</v>
      </c>
      <c r="AB1" s="95"/>
    </row>
    <row r="2" spans="1:37" x14ac:dyDescent="0.35">
      <c r="C2" s="24" t="s">
        <v>155</v>
      </c>
      <c r="G2" s="97"/>
      <c r="H2" s="98"/>
      <c r="O2" s="97"/>
      <c r="P2" s="99"/>
      <c r="T2" s="99" t="s">
        <v>138</v>
      </c>
      <c r="W2" s="99">
        <v>1.7</v>
      </c>
      <c r="X2" s="23" t="s">
        <v>174</v>
      </c>
      <c r="Z2" s="100">
        <v>0</v>
      </c>
      <c r="AA2" s="23" t="s">
        <v>175</v>
      </c>
      <c r="AC2" s="101">
        <v>0</v>
      </c>
    </row>
    <row r="3" spans="1:37" ht="72.5" x14ac:dyDescent="0.35">
      <c r="B3" s="102" t="s">
        <v>173</v>
      </c>
      <c r="D3" s="103" t="s">
        <v>95</v>
      </c>
      <c r="E3" s="103" t="s">
        <v>172</v>
      </c>
      <c r="F3" s="103" t="s">
        <v>96</v>
      </c>
      <c r="G3" s="103" t="s">
        <v>205</v>
      </c>
      <c r="H3" s="103" t="s">
        <v>99</v>
      </c>
      <c r="I3" s="103" t="s">
        <v>97</v>
      </c>
      <c r="J3" s="103" t="s">
        <v>100</v>
      </c>
      <c r="K3" s="103" t="s">
        <v>101</v>
      </c>
      <c r="L3" s="103" t="s">
        <v>102</v>
      </c>
      <c r="M3" s="103" t="s">
        <v>129</v>
      </c>
      <c r="N3" s="103" t="s">
        <v>130</v>
      </c>
      <c r="O3" s="103" t="s">
        <v>132</v>
      </c>
      <c r="P3" s="103" t="s">
        <v>133</v>
      </c>
      <c r="Q3" s="103" t="s">
        <v>131</v>
      </c>
      <c r="R3" s="117" t="s">
        <v>136</v>
      </c>
      <c r="S3" s="103" t="s">
        <v>135</v>
      </c>
      <c r="T3" s="103" t="s">
        <v>134</v>
      </c>
      <c r="U3" s="103" t="s">
        <v>103</v>
      </c>
      <c r="V3" s="117" t="s">
        <v>108</v>
      </c>
      <c r="W3" s="103" t="s">
        <v>199</v>
      </c>
      <c r="X3" s="103" t="s">
        <v>104</v>
      </c>
      <c r="Y3" s="103" t="s">
        <v>105</v>
      </c>
      <c r="Z3" s="103" t="s">
        <v>106</v>
      </c>
      <c r="AA3" s="103" t="s">
        <v>137</v>
      </c>
      <c r="AB3" s="117" t="s">
        <v>107</v>
      </c>
      <c r="AD3" s="103" t="s">
        <v>167</v>
      </c>
      <c r="AE3" s="103" t="s">
        <v>168</v>
      </c>
      <c r="AF3" s="103" t="s">
        <v>169</v>
      </c>
      <c r="AJ3" s="103" t="s">
        <v>177</v>
      </c>
      <c r="AK3" s="103" t="s">
        <v>176</v>
      </c>
    </row>
    <row r="4" spans="1:37" ht="14.5" customHeight="1" x14ac:dyDescent="0.35">
      <c r="A4" s="23">
        <v>1</v>
      </c>
      <c r="B4" s="118" t="s">
        <v>141</v>
      </c>
      <c r="C4" s="103" t="s">
        <v>109</v>
      </c>
      <c r="D4" s="23" t="s">
        <v>139</v>
      </c>
      <c r="E4" s="23" t="s">
        <v>171</v>
      </c>
      <c r="F4" s="23" t="s">
        <v>83</v>
      </c>
      <c r="G4" s="104">
        <v>3</v>
      </c>
      <c r="H4" s="105">
        <v>199.07849999999999</v>
      </c>
      <c r="I4" s="106" t="s">
        <v>98</v>
      </c>
      <c r="J4" s="106">
        <v>10</v>
      </c>
      <c r="K4" s="3">
        <v>0.05</v>
      </c>
      <c r="L4" s="107">
        <f>PMT(K4,J4,-H4)</f>
        <v>25.781576527260661</v>
      </c>
      <c r="M4" s="3">
        <v>0.03</v>
      </c>
      <c r="N4" s="23">
        <f>M4*H4</f>
        <v>5.9723549999999994</v>
      </c>
      <c r="O4" s="106">
        <v>10</v>
      </c>
      <c r="P4" s="106">
        <v>200</v>
      </c>
      <c r="Q4" s="108">
        <f t="shared" ref="Q4:Q28" si="0">P4*O4*0.001</f>
        <v>2</v>
      </c>
      <c r="R4" s="107">
        <f t="shared" ref="R4:R28" si="1">L4+N4+Q4</f>
        <v>33.753931527260661</v>
      </c>
      <c r="S4" s="107">
        <f t="shared" ref="S4:S19" si="2">2.5*O4</f>
        <v>25</v>
      </c>
      <c r="T4" s="109">
        <v>0.27</v>
      </c>
      <c r="U4" s="23">
        <f t="shared" ref="U4:U28" si="3">T4*S4</f>
        <v>6.75</v>
      </c>
      <c r="V4" s="23">
        <f t="shared" ref="V4:V28" si="4">R4/U4</f>
        <v>5.000582448483061</v>
      </c>
      <c r="W4" s="106">
        <f t="shared" ref="W4:W21" si="5">W$2*105</f>
        <v>178.5</v>
      </c>
      <c r="X4" s="23">
        <f t="shared" ref="X4:X28" si="6">W4*S4*0.001</f>
        <v>4.4625000000000004</v>
      </c>
      <c r="Y4" s="96">
        <f t="shared" ref="Y4:Y21" si="7">$Z$2</f>
        <v>0</v>
      </c>
      <c r="Z4" s="23">
        <f t="shared" ref="Z4:Z28" si="8">Y4*U4</f>
        <v>0</v>
      </c>
      <c r="AA4" s="107">
        <f t="shared" ref="AA4:AA28" si="9">R4-X4-Z4</f>
        <v>29.291431527260663</v>
      </c>
      <c r="AB4" s="23">
        <f t="shared" ref="AB4:AB28" si="10">AA4/U4</f>
        <v>4.3394713373719505</v>
      </c>
      <c r="AD4" s="107">
        <f t="shared" ref="AD4:AD28" si="11">L4</f>
        <v>25.781576527260661</v>
      </c>
      <c r="AE4" s="23">
        <f t="shared" ref="AE4:AE28" si="12">N4</f>
        <v>5.9723549999999994</v>
      </c>
      <c r="AF4" s="108">
        <f t="shared" ref="AF4:AF28" si="13">Q4</f>
        <v>2</v>
      </c>
      <c r="AH4" s="104">
        <f>G4</f>
        <v>3</v>
      </c>
      <c r="AJ4" s="104">
        <f>AH4</f>
        <v>3</v>
      </c>
      <c r="AK4" s="23">
        <f t="shared" ref="AK4:AK27" si="14">AB4</f>
        <v>4.3394713373719505</v>
      </c>
    </row>
    <row r="5" spans="1:37" ht="14.5" customHeight="1" x14ac:dyDescent="0.35">
      <c r="A5" s="23">
        <v>2</v>
      </c>
      <c r="B5" s="118" t="s">
        <v>142</v>
      </c>
      <c r="C5" s="103" t="s">
        <v>110</v>
      </c>
      <c r="D5" s="23" t="s">
        <v>139</v>
      </c>
      <c r="E5" s="23" t="s">
        <v>171</v>
      </c>
      <c r="F5" s="23" t="s">
        <v>83</v>
      </c>
      <c r="G5" s="104">
        <v>3</v>
      </c>
      <c r="H5" s="105">
        <v>304.58</v>
      </c>
      <c r="I5" s="106" t="s">
        <v>98</v>
      </c>
      <c r="J5" s="106">
        <v>10</v>
      </c>
      <c r="K5" s="3">
        <v>0.05</v>
      </c>
      <c r="L5" s="107">
        <f t="shared" ref="L5:L28" si="15">PMT(K5,J5,-H5)</f>
        <v>39.444503442978792</v>
      </c>
      <c r="M5" s="3">
        <v>0.03</v>
      </c>
      <c r="N5" s="23">
        <f t="shared" ref="N5:N28" si="16">M5*H5</f>
        <v>9.1373999999999995</v>
      </c>
      <c r="O5" s="106">
        <v>10</v>
      </c>
      <c r="P5" s="106">
        <v>200</v>
      </c>
      <c r="Q5" s="108">
        <f t="shared" si="0"/>
        <v>2</v>
      </c>
      <c r="R5" s="107">
        <f t="shared" si="1"/>
        <v>50.581903442978792</v>
      </c>
      <c r="S5" s="107">
        <f t="shared" si="2"/>
        <v>25</v>
      </c>
      <c r="T5" s="109">
        <v>0.27</v>
      </c>
      <c r="U5" s="23">
        <f t="shared" si="3"/>
        <v>6.75</v>
      </c>
      <c r="V5" s="23">
        <f t="shared" si="4"/>
        <v>7.4936153248857469</v>
      </c>
      <c r="W5" s="106">
        <f t="shared" si="5"/>
        <v>178.5</v>
      </c>
      <c r="X5" s="23">
        <f t="shared" si="6"/>
        <v>4.4625000000000004</v>
      </c>
      <c r="Y5" s="96">
        <f t="shared" si="7"/>
        <v>0</v>
      </c>
      <c r="Z5" s="23">
        <f t="shared" si="8"/>
        <v>0</v>
      </c>
      <c r="AA5" s="107">
        <f t="shared" si="9"/>
        <v>46.119403442978793</v>
      </c>
      <c r="AB5" s="23">
        <f t="shared" si="10"/>
        <v>6.8325042137746363</v>
      </c>
      <c r="AD5" s="107">
        <f t="shared" si="11"/>
        <v>39.444503442978792</v>
      </c>
      <c r="AE5" s="23">
        <f t="shared" si="12"/>
        <v>9.1373999999999995</v>
      </c>
      <c r="AF5" s="108">
        <f t="shared" si="13"/>
        <v>2</v>
      </c>
      <c r="AH5" s="104">
        <f t="shared" ref="AH5:AH27" si="17">G5</f>
        <v>3</v>
      </c>
      <c r="AJ5" s="104">
        <f>AJ4+AH5</f>
        <v>6</v>
      </c>
      <c r="AK5" s="23">
        <f t="shared" si="14"/>
        <v>6.8325042137746363</v>
      </c>
    </row>
    <row r="6" spans="1:37" ht="14.5" customHeight="1" x14ac:dyDescent="0.35">
      <c r="A6" s="23">
        <v>3</v>
      </c>
      <c r="B6" s="118" t="s">
        <v>143</v>
      </c>
      <c r="C6" s="103" t="s">
        <v>111</v>
      </c>
      <c r="D6" s="23" t="s">
        <v>139</v>
      </c>
      <c r="E6" s="23" t="s">
        <v>171</v>
      </c>
      <c r="F6" s="23" t="s">
        <v>83</v>
      </c>
      <c r="G6" s="104">
        <v>2</v>
      </c>
      <c r="H6" s="105">
        <v>304.58</v>
      </c>
      <c r="I6" s="106" t="s">
        <v>98</v>
      </c>
      <c r="J6" s="106">
        <v>10</v>
      </c>
      <c r="K6" s="3">
        <v>0.05</v>
      </c>
      <c r="L6" s="107">
        <f t="shared" si="15"/>
        <v>39.444503442978792</v>
      </c>
      <c r="M6" s="3">
        <v>0.03</v>
      </c>
      <c r="N6" s="23">
        <f t="shared" si="16"/>
        <v>9.1373999999999995</v>
      </c>
      <c r="O6" s="106">
        <v>10</v>
      </c>
      <c r="P6" s="106">
        <v>200</v>
      </c>
      <c r="Q6" s="108">
        <f t="shared" si="0"/>
        <v>2</v>
      </c>
      <c r="R6" s="107">
        <f t="shared" si="1"/>
        <v>50.581903442978792</v>
      </c>
      <c r="S6" s="107">
        <f t="shared" si="2"/>
        <v>25</v>
      </c>
      <c r="T6" s="109">
        <v>0.27</v>
      </c>
      <c r="U6" s="23">
        <f t="shared" si="3"/>
        <v>6.75</v>
      </c>
      <c r="V6" s="23">
        <f t="shared" si="4"/>
        <v>7.4936153248857469</v>
      </c>
      <c r="W6" s="106">
        <f t="shared" si="5"/>
        <v>178.5</v>
      </c>
      <c r="X6" s="23">
        <f t="shared" si="6"/>
        <v>4.4625000000000004</v>
      </c>
      <c r="Y6" s="96">
        <f t="shared" si="7"/>
        <v>0</v>
      </c>
      <c r="Z6" s="23">
        <f t="shared" si="8"/>
        <v>0</v>
      </c>
      <c r="AA6" s="107">
        <f t="shared" si="9"/>
        <v>46.119403442978793</v>
      </c>
      <c r="AB6" s="23">
        <f t="shared" si="10"/>
        <v>6.8325042137746363</v>
      </c>
      <c r="AD6" s="107">
        <f t="shared" si="11"/>
        <v>39.444503442978792</v>
      </c>
      <c r="AE6" s="23">
        <f t="shared" si="12"/>
        <v>9.1373999999999995</v>
      </c>
      <c r="AF6" s="108">
        <f t="shared" si="13"/>
        <v>2</v>
      </c>
      <c r="AH6" s="104">
        <f t="shared" si="17"/>
        <v>2</v>
      </c>
      <c r="AJ6" s="104">
        <f t="shared" ref="AJ6:AJ27" si="18">AJ5+AH6</f>
        <v>8</v>
      </c>
      <c r="AK6" s="23">
        <f t="shared" si="14"/>
        <v>6.8325042137746363</v>
      </c>
    </row>
    <row r="7" spans="1:37" ht="14.5" customHeight="1" x14ac:dyDescent="0.35">
      <c r="A7" s="23">
        <v>4</v>
      </c>
      <c r="B7" s="118" t="s">
        <v>144</v>
      </c>
      <c r="C7" s="103" t="s">
        <v>112</v>
      </c>
      <c r="D7" s="23" t="s">
        <v>139</v>
      </c>
      <c r="E7" s="23" t="s">
        <v>171</v>
      </c>
      <c r="F7" s="23" t="s">
        <v>83</v>
      </c>
      <c r="G7" s="104">
        <v>1</v>
      </c>
      <c r="H7" s="105">
        <v>288</v>
      </c>
      <c r="I7" s="106" t="s">
        <v>98</v>
      </c>
      <c r="J7" s="106">
        <v>10</v>
      </c>
      <c r="K7" s="3">
        <v>0.05</v>
      </c>
      <c r="L7" s="107">
        <f t="shared" si="15"/>
        <v>37.29731759005152</v>
      </c>
      <c r="M7" s="3">
        <v>0.03</v>
      </c>
      <c r="N7" s="23">
        <f t="shared" si="16"/>
        <v>8.64</v>
      </c>
      <c r="O7" s="106">
        <v>10</v>
      </c>
      <c r="P7" s="106">
        <v>200</v>
      </c>
      <c r="Q7" s="108">
        <f>P7*O7*0.001</f>
        <v>2</v>
      </c>
      <c r="R7" s="107">
        <f t="shared" si="1"/>
        <v>47.937317590051521</v>
      </c>
      <c r="S7" s="107">
        <f t="shared" si="2"/>
        <v>25</v>
      </c>
      <c r="T7" s="109">
        <v>0.27</v>
      </c>
      <c r="U7" s="23">
        <f t="shared" si="3"/>
        <v>6.75</v>
      </c>
      <c r="V7" s="23">
        <f t="shared" si="4"/>
        <v>7.101824828155781</v>
      </c>
      <c r="W7" s="106">
        <f t="shared" si="5"/>
        <v>178.5</v>
      </c>
      <c r="X7" s="23">
        <f t="shared" si="6"/>
        <v>4.4625000000000004</v>
      </c>
      <c r="Y7" s="96">
        <f t="shared" si="7"/>
        <v>0</v>
      </c>
      <c r="Z7" s="23">
        <f t="shared" si="8"/>
        <v>0</v>
      </c>
      <c r="AA7" s="107">
        <f t="shared" si="9"/>
        <v>43.474817590051522</v>
      </c>
      <c r="AB7" s="23">
        <f t="shared" si="10"/>
        <v>6.4407137170446696</v>
      </c>
      <c r="AD7" s="107">
        <f t="shared" si="11"/>
        <v>37.29731759005152</v>
      </c>
      <c r="AE7" s="23">
        <f t="shared" si="12"/>
        <v>8.64</v>
      </c>
      <c r="AF7" s="108">
        <f t="shared" si="13"/>
        <v>2</v>
      </c>
      <c r="AH7" s="104">
        <f t="shared" si="17"/>
        <v>1</v>
      </c>
      <c r="AJ7" s="104">
        <f t="shared" si="18"/>
        <v>9</v>
      </c>
      <c r="AK7" s="23">
        <f t="shared" si="14"/>
        <v>6.4407137170446696</v>
      </c>
    </row>
    <row r="8" spans="1:37" ht="14.5" customHeight="1" x14ac:dyDescent="0.35">
      <c r="A8" s="23">
        <v>5</v>
      </c>
      <c r="B8" s="118" t="s">
        <v>145</v>
      </c>
      <c r="C8" s="103" t="s">
        <v>113</v>
      </c>
      <c r="D8" s="23" t="s">
        <v>139</v>
      </c>
      <c r="E8" s="23" t="s">
        <v>171</v>
      </c>
      <c r="F8" s="23" t="s">
        <v>83</v>
      </c>
      <c r="G8" s="104">
        <v>2</v>
      </c>
      <c r="H8" s="105">
        <v>492</v>
      </c>
      <c r="I8" s="106" t="s">
        <v>98</v>
      </c>
      <c r="J8" s="106">
        <v>10</v>
      </c>
      <c r="K8" s="3">
        <v>0.05</v>
      </c>
      <c r="L8" s="107">
        <f t="shared" si="15"/>
        <v>63.716250883004676</v>
      </c>
      <c r="M8" s="3">
        <v>0.03</v>
      </c>
      <c r="N8" s="23">
        <f t="shared" si="16"/>
        <v>14.76</v>
      </c>
      <c r="O8" s="106">
        <v>10</v>
      </c>
      <c r="P8" s="106">
        <v>200</v>
      </c>
      <c r="Q8" s="108">
        <f t="shared" si="0"/>
        <v>2</v>
      </c>
      <c r="R8" s="107">
        <f>L8+N8+Q8</f>
        <v>80.476250883004681</v>
      </c>
      <c r="S8" s="107">
        <f t="shared" si="2"/>
        <v>25</v>
      </c>
      <c r="T8" s="109">
        <v>0.27</v>
      </c>
      <c r="U8" s="23">
        <f t="shared" si="3"/>
        <v>6.75</v>
      </c>
      <c r="V8" s="23">
        <f t="shared" si="4"/>
        <v>11.922407538222915</v>
      </c>
      <c r="W8" s="106">
        <f t="shared" si="5"/>
        <v>178.5</v>
      </c>
      <c r="X8" s="23">
        <f t="shared" si="6"/>
        <v>4.4625000000000004</v>
      </c>
      <c r="Y8" s="96">
        <f t="shared" si="7"/>
        <v>0</v>
      </c>
      <c r="Z8" s="23">
        <f t="shared" si="8"/>
        <v>0</v>
      </c>
      <c r="AA8" s="107">
        <f t="shared" si="9"/>
        <v>76.013750883004676</v>
      </c>
      <c r="AB8" s="23">
        <f t="shared" si="10"/>
        <v>11.261296427111803</v>
      </c>
      <c r="AD8" s="107">
        <f t="shared" si="11"/>
        <v>63.716250883004676</v>
      </c>
      <c r="AE8" s="23">
        <f t="shared" si="12"/>
        <v>14.76</v>
      </c>
      <c r="AF8" s="108">
        <f t="shared" si="13"/>
        <v>2</v>
      </c>
      <c r="AH8" s="104">
        <f t="shared" si="17"/>
        <v>2</v>
      </c>
      <c r="AJ8" s="104">
        <f t="shared" si="18"/>
        <v>11</v>
      </c>
      <c r="AK8" s="23">
        <f t="shared" si="14"/>
        <v>11.261296427111803</v>
      </c>
    </row>
    <row r="9" spans="1:37" ht="14.5" customHeight="1" x14ac:dyDescent="0.35">
      <c r="A9" s="23">
        <v>6</v>
      </c>
      <c r="B9" s="118" t="s">
        <v>146</v>
      </c>
      <c r="C9" s="103" t="s">
        <v>114</v>
      </c>
      <c r="D9" s="23" t="s">
        <v>139</v>
      </c>
      <c r="E9" s="23" t="s">
        <v>171</v>
      </c>
      <c r="F9" s="23" t="s">
        <v>83</v>
      </c>
      <c r="G9" s="104">
        <v>2</v>
      </c>
      <c r="H9" s="105">
        <v>148.64528000000001</v>
      </c>
      <c r="I9" s="106" t="s">
        <v>98</v>
      </c>
      <c r="J9" s="106">
        <v>10</v>
      </c>
      <c r="K9" s="3">
        <v>0.05</v>
      </c>
      <c r="L9" s="107">
        <f t="shared" si="15"/>
        <v>19.250243807021299</v>
      </c>
      <c r="M9" s="3">
        <v>0.03</v>
      </c>
      <c r="N9" s="23">
        <f t="shared" si="16"/>
        <v>4.4593584000000002</v>
      </c>
      <c r="O9" s="106">
        <v>10</v>
      </c>
      <c r="P9" s="106">
        <v>200</v>
      </c>
      <c r="Q9" s="108">
        <f t="shared" si="0"/>
        <v>2</v>
      </c>
      <c r="R9" s="107">
        <f t="shared" si="1"/>
        <v>25.709602207021298</v>
      </c>
      <c r="S9" s="107">
        <f t="shared" si="2"/>
        <v>25</v>
      </c>
      <c r="T9" s="109">
        <v>0.27</v>
      </c>
      <c r="U9" s="23">
        <f t="shared" si="3"/>
        <v>6.75</v>
      </c>
      <c r="V9" s="23">
        <f t="shared" si="4"/>
        <v>3.8088299565957477</v>
      </c>
      <c r="W9" s="106">
        <f t="shared" si="5"/>
        <v>178.5</v>
      </c>
      <c r="X9" s="23">
        <f t="shared" si="6"/>
        <v>4.4625000000000004</v>
      </c>
      <c r="Y9" s="96">
        <f t="shared" si="7"/>
        <v>0</v>
      </c>
      <c r="Z9" s="23">
        <f t="shared" si="8"/>
        <v>0</v>
      </c>
      <c r="AA9" s="107">
        <f t="shared" si="9"/>
        <v>21.2471022070213</v>
      </c>
      <c r="AB9" s="23">
        <f t="shared" si="10"/>
        <v>3.1477188454846368</v>
      </c>
      <c r="AD9" s="107">
        <f t="shared" si="11"/>
        <v>19.250243807021299</v>
      </c>
      <c r="AE9" s="23">
        <f t="shared" si="12"/>
        <v>4.4593584000000002</v>
      </c>
      <c r="AF9" s="108">
        <f t="shared" si="13"/>
        <v>2</v>
      </c>
      <c r="AH9" s="104">
        <f t="shared" si="17"/>
        <v>2</v>
      </c>
      <c r="AJ9" s="104">
        <f t="shared" si="18"/>
        <v>13</v>
      </c>
      <c r="AK9" s="23">
        <f t="shared" si="14"/>
        <v>3.1477188454846368</v>
      </c>
    </row>
    <row r="10" spans="1:37" ht="14.5" customHeight="1" x14ac:dyDescent="0.35">
      <c r="A10" s="23">
        <v>7</v>
      </c>
      <c r="B10" s="118" t="s">
        <v>147</v>
      </c>
      <c r="C10" s="103" t="s">
        <v>115</v>
      </c>
      <c r="D10" s="23" t="s">
        <v>139</v>
      </c>
      <c r="E10" s="23" t="s">
        <v>171</v>
      </c>
      <c r="F10" s="23" t="s">
        <v>83</v>
      </c>
      <c r="G10" s="104">
        <v>2</v>
      </c>
      <c r="H10" s="105">
        <v>288</v>
      </c>
      <c r="I10" s="106" t="s">
        <v>98</v>
      </c>
      <c r="J10" s="106">
        <v>10</v>
      </c>
      <c r="K10" s="3">
        <v>0.05</v>
      </c>
      <c r="L10" s="107">
        <f t="shared" si="15"/>
        <v>37.29731759005152</v>
      </c>
      <c r="M10" s="3">
        <v>0.03</v>
      </c>
      <c r="N10" s="23">
        <f t="shared" si="16"/>
        <v>8.64</v>
      </c>
      <c r="O10" s="106">
        <v>10</v>
      </c>
      <c r="P10" s="106">
        <v>200</v>
      </c>
      <c r="Q10" s="108">
        <f t="shared" si="0"/>
        <v>2</v>
      </c>
      <c r="R10" s="107">
        <f t="shared" si="1"/>
        <v>47.937317590051521</v>
      </c>
      <c r="S10" s="107">
        <f t="shared" si="2"/>
        <v>25</v>
      </c>
      <c r="T10" s="109">
        <v>0.27</v>
      </c>
      <c r="U10" s="23">
        <f t="shared" si="3"/>
        <v>6.75</v>
      </c>
      <c r="V10" s="23">
        <f t="shared" si="4"/>
        <v>7.101824828155781</v>
      </c>
      <c r="W10" s="106">
        <f t="shared" si="5"/>
        <v>178.5</v>
      </c>
      <c r="X10" s="23">
        <f t="shared" si="6"/>
        <v>4.4625000000000004</v>
      </c>
      <c r="Y10" s="96">
        <f t="shared" si="7"/>
        <v>0</v>
      </c>
      <c r="Z10" s="23">
        <f t="shared" si="8"/>
        <v>0</v>
      </c>
      <c r="AA10" s="107">
        <f t="shared" si="9"/>
        <v>43.474817590051522</v>
      </c>
      <c r="AB10" s="23">
        <f t="shared" si="10"/>
        <v>6.4407137170446696</v>
      </c>
      <c r="AD10" s="107">
        <f t="shared" si="11"/>
        <v>37.29731759005152</v>
      </c>
      <c r="AE10" s="23">
        <f t="shared" si="12"/>
        <v>8.64</v>
      </c>
      <c r="AF10" s="108">
        <f t="shared" si="13"/>
        <v>2</v>
      </c>
      <c r="AH10" s="104">
        <f t="shared" si="17"/>
        <v>2</v>
      </c>
      <c r="AJ10" s="104">
        <f t="shared" si="18"/>
        <v>15</v>
      </c>
      <c r="AK10" s="23">
        <f t="shared" si="14"/>
        <v>6.4407137170446696</v>
      </c>
    </row>
    <row r="11" spans="1:37" ht="14.5" customHeight="1" x14ac:dyDescent="0.35">
      <c r="A11" s="23">
        <v>8</v>
      </c>
      <c r="B11" s="119" t="s">
        <v>148</v>
      </c>
      <c r="C11" s="103" t="s">
        <v>116</v>
      </c>
      <c r="D11" s="23" t="s">
        <v>139</v>
      </c>
      <c r="E11" s="23" t="s">
        <v>171</v>
      </c>
      <c r="F11" s="23" t="s">
        <v>83</v>
      </c>
      <c r="G11" s="104">
        <v>1</v>
      </c>
      <c r="H11" s="105">
        <v>492</v>
      </c>
      <c r="I11" s="106" t="s">
        <v>98</v>
      </c>
      <c r="J11" s="106">
        <v>10</v>
      </c>
      <c r="K11" s="3">
        <v>0.05</v>
      </c>
      <c r="L11" s="107">
        <f t="shared" si="15"/>
        <v>63.716250883004676</v>
      </c>
      <c r="M11" s="3">
        <v>0.03</v>
      </c>
      <c r="N11" s="23">
        <f t="shared" si="16"/>
        <v>14.76</v>
      </c>
      <c r="O11" s="106">
        <v>10</v>
      </c>
      <c r="P11" s="106">
        <v>200</v>
      </c>
      <c r="Q11" s="108">
        <f t="shared" si="0"/>
        <v>2</v>
      </c>
      <c r="R11" s="107">
        <f t="shared" si="1"/>
        <v>80.476250883004681</v>
      </c>
      <c r="S11" s="107">
        <f t="shared" si="2"/>
        <v>25</v>
      </c>
      <c r="T11" s="109">
        <v>0.27</v>
      </c>
      <c r="U11" s="23">
        <f t="shared" si="3"/>
        <v>6.75</v>
      </c>
      <c r="V11" s="23">
        <f t="shared" si="4"/>
        <v>11.922407538222915</v>
      </c>
      <c r="W11" s="106">
        <f t="shared" si="5"/>
        <v>178.5</v>
      </c>
      <c r="X11" s="23">
        <f t="shared" si="6"/>
        <v>4.4625000000000004</v>
      </c>
      <c r="Y11" s="96">
        <f t="shared" si="7"/>
        <v>0</v>
      </c>
      <c r="Z11" s="23">
        <f t="shared" si="8"/>
        <v>0</v>
      </c>
      <c r="AA11" s="107">
        <f t="shared" si="9"/>
        <v>76.013750883004676</v>
      </c>
      <c r="AB11" s="23">
        <f t="shared" si="10"/>
        <v>11.261296427111803</v>
      </c>
      <c r="AD11" s="107">
        <f t="shared" si="11"/>
        <v>63.716250883004676</v>
      </c>
      <c r="AE11" s="23">
        <f t="shared" si="12"/>
        <v>14.76</v>
      </c>
      <c r="AF11" s="108">
        <f t="shared" si="13"/>
        <v>2</v>
      </c>
      <c r="AH11" s="104">
        <f t="shared" si="17"/>
        <v>1</v>
      </c>
      <c r="AJ11" s="104">
        <f t="shared" si="18"/>
        <v>16</v>
      </c>
      <c r="AK11" s="23">
        <f t="shared" si="14"/>
        <v>11.261296427111803</v>
      </c>
    </row>
    <row r="12" spans="1:37" ht="14.5" customHeight="1" x14ac:dyDescent="0.35">
      <c r="A12" s="23">
        <v>9</v>
      </c>
      <c r="B12" s="118" t="s">
        <v>149</v>
      </c>
      <c r="C12" s="103" t="s">
        <v>117</v>
      </c>
      <c r="D12" s="23" t="s">
        <v>139</v>
      </c>
      <c r="E12" s="23" t="s">
        <v>171</v>
      </c>
      <c r="F12" s="23" t="s">
        <v>83</v>
      </c>
      <c r="G12" s="104">
        <v>1</v>
      </c>
      <c r="H12" s="105">
        <v>288</v>
      </c>
      <c r="I12" s="106" t="s">
        <v>98</v>
      </c>
      <c r="J12" s="106">
        <v>10</v>
      </c>
      <c r="K12" s="3">
        <v>0.05</v>
      </c>
      <c r="L12" s="107">
        <f t="shared" si="15"/>
        <v>37.29731759005152</v>
      </c>
      <c r="M12" s="3">
        <v>0.03</v>
      </c>
      <c r="N12" s="23">
        <f t="shared" si="16"/>
        <v>8.64</v>
      </c>
      <c r="O12" s="106">
        <v>10</v>
      </c>
      <c r="P12" s="106">
        <v>200</v>
      </c>
      <c r="Q12" s="108">
        <f t="shared" si="0"/>
        <v>2</v>
      </c>
      <c r="R12" s="107">
        <f t="shared" si="1"/>
        <v>47.937317590051521</v>
      </c>
      <c r="S12" s="107">
        <f t="shared" si="2"/>
        <v>25</v>
      </c>
      <c r="T12" s="109">
        <v>0.27</v>
      </c>
      <c r="U12" s="23">
        <f t="shared" si="3"/>
        <v>6.75</v>
      </c>
      <c r="V12" s="23">
        <f t="shared" si="4"/>
        <v>7.101824828155781</v>
      </c>
      <c r="W12" s="106">
        <f t="shared" si="5"/>
        <v>178.5</v>
      </c>
      <c r="X12" s="23">
        <f t="shared" si="6"/>
        <v>4.4625000000000004</v>
      </c>
      <c r="Y12" s="96">
        <f t="shared" si="7"/>
        <v>0</v>
      </c>
      <c r="Z12" s="23">
        <f t="shared" si="8"/>
        <v>0</v>
      </c>
      <c r="AA12" s="107">
        <f t="shared" si="9"/>
        <v>43.474817590051522</v>
      </c>
      <c r="AB12" s="23">
        <f t="shared" si="10"/>
        <v>6.4407137170446696</v>
      </c>
      <c r="AD12" s="107">
        <f t="shared" si="11"/>
        <v>37.29731759005152</v>
      </c>
      <c r="AE12" s="23">
        <f t="shared" si="12"/>
        <v>8.64</v>
      </c>
      <c r="AF12" s="108">
        <f t="shared" si="13"/>
        <v>2</v>
      </c>
      <c r="AH12" s="104">
        <f t="shared" si="17"/>
        <v>1</v>
      </c>
      <c r="AJ12" s="104">
        <f t="shared" si="18"/>
        <v>17</v>
      </c>
      <c r="AK12" s="23">
        <f t="shared" si="14"/>
        <v>6.4407137170446696</v>
      </c>
    </row>
    <row r="13" spans="1:37" ht="14.5" customHeight="1" x14ac:dyDescent="0.35">
      <c r="A13" s="23">
        <v>10</v>
      </c>
      <c r="B13" s="118" t="s">
        <v>58</v>
      </c>
      <c r="C13" s="44" t="s">
        <v>118</v>
      </c>
      <c r="D13" s="23" t="s">
        <v>139</v>
      </c>
      <c r="E13" s="23" t="s">
        <v>171</v>
      </c>
      <c r="F13" s="23" t="s">
        <v>83</v>
      </c>
      <c r="G13" s="104">
        <v>2</v>
      </c>
      <c r="H13" s="105">
        <v>776</v>
      </c>
      <c r="I13" s="106" t="s">
        <v>98</v>
      </c>
      <c r="J13" s="106">
        <v>10</v>
      </c>
      <c r="K13" s="3">
        <v>0.05</v>
      </c>
      <c r="L13" s="107">
        <f t="shared" si="15"/>
        <v>100.49555017319437</v>
      </c>
      <c r="M13" s="3">
        <v>0.03</v>
      </c>
      <c r="N13" s="23">
        <f t="shared" si="16"/>
        <v>23.279999999999998</v>
      </c>
      <c r="O13" s="106">
        <v>10</v>
      </c>
      <c r="P13" s="106">
        <v>200</v>
      </c>
      <c r="Q13" s="108">
        <f t="shared" si="0"/>
        <v>2</v>
      </c>
      <c r="R13" s="107">
        <f t="shared" si="1"/>
        <v>125.77555017319438</v>
      </c>
      <c r="S13" s="107">
        <f t="shared" si="2"/>
        <v>25</v>
      </c>
      <c r="T13" s="109">
        <v>0.27</v>
      </c>
      <c r="U13" s="23">
        <f t="shared" si="3"/>
        <v>6.75</v>
      </c>
      <c r="V13" s="23">
        <f t="shared" si="4"/>
        <v>18.63341484047324</v>
      </c>
      <c r="W13" s="106">
        <f t="shared" si="5"/>
        <v>178.5</v>
      </c>
      <c r="X13" s="23">
        <f t="shared" si="6"/>
        <v>4.4625000000000004</v>
      </c>
      <c r="Y13" s="96">
        <f t="shared" si="7"/>
        <v>0</v>
      </c>
      <c r="Z13" s="23">
        <f t="shared" si="8"/>
        <v>0</v>
      </c>
      <c r="AA13" s="107">
        <f t="shared" si="9"/>
        <v>121.31305017319437</v>
      </c>
      <c r="AB13" s="23">
        <f t="shared" si="10"/>
        <v>17.972303729362128</v>
      </c>
      <c r="AD13" s="107">
        <f t="shared" si="11"/>
        <v>100.49555017319437</v>
      </c>
      <c r="AE13" s="23">
        <f t="shared" si="12"/>
        <v>23.279999999999998</v>
      </c>
      <c r="AF13" s="108">
        <f t="shared" si="13"/>
        <v>2</v>
      </c>
      <c r="AH13" s="104">
        <f t="shared" si="17"/>
        <v>2</v>
      </c>
      <c r="AJ13" s="104">
        <f t="shared" si="18"/>
        <v>19</v>
      </c>
      <c r="AK13" s="23">
        <f t="shared" si="14"/>
        <v>17.972303729362128</v>
      </c>
    </row>
    <row r="14" spans="1:37" ht="14.5" customHeight="1" x14ac:dyDescent="0.35">
      <c r="A14" s="23">
        <v>11</v>
      </c>
      <c r="B14" s="118" t="s">
        <v>150</v>
      </c>
      <c r="C14" s="103" t="s">
        <v>119</v>
      </c>
      <c r="D14" s="23" t="s">
        <v>139</v>
      </c>
      <c r="E14" s="23" t="s">
        <v>171</v>
      </c>
      <c r="F14" s="23" t="s">
        <v>83</v>
      </c>
      <c r="G14" s="104">
        <v>1</v>
      </c>
      <c r="H14" s="105">
        <v>77.5</v>
      </c>
      <c r="I14" s="106" t="s">
        <v>98</v>
      </c>
      <c r="J14" s="106">
        <v>10</v>
      </c>
      <c r="K14" s="3">
        <v>0.05</v>
      </c>
      <c r="L14" s="107">
        <f t="shared" si="15"/>
        <v>10.036604559822891</v>
      </c>
      <c r="M14" s="3">
        <v>0.03</v>
      </c>
      <c r="N14" s="23">
        <f t="shared" si="16"/>
        <v>2.3249999999999997</v>
      </c>
      <c r="O14" s="106">
        <v>10</v>
      </c>
      <c r="P14" s="106">
        <v>200</v>
      </c>
      <c r="Q14" s="108">
        <f t="shared" si="0"/>
        <v>2</v>
      </c>
      <c r="R14" s="107">
        <f t="shared" si="1"/>
        <v>14.36160455982289</v>
      </c>
      <c r="S14" s="107">
        <f t="shared" si="2"/>
        <v>25</v>
      </c>
      <c r="T14" s="109">
        <v>0.27</v>
      </c>
      <c r="U14" s="23">
        <f t="shared" si="3"/>
        <v>6.75</v>
      </c>
      <c r="V14" s="23">
        <f t="shared" si="4"/>
        <v>2.1276451199737614</v>
      </c>
      <c r="W14" s="106">
        <f t="shared" si="5"/>
        <v>178.5</v>
      </c>
      <c r="X14" s="23">
        <f t="shared" si="6"/>
        <v>4.4625000000000004</v>
      </c>
      <c r="Y14" s="96">
        <f t="shared" si="7"/>
        <v>0</v>
      </c>
      <c r="Z14" s="23">
        <f t="shared" si="8"/>
        <v>0</v>
      </c>
      <c r="AA14" s="107">
        <f t="shared" si="9"/>
        <v>9.8991045598228897</v>
      </c>
      <c r="AB14" s="23">
        <f t="shared" si="10"/>
        <v>1.4665340088626504</v>
      </c>
      <c r="AD14" s="107">
        <f t="shared" si="11"/>
        <v>10.036604559822891</v>
      </c>
      <c r="AE14" s="23">
        <f t="shared" si="12"/>
        <v>2.3249999999999997</v>
      </c>
      <c r="AF14" s="108">
        <f t="shared" si="13"/>
        <v>2</v>
      </c>
      <c r="AH14" s="104">
        <f t="shared" si="17"/>
        <v>1</v>
      </c>
      <c r="AJ14" s="104">
        <f t="shared" si="18"/>
        <v>20</v>
      </c>
      <c r="AK14" s="23">
        <f t="shared" si="14"/>
        <v>1.4665340088626504</v>
      </c>
    </row>
    <row r="15" spans="1:37" ht="14.5" customHeight="1" x14ac:dyDescent="0.35">
      <c r="A15" s="23">
        <v>12</v>
      </c>
      <c r="B15" s="118" t="s">
        <v>151</v>
      </c>
      <c r="C15" s="103" t="s">
        <v>120</v>
      </c>
      <c r="D15" s="23" t="s">
        <v>139</v>
      </c>
      <c r="E15" s="23" t="s">
        <v>171</v>
      </c>
      <c r="F15" s="23" t="s">
        <v>83</v>
      </c>
      <c r="G15" s="104">
        <v>2</v>
      </c>
      <c r="H15" s="105">
        <v>45</v>
      </c>
      <c r="I15" s="106" t="s">
        <v>98</v>
      </c>
      <c r="J15" s="106">
        <v>10</v>
      </c>
      <c r="K15" s="3">
        <v>0.05</v>
      </c>
      <c r="L15" s="107">
        <f t="shared" si="15"/>
        <v>5.8277058734455496</v>
      </c>
      <c r="M15" s="3">
        <v>0.03</v>
      </c>
      <c r="N15" s="23">
        <f t="shared" si="16"/>
        <v>1.3499999999999999</v>
      </c>
      <c r="O15" s="106">
        <v>10</v>
      </c>
      <c r="P15" s="106">
        <v>200</v>
      </c>
      <c r="Q15" s="108">
        <f t="shared" si="0"/>
        <v>2</v>
      </c>
      <c r="R15" s="107">
        <f t="shared" si="1"/>
        <v>9.1777058734455501</v>
      </c>
      <c r="S15" s="107">
        <f t="shared" si="2"/>
        <v>25</v>
      </c>
      <c r="T15" s="109">
        <v>0.27</v>
      </c>
      <c r="U15" s="23">
        <f t="shared" si="3"/>
        <v>6.75</v>
      </c>
      <c r="V15" s="23">
        <f t="shared" si="4"/>
        <v>1.3596601293993407</v>
      </c>
      <c r="W15" s="106">
        <f t="shared" si="5"/>
        <v>178.5</v>
      </c>
      <c r="X15" s="23">
        <f t="shared" si="6"/>
        <v>4.4625000000000004</v>
      </c>
      <c r="Y15" s="96">
        <f t="shared" si="7"/>
        <v>0</v>
      </c>
      <c r="Z15" s="23">
        <f t="shared" si="8"/>
        <v>0</v>
      </c>
      <c r="AA15" s="107">
        <f t="shared" si="9"/>
        <v>4.7152058734455498</v>
      </c>
      <c r="AB15" s="23">
        <f t="shared" si="10"/>
        <v>0.69854901828822957</v>
      </c>
      <c r="AD15" s="107">
        <f t="shared" si="11"/>
        <v>5.8277058734455496</v>
      </c>
      <c r="AE15" s="23">
        <f t="shared" si="12"/>
        <v>1.3499999999999999</v>
      </c>
      <c r="AF15" s="108">
        <f t="shared" si="13"/>
        <v>2</v>
      </c>
      <c r="AH15" s="104">
        <f t="shared" si="17"/>
        <v>2</v>
      </c>
      <c r="AJ15" s="104">
        <f t="shared" si="18"/>
        <v>22</v>
      </c>
      <c r="AK15" s="23">
        <f t="shared" si="14"/>
        <v>0.69854901828822957</v>
      </c>
    </row>
    <row r="16" spans="1:37" ht="14.5" customHeight="1" x14ac:dyDescent="0.35">
      <c r="A16" s="23">
        <v>13</v>
      </c>
      <c r="B16" s="118" t="s">
        <v>232</v>
      </c>
      <c r="C16" s="103" t="s">
        <v>121</v>
      </c>
      <c r="D16" s="23" t="s">
        <v>139</v>
      </c>
      <c r="E16" s="23" t="s">
        <v>171</v>
      </c>
      <c r="F16" s="23" t="s">
        <v>83</v>
      </c>
      <c r="G16" s="104">
        <v>2</v>
      </c>
      <c r="H16" s="105">
        <v>77.5</v>
      </c>
      <c r="I16" s="106" t="s">
        <v>98</v>
      </c>
      <c r="J16" s="106">
        <v>10</v>
      </c>
      <c r="K16" s="3">
        <v>0.05</v>
      </c>
      <c r="L16" s="107">
        <f t="shared" si="15"/>
        <v>10.036604559822891</v>
      </c>
      <c r="M16" s="3">
        <v>0.03</v>
      </c>
      <c r="N16" s="23">
        <f t="shared" si="16"/>
        <v>2.3249999999999997</v>
      </c>
      <c r="O16" s="106">
        <v>10</v>
      </c>
      <c r="P16" s="106">
        <v>200</v>
      </c>
      <c r="Q16" s="108">
        <f t="shared" si="0"/>
        <v>2</v>
      </c>
      <c r="R16" s="107">
        <f t="shared" si="1"/>
        <v>14.36160455982289</v>
      </c>
      <c r="S16" s="107">
        <f t="shared" si="2"/>
        <v>25</v>
      </c>
      <c r="T16" s="109">
        <v>0.27</v>
      </c>
      <c r="U16" s="23">
        <f t="shared" si="3"/>
        <v>6.75</v>
      </c>
      <c r="V16" s="23">
        <f t="shared" si="4"/>
        <v>2.1276451199737614</v>
      </c>
      <c r="W16" s="106">
        <f t="shared" si="5"/>
        <v>178.5</v>
      </c>
      <c r="X16" s="23">
        <f t="shared" si="6"/>
        <v>4.4625000000000004</v>
      </c>
      <c r="Y16" s="96">
        <f t="shared" si="7"/>
        <v>0</v>
      </c>
      <c r="Z16" s="23">
        <f t="shared" si="8"/>
        <v>0</v>
      </c>
      <c r="AA16" s="107">
        <f t="shared" si="9"/>
        <v>9.8991045598228897</v>
      </c>
      <c r="AB16" s="23">
        <f t="shared" si="10"/>
        <v>1.4665340088626504</v>
      </c>
      <c r="AD16" s="107">
        <f t="shared" si="11"/>
        <v>10.036604559822891</v>
      </c>
      <c r="AE16" s="23">
        <f t="shared" si="12"/>
        <v>2.3249999999999997</v>
      </c>
      <c r="AF16" s="108">
        <f t="shared" si="13"/>
        <v>2</v>
      </c>
      <c r="AH16" s="104">
        <f t="shared" si="17"/>
        <v>2</v>
      </c>
      <c r="AJ16" s="104">
        <f t="shared" si="18"/>
        <v>24</v>
      </c>
      <c r="AK16" s="23">
        <f t="shared" si="14"/>
        <v>1.4665340088626504</v>
      </c>
    </row>
    <row r="17" spans="1:37" ht="14.5" customHeight="1" x14ac:dyDescent="0.35">
      <c r="A17" s="23">
        <v>14</v>
      </c>
      <c r="B17" s="118" t="s">
        <v>152</v>
      </c>
      <c r="C17" s="103" t="s">
        <v>122</v>
      </c>
      <c r="D17" s="23" t="s">
        <v>139</v>
      </c>
      <c r="E17" s="23" t="s">
        <v>171</v>
      </c>
      <c r="F17" s="23" t="s">
        <v>83</v>
      </c>
      <c r="G17" s="104">
        <v>1</v>
      </c>
      <c r="H17" s="105">
        <v>776</v>
      </c>
      <c r="I17" s="106" t="s">
        <v>98</v>
      </c>
      <c r="J17" s="106">
        <v>10</v>
      </c>
      <c r="K17" s="3">
        <v>0.05</v>
      </c>
      <c r="L17" s="107">
        <f t="shared" si="15"/>
        <v>100.49555017319437</v>
      </c>
      <c r="M17" s="3">
        <v>0.03</v>
      </c>
      <c r="N17" s="23">
        <f t="shared" si="16"/>
        <v>23.279999999999998</v>
      </c>
      <c r="O17" s="106">
        <v>10</v>
      </c>
      <c r="P17" s="106">
        <v>200</v>
      </c>
      <c r="Q17" s="108">
        <f t="shared" si="0"/>
        <v>2</v>
      </c>
      <c r="R17" s="107">
        <f t="shared" si="1"/>
        <v>125.77555017319438</v>
      </c>
      <c r="S17" s="107">
        <f t="shared" si="2"/>
        <v>25</v>
      </c>
      <c r="T17" s="109">
        <v>0.27</v>
      </c>
      <c r="U17" s="23">
        <f t="shared" si="3"/>
        <v>6.75</v>
      </c>
      <c r="V17" s="23">
        <f t="shared" si="4"/>
        <v>18.63341484047324</v>
      </c>
      <c r="W17" s="106">
        <f t="shared" si="5"/>
        <v>178.5</v>
      </c>
      <c r="X17" s="23">
        <f t="shared" si="6"/>
        <v>4.4625000000000004</v>
      </c>
      <c r="Y17" s="96">
        <f t="shared" si="7"/>
        <v>0</v>
      </c>
      <c r="Z17" s="23">
        <f t="shared" si="8"/>
        <v>0</v>
      </c>
      <c r="AA17" s="107">
        <f t="shared" si="9"/>
        <v>121.31305017319437</v>
      </c>
      <c r="AB17" s="23">
        <f t="shared" si="10"/>
        <v>17.972303729362128</v>
      </c>
      <c r="AD17" s="107">
        <f t="shared" si="11"/>
        <v>100.49555017319437</v>
      </c>
      <c r="AE17" s="23">
        <f t="shared" si="12"/>
        <v>23.279999999999998</v>
      </c>
      <c r="AF17" s="108">
        <f t="shared" si="13"/>
        <v>2</v>
      </c>
      <c r="AH17" s="104">
        <f t="shared" si="17"/>
        <v>1</v>
      </c>
      <c r="AJ17" s="104">
        <f t="shared" si="18"/>
        <v>25</v>
      </c>
      <c r="AK17" s="23">
        <f t="shared" si="14"/>
        <v>17.972303729362128</v>
      </c>
    </row>
    <row r="18" spans="1:37" ht="14.5" customHeight="1" x14ac:dyDescent="0.35">
      <c r="A18" s="23">
        <v>15</v>
      </c>
      <c r="B18" s="118" t="s">
        <v>153</v>
      </c>
      <c r="C18" s="103" t="s">
        <v>123</v>
      </c>
      <c r="D18" s="23" t="s">
        <v>139</v>
      </c>
      <c r="E18" s="23" t="s">
        <v>171</v>
      </c>
      <c r="F18" s="23" t="s">
        <v>83</v>
      </c>
      <c r="G18" s="104">
        <v>1</v>
      </c>
      <c r="H18" s="105">
        <v>288</v>
      </c>
      <c r="I18" s="106" t="s">
        <v>98</v>
      </c>
      <c r="J18" s="106">
        <v>10</v>
      </c>
      <c r="K18" s="3">
        <v>0.05</v>
      </c>
      <c r="L18" s="107">
        <f t="shared" si="15"/>
        <v>37.29731759005152</v>
      </c>
      <c r="M18" s="3">
        <v>0.03</v>
      </c>
      <c r="N18" s="23">
        <f t="shared" si="16"/>
        <v>8.64</v>
      </c>
      <c r="O18" s="106">
        <v>10</v>
      </c>
      <c r="P18" s="106">
        <v>200</v>
      </c>
      <c r="Q18" s="108">
        <f t="shared" si="0"/>
        <v>2</v>
      </c>
      <c r="R18" s="107">
        <f t="shared" si="1"/>
        <v>47.937317590051521</v>
      </c>
      <c r="S18" s="107">
        <f t="shared" si="2"/>
        <v>25</v>
      </c>
      <c r="T18" s="109">
        <v>0.27</v>
      </c>
      <c r="U18" s="23">
        <f t="shared" si="3"/>
        <v>6.75</v>
      </c>
      <c r="V18" s="23">
        <f t="shared" si="4"/>
        <v>7.101824828155781</v>
      </c>
      <c r="W18" s="106">
        <f t="shared" si="5"/>
        <v>178.5</v>
      </c>
      <c r="X18" s="23">
        <f t="shared" si="6"/>
        <v>4.4625000000000004</v>
      </c>
      <c r="Y18" s="96">
        <f t="shared" si="7"/>
        <v>0</v>
      </c>
      <c r="Z18" s="23">
        <f t="shared" si="8"/>
        <v>0</v>
      </c>
      <c r="AA18" s="107">
        <f t="shared" si="9"/>
        <v>43.474817590051522</v>
      </c>
      <c r="AB18" s="23">
        <f t="shared" si="10"/>
        <v>6.4407137170446696</v>
      </c>
      <c r="AD18" s="107">
        <f t="shared" si="11"/>
        <v>37.29731759005152</v>
      </c>
      <c r="AE18" s="23">
        <f t="shared" si="12"/>
        <v>8.64</v>
      </c>
      <c r="AF18" s="108">
        <f t="shared" si="13"/>
        <v>2</v>
      </c>
      <c r="AH18" s="104">
        <f t="shared" si="17"/>
        <v>1</v>
      </c>
      <c r="AJ18" s="104">
        <f t="shared" si="18"/>
        <v>26</v>
      </c>
      <c r="AK18" s="23">
        <f t="shared" si="14"/>
        <v>6.4407137170446696</v>
      </c>
    </row>
    <row r="19" spans="1:37" ht="14.5" customHeight="1" x14ac:dyDescent="0.35">
      <c r="A19" s="23">
        <v>16</v>
      </c>
      <c r="B19" s="118" t="s">
        <v>154</v>
      </c>
      <c r="C19" s="103" t="s">
        <v>124</v>
      </c>
      <c r="D19" s="23" t="s">
        <v>139</v>
      </c>
      <c r="E19" s="23" t="s">
        <v>171</v>
      </c>
      <c r="F19" s="23" t="s">
        <v>83</v>
      </c>
      <c r="G19" s="104">
        <v>2</v>
      </c>
      <c r="H19" s="105">
        <v>45</v>
      </c>
      <c r="I19" s="106" t="s">
        <v>98</v>
      </c>
      <c r="J19" s="106">
        <v>10</v>
      </c>
      <c r="K19" s="3">
        <v>0.05</v>
      </c>
      <c r="L19" s="107">
        <f t="shared" si="15"/>
        <v>5.8277058734455496</v>
      </c>
      <c r="M19" s="3">
        <v>0.03</v>
      </c>
      <c r="N19" s="23">
        <f t="shared" si="16"/>
        <v>1.3499999999999999</v>
      </c>
      <c r="O19" s="106">
        <v>10</v>
      </c>
      <c r="P19" s="106">
        <v>200</v>
      </c>
      <c r="Q19" s="108">
        <f t="shared" si="0"/>
        <v>2</v>
      </c>
      <c r="R19" s="107">
        <f t="shared" si="1"/>
        <v>9.1777058734455501</v>
      </c>
      <c r="S19" s="107">
        <f t="shared" si="2"/>
        <v>25</v>
      </c>
      <c r="T19" s="109">
        <v>0.27</v>
      </c>
      <c r="U19" s="23">
        <f t="shared" si="3"/>
        <v>6.75</v>
      </c>
      <c r="V19" s="23">
        <f t="shared" si="4"/>
        <v>1.3596601293993407</v>
      </c>
      <c r="W19" s="106">
        <f t="shared" si="5"/>
        <v>178.5</v>
      </c>
      <c r="X19" s="23">
        <f t="shared" si="6"/>
        <v>4.4625000000000004</v>
      </c>
      <c r="Y19" s="96">
        <f t="shared" si="7"/>
        <v>0</v>
      </c>
      <c r="Z19" s="23">
        <f t="shared" si="8"/>
        <v>0</v>
      </c>
      <c r="AA19" s="107">
        <f t="shared" si="9"/>
        <v>4.7152058734455498</v>
      </c>
      <c r="AB19" s="23">
        <f t="shared" si="10"/>
        <v>0.69854901828822957</v>
      </c>
      <c r="AD19" s="107">
        <f t="shared" si="11"/>
        <v>5.8277058734455496</v>
      </c>
      <c r="AE19" s="23">
        <f t="shared" si="12"/>
        <v>1.3499999999999999</v>
      </c>
      <c r="AF19" s="108">
        <f t="shared" si="13"/>
        <v>2</v>
      </c>
      <c r="AH19" s="104">
        <f t="shared" si="17"/>
        <v>2</v>
      </c>
      <c r="AJ19" s="104">
        <f t="shared" si="18"/>
        <v>28</v>
      </c>
      <c r="AK19" s="23">
        <f t="shared" si="14"/>
        <v>0.69854901828822957</v>
      </c>
    </row>
    <row r="20" spans="1:37" ht="14.5" customHeight="1" x14ac:dyDescent="0.35">
      <c r="A20" s="23">
        <v>17</v>
      </c>
      <c r="B20" s="118" t="s">
        <v>143</v>
      </c>
      <c r="C20" s="103"/>
      <c r="D20" s="23" t="s">
        <v>156</v>
      </c>
      <c r="E20" s="23" t="s">
        <v>171</v>
      </c>
      <c r="F20" s="23" t="s">
        <v>83</v>
      </c>
      <c r="G20" s="104">
        <v>2</v>
      </c>
      <c r="H20" s="105">
        <v>308</v>
      </c>
      <c r="I20" s="106" t="s">
        <v>98</v>
      </c>
      <c r="J20" s="106">
        <v>10</v>
      </c>
      <c r="K20" s="3">
        <v>0.05</v>
      </c>
      <c r="L20" s="107">
        <f t="shared" si="15"/>
        <v>39.887409089360659</v>
      </c>
      <c r="M20" s="3">
        <v>0.03</v>
      </c>
      <c r="N20" s="23">
        <f t="shared" si="16"/>
        <v>9.24</v>
      </c>
      <c r="O20" s="106">
        <v>12.5</v>
      </c>
      <c r="P20" s="106">
        <v>300</v>
      </c>
      <c r="Q20" s="108">
        <f t="shared" si="0"/>
        <v>3.75</v>
      </c>
      <c r="R20" s="107">
        <f t="shared" si="1"/>
        <v>52.877409089360661</v>
      </c>
      <c r="S20" s="107">
        <f>2*O20</f>
        <v>25</v>
      </c>
      <c r="T20" s="109">
        <v>0.27</v>
      </c>
      <c r="U20" s="23">
        <f t="shared" si="3"/>
        <v>6.75</v>
      </c>
      <c r="V20" s="23">
        <f t="shared" si="4"/>
        <v>7.8336902354608391</v>
      </c>
      <c r="W20" s="106">
        <f t="shared" si="5"/>
        <v>178.5</v>
      </c>
      <c r="X20" s="23">
        <f t="shared" si="6"/>
        <v>4.4625000000000004</v>
      </c>
      <c r="Y20" s="96">
        <f t="shared" si="7"/>
        <v>0</v>
      </c>
      <c r="Z20" s="23">
        <f t="shared" si="8"/>
        <v>0</v>
      </c>
      <c r="AA20" s="107">
        <f t="shared" si="9"/>
        <v>48.414909089360663</v>
      </c>
      <c r="AB20" s="23">
        <f t="shared" si="10"/>
        <v>7.1725791243497277</v>
      </c>
      <c r="AD20" s="107">
        <f t="shared" si="11"/>
        <v>39.887409089360659</v>
      </c>
      <c r="AE20" s="23">
        <f t="shared" si="12"/>
        <v>9.24</v>
      </c>
      <c r="AF20" s="108">
        <f t="shared" si="13"/>
        <v>3.75</v>
      </c>
      <c r="AH20" s="104">
        <f t="shared" si="17"/>
        <v>2</v>
      </c>
      <c r="AJ20" s="104">
        <f t="shared" si="18"/>
        <v>30</v>
      </c>
      <c r="AK20" s="23">
        <f t="shared" si="14"/>
        <v>7.1725791243497277</v>
      </c>
    </row>
    <row r="21" spans="1:37" ht="14.5" customHeight="1" x14ac:dyDescent="0.35">
      <c r="A21" s="23">
        <v>18</v>
      </c>
      <c r="B21" s="119" t="s">
        <v>148</v>
      </c>
      <c r="C21" s="103"/>
      <c r="D21" s="23" t="s">
        <v>156</v>
      </c>
      <c r="E21" s="23" t="s">
        <v>171</v>
      </c>
      <c r="F21" s="23" t="s">
        <v>83</v>
      </c>
      <c r="G21" s="104">
        <v>2</v>
      </c>
      <c r="H21" s="105">
        <v>308</v>
      </c>
      <c r="I21" s="106" t="s">
        <v>98</v>
      </c>
      <c r="J21" s="106">
        <v>10</v>
      </c>
      <c r="K21" s="3">
        <v>0.05</v>
      </c>
      <c r="L21" s="107">
        <f t="shared" si="15"/>
        <v>39.887409089360659</v>
      </c>
      <c r="M21" s="3">
        <v>0.03</v>
      </c>
      <c r="N21" s="23">
        <f t="shared" si="16"/>
        <v>9.24</v>
      </c>
      <c r="O21" s="106">
        <v>12.5</v>
      </c>
      <c r="P21" s="106">
        <v>300</v>
      </c>
      <c r="Q21" s="108">
        <f t="shared" si="0"/>
        <v>3.75</v>
      </c>
      <c r="R21" s="107">
        <f t="shared" si="1"/>
        <v>52.877409089360661</v>
      </c>
      <c r="S21" s="107">
        <f>2*O21</f>
        <v>25</v>
      </c>
      <c r="T21" s="109">
        <v>0.27</v>
      </c>
      <c r="U21" s="23">
        <f t="shared" si="3"/>
        <v>6.75</v>
      </c>
      <c r="V21" s="23">
        <f t="shared" si="4"/>
        <v>7.8336902354608391</v>
      </c>
      <c r="W21" s="106">
        <f t="shared" si="5"/>
        <v>178.5</v>
      </c>
      <c r="X21" s="23">
        <f t="shared" si="6"/>
        <v>4.4625000000000004</v>
      </c>
      <c r="Y21" s="96">
        <f t="shared" si="7"/>
        <v>0</v>
      </c>
      <c r="Z21" s="23">
        <f t="shared" si="8"/>
        <v>0</v>
      </c>
      <c r="AA21" s="107">
        <f t="shared" si="9"/>
        <v>48.414909089360663</v>
      </c>
      <c r="AB21" s="23">
        <f t="shared" si="10"/>
        <v>7.1725791243497277</v>
      </c>
      <c r="AD21" s="107">
        <f t="shared" si="11"/>
        <v>39.887409089360659</v>
      </c>
      <c r="AE21" s="23">
        <f t="shared" si="12"/>
        <v>9.24</v>
      </c>
      <c r="AF21" s="108">
        <f t="shared" si="13"/>
        <v>3.75</v>
      </c>
      <c r="AH21" s="104">
        <f t="shared" si="17"/>
        <v>2</v>
      </c>
      <c r="AJ21" s="104">
        <f t="shared" si="18"/>
        <v>32</v>
      </c>
      <c r="AK21" s="23">
        <f t="shared" si="14"/>
        <v>7.1725791243497277</v>
      </c>
    </row>
    <row r="22" spans="1:37" ht="14.5" customHeight="1" x14ac:dyDescent="0.35">
      <c r="A22" s="23">
        <v>19</v>
      </c>
      <c r="B22" s="120" t="s">
        <v>140</v>
      </c>
      <c r="C22" s="110" t="s">
        <v>125</v>
      </c>
      <c r="D22" s="111" t="s">
        <v>157</v>
      </c>
      <c r="E22" s="111" t="s">
        <v>170</v>
      </c>
      <c r="F22" s="111" t="s">
        <v>159</v>
      </c>
      <c r="G22" s="112">
        <v>30</v>
      </c>
      <c r="H22" s="113">
        <v>2</v>
      </c>
      <c r="I22" s="111" t="s">
        <v>166</v>
      </c>
      <c r="J22" s="111">
        <v>15</v>
      </c>
      <c r="K22" s="47">
        <v>0.05</v>
      </c>
      <c r="L22" s="114">
        <f t="shared" si="15"/>
        <v>0.19268457521848875</v>
      </c>
      <c r="M22" s="47">
        <v>0.03</v>
      </c>
      <c r="N22" s="111">
        <f t="shared" si="16"/>
        <v>0.06</v>
      </c>
      <c r="O22" s="111">
        <v>2.63</v>
      </c>
      <c r="P22" s="111">
        <v>200</v>
      </c>
      <c r="Q22" s="115">
        <f t="shared" si="0"/>
        <v>0.52600000000000002</v>
      </c>
      <c r="R22" s="114">
        <f t="shared" si="1"/>
        <v>0.77868457521848877</v>
      </c>
      <c r="S22" s="114">
        <f>3.5*O22</f>
        <v>9.2050000000000001</v>
      </c>
      <c r="T22" s="114">
        <v>0.18</v>
      </c>
      <c r="U22" s="111">
        <f t="shared" si="3"/>
        <v>1.6569</v>
      </c>
      <c r="V22" s="111">
        <f t="shared" si="4"/>
        <v>0.46996473849869563</v>
      </c>
      <c r="W22" s="116">
        <v>103</v>
      </c>
      <c r="X22" s="111">
        <f t="shared" si="6"/>
        <v>0.94811500000000004</v>
      </c>
      <c r="Y22" s="111">
        <f t="shared" ref="Y22:Y28" si="19">$AC$2</f>
        <v>0</v>
      </c>
      <c r="Z22" s="111">
        <f t="shared" si="8"/>
        <v>0</v>
      </c>
      <c r="AA22" s="114">
        <f t="shared" si="9"/>
        <v>-0.16943042478151127</v>
      </c>
      <c r="AB22" s="111">
        <f t="shared" si="10"/>
        <v>-0.10225748372352662</v>
      </c>
      <c r="AC22" s="111"/>
      <c r="AD22" s="114">
        <f t="shared" si="11"/>
        <v>0.19268457521848875</v>
      </c>
      <c r="AE22" s="111">
        <f t="shared" si="12"/>
        <v>0.06</v>
      </c>
      <c r="AF22" s="115">
        <f t="shared" si="13"/>
        <v>0.52600000000000002</v>
      </c>
      <c r="AH22" s="104">
        <f t="shared" si="17"/>
        <v>30</v>
      </c>
      <c r="AJ22" s="104">
        <f t="shared" si="18"/>
        <v>62</v>
      </c>
      <c r="AK22" s="23">
        <f t="shared" si="14"/>
        <v>-0.10225748372352662</v>
      </c>
    </row>
    <row r="23" spans="1:37" ht="14.5" customHeight="1" x14ac:dyDescent="0.35">
      <c r="A23" s="23">
        <v>20</v>
      </c>
      <c r="B23" s="120" t="s">
        <v>162</v>
      </c>
      <c r="C23" s="110"/>
      <c r="D23" s="111" t="s">
        <v>157</v>
      </c>
      <c r="E23" s="111" t="s">
        <v>170</v>
      </c>
      <c r="F23" s="111" t="s">
        <v>158</v>
      </c>
      <c r="G23" s="112">
        <v>10</v>
      </c>
      <c r="H23" s="113">
        <v>0.15</v>
      </c>
      <c r="I23" s="111" t="s">
        <v>166</v>
      </c>
      <c r="J23" s="111">
        <v>15</v>
      </c>
      <c r="K23" s="47">
        <v>0.05</v>
      </c>
      <c r="L23" s="114">
        <f t="shared" si="15"/>
        <v>1.4451343141386656E-2</v>
      </c>
      <c r="M23" s="47">
        <v>0.03</v>
      </c>
      <c r="N23" s="111">
        <f t="shared" si="16"/>
        <v>4.4999999999999997E-3</v>
      </c>
      <c r="O23" s="111">
        <v>1.5</v>
      </c>
      <c r="P23" s="111">
        <v>200</v>
      </c>
      <c r="Q23" s="115">
        <f t="shared" si="0"/>
        <v>0.3</v>
      </c>
      <c r="R23" s="114">
        <f t="shared" si="1"/>
        <v>0.31895134314138662</v>
      </c>
      <c r="S23" s="114">
        <f>2*O23</f>
        <v>3</v>
      </c>
      <c r="T23" s="114">
        <v>0.1</v>
      </c>
      <c r="U23" s="111">
        <f t="shared" si="3"/>
        <v>0.30000000000000004</v>
      </c>
      <c r="V23" s="111">
        <f t="shared" si="4"/>
        <v>1.0631711438046219</v>
      </c>
      <c r="W23" s="111">
        <v>200</v>
      </c>
      <c r="X23" s="111">
        <f t="shared" si="6"/>
        <v>0.6</v>
      </c>
      <c r="Y23" s="111">
        <f t="shared" si="19"/>
        <v>0</v>
      </c>
      <c r="Z23" s="111">
        <f t="shared" si="8"/>
        <v>0</v>
      </c>
      <c r="AA23" s="114">
        <f t="shared" si="9"/>
        <v>-0.28104865685861335</v>
      </c>
      <c r="AB23" s="111">
        <f t="shared" si="10"/>
        <v>-0.9368288561953777</v>
      </c>
      <c r="AC23" s="111"/>
      <c r="AD23" s="114">
        <f t="shared" si="11"/>
        <v>1.4451343141386656E-2</v>
      </c>
      <c r="AE23" s="111">
        <f t="shared" si="12"/>
        <v>4.4999999999999997E-3</v>
      </c>
      <c r="AF23" s="115">
        <f t="shared" si="13"/>
        <v>0.3</v>
      </c>
      <c r="AH23" s="104">
        <f t="shared" si="17"/>
        <v>10</v>
      </c>
      <c r="AJ23" s="104">
        <f t="shared" si="18"/>
        <v>72</v>
      </c>
      <c r="AK23" s="23">
        <f t="shared" si="14"/>
        <v>-0.9368288561953777</v>
      </c>
    </row>
    <row r="24" spans="1:37" ht="14.5" customHeight="1" x14ac:dyDescent="0.35">
      <c r="A24" s="23">
        <v>21</v>
      </c>
      <c r="B24" s="120" t="s">
        <v>160</v>
      </c>
      <c r="C24" s="46" t="s">
        <v>34</v>
      </c>
      <c r="D24" s="48" t="s">
        <v>163</v>
      </c>
      <c r="E24" s="111" t="s">
        <v>170</v>
      </c>
      <c r="F24" s="48" t="s">
        <v>158</v>
      </c>
      <c r="G24" s="112">
        <v>20</v>
      </c>
      <c r="H24" s="113">
        <v>0.25</v>
      </c>
      <c r="I24" s="111" t="s">
        <v>166</v>
      </c>
      <c r="J24" s="111">
        <v>15</v>
      </c>
      <c r="K24" s="47">
        <v>0.05</v>
      </c>
      <c r="L24" s="114">
        <f t="shared" si="15"/>
        <v>2.4085571902311094E-2</v>
      </c>
      <c r="M24" s="47">
        <v>0.03</v>
      </c>
      <c r="N24" s="111">
        <f t="shared" si="16"/>
        <v>7.4999999999999997E-3</v>
      </c>
      <c r="O24" s="111">
        <v>4.4000000000000004</v>
      </c>
      <c r="P24" s="111">
        <v>200</v>
      </c>
      <c r="Q24" s="115">
        <f t="shared" si="0"/>
        <v>0.88000000000000012</v>
      </c>
      <c r="R24" s="114">
        <f t="shared" si="1"/>
        <v>0.91158557190231115</v>
      </c>
      <c r="S24" s="114">
        <f>1.2*O24</f>
        <v>5.28</v>
      </c>
      <c r="T24" s="114">
        <v>0.1</v>
      </c>
      <c r="U24" s="111">
        <f t="shared" si="3"/>
        <v>0.52800000000000002</v>
      </c>
      <c r="V24" s="111">
        <f t="shared" si="4"/>
        <v>1.7264878255725589</v>
      </c>
      <c r="W24" s="111">
        <v>200</v>
      </c>
      <c r="X24" s="111">
        <f t="shared" si="6"/>
        <v>1.056</v>
      </c>
      <c r="Y24" s="111">
        <f t="shared" si="19"/>
        <v>0</v>
      </c>
      <c r="Z24" s="111">
        <f t="shared" si="8"/>
        <v>0</v>
      </c>
      <c r="AA24" s="114">
        <f t="shared" si="9"/>
        <v>-0.1444144280976889</v>
      </c>
      <c r="AB24" s="111">
        <f t="shared" si="10"/>
        <v>-0.27351217442744108</v>
      </c>
      <c r="AC24" s="111"/>
      <c r="AD24" s="114">
        <f t="shared" si="11"/>
        <v>2.4085571902311094E-2</v>
      </c>
      <c r="AE24" s="111">
        <f t="shared" si="12"/>
        <v>7.4999999999999997E-3</v>
      </c>
      <c r="AF24" s="115">
        <f t="shared" si="13"/>
        <v>0.88000000000000012</v>
      </c>
      <c r="AH24" s="104">
        <f t="shared" si="17"/>
        <v>20</v>
      </c>
      <c r="AJ24" s="104">
        <f t="shared" si="18"/>
        <v>92</v>
      </c>
      <c r="AK24" s="23">
        <f t="shared" si="14"/>
        <v>-0.27351217442744108</v>
      </c>
    </row>
    <row r="25" spans="1:37" ht="14.5" customHeight="1" x14ac:dyDescent="0.35">
      <c r="A25" s="23">
        <v>22</v>
      </c>
      <c r="B25" s="120" t="s">
        <v>161</v>
      </c>
      <c r="C25" s="46" t="s">
        <v>126</v>
      </c>
      <c r="D25" s="48" t="s">
        <v>163</v>
      </c>
      <c r="E25" s="111" t="s">
        <v>170</v>
      </c>
      <c r="F25" s="48" t="s">
        <v>158</v>
      </c>
      <c r="G25" s="112">
        <v>10</v>
      </c>
      <c r="H25" s="113">
        <v>0.5</v>
      </c>
      <c r="I25" s="111" t="s">
        <v>166</v>
      </c>
      <c r="J25" s="111">
        <v>10</v>
      </c>
      <c r="K25" s="47">
        <v>0.05</v>
      </c>
      <c r="L25" s="114">
        <f t="shared" si="15"/>
        <v>6.4752287482728335E-2</v>
      </c>
      <c r="M25" s="47">
        <v>0.03</v>
      </c>
      <c r="N25" s="111">
        <f t="shared" si="16"/>
        <v>1.4999999999999999E-2</v>
      </c>
      <c r="O25" s="111">
        <v>4.4000000000000004</v>
      </c>
      <c r="P25" s="111">
        <v>200</v>
      </c>
      <c r="Q25" s="115">
        <f t="shared" si="0"/>
        <v>0.88000000000000012</v>
      </c>
      <c r="R25" s="114">
        <f t="shared" si="1"/>
        <v>0.95975228748272845</v>
      </c>
      <c r="S25" s="114">
        <f>1.2*O25</f>
        <v>5.28</v>
      </c>
      <c r="T25" s="114">
        <v>0.1</v>
      </c>
      <c r="U25" s="111">
        <f t="shared" si="3"/>
        <v>0.52800000000000002</v>
      </c>
      <c r="V25" s="111">
        <f t="shared" si="4"/>
        <v>1.8177126656869855</v>
      </c>
      <c r="W25" s="111">
        <v>200</v>
      </c>
      <c r="X25" s="111">
        <f t="shared" si="6"/>
        <v>1.056</v>
      </c>
      <c r="Y25" s="111">
        <f t="shared" si="19"/>
        <v>0</v>
      </c>
      <c r="Z25" s="111">
        <f t="shared" si="8"/>
        <v>0</v>
      </c>
      <c r="AA25" s="114">
        <f t="shared" si="9"/>
        <v>-9.62477125172716E-2</v>
      </c>
      <c r="AB25" s="111">
        <f t="shared" si="10"/>
        <v>-0.18228733431301439</v>
      </c>
      <c r="AC25" s="111"/>
      <c r="AD25" s="114">
        <f t="shared" si="11"/>
        <v>6.4752287482728335E-2</v>
      </c>
      <c r="AE25" s="111">
        <f t="shared" si="12"/>
        <v>1.4999999999999999E-2</v>
      </c>
      <c r="AF25" s="115">
        <f t="shared" si="13"/>
        <v>0.88000000000000012</v>
      </c>
      <c r="AH25" s="104">
        <f t="shared" si="17"/>
        <v>10</v>
      </c>
      <c r="AJ25" s="104">
        <f t="shared" si="18"/>
        <v>102</v>
      </c>
      <c r="AK25" s="23">
        <f t="shared" si="14"/>
        <v>-0.18228733431301439</v>
      </c>
    </row>
    <row r="26" spans="1:37" ht="14.5" customHeight="1" x14ac:dyDescent="0.35">
      <c r="A26" s="23">
        <v>23</v>
      </c>
      <c r="B26" s="120" t="s">
        <v>164</v>
      </c>
      <c r="C26" s="46" t="s">
        <v>127</v>
      </c>
      <c r="D26" s="48" t="s">
        <v>163</v>
      </c>
      <c r="E26" s="111" t="s">
        <v>170</v>
      </c>
      <c r="F26" s="48" t="s">
        <v>158</v>
      </c>
      <c r="G26" s="112">
        <v>20</v>
      </c>
      <c r="H26" s="113">
        <v>1</v>
      </c>
      <c r="I26" s="111" t="s">
        <v>166</v>
      </c>
      <c r="J26" s="111">
        <v>10</v>
      </c>
      <c r="K26" s="47">
        <v>0.05</v>
      </c>
      <c r="L26" s="114">
        <f t="shared" si="15"/>
        <v>0.12950457496545667</v>
      </c>
      <c r="M26" s="47">
        <v>0.03</v>
      </c>
      <c r="N26" s="111">
        <f t="shared" si="16"/>
        <v>0.03</v>
      </c>
      <c r="O26" s="111">
        <v>4.4000000000000004</v>
      </c>
      <c r="P26" s="111">
        <v>200</v>
      </c>
      <c r="Q26" s="115">
        <f t="shared" si="0"/>
        <v>0.88000000000000012</v>
      </c>
      <c r="R26" s="114">
        <f t="shared" si="1"/>
        <v>1.0395045749654568</v>
      </c>
      <c r="S26" s="114">
        <f>1.2*O26</f>
        <v>5.28</v>
      </c>
      <c r="T26" s="114">
        <v>0.1</v>
      </c>
      <c r="U26" s="111">
        <f t="shared" si="3"/>
        <v>0.52800000000000002</v>
      </c>
      <c r="V26" s="111">
        <f t="shared" si="4"/>
        <v>1.9687586647073043</v>
      </c>
      <c r="W26" s="111">
        <v>200</v>
      </c>
      <c r="X26" s="111">
        <f t="shared" si="6"/>
        <v>1.056</v>
      </c>
      <c r="Y26" s="111">
        <f t="shared" si="19"/>
        <v>0</v>
      </c>
      <c r="Z26" s="111">
        <f t="shared" si="8"/>
        <v>0</v>
      </c>
      <c r="AA26" s="114">
        <f t="shared" si="9"/>
        <v>-1.6495425034543265E-2</v>
      </c>
      <c r="AB26" s="111">
        <f t="shared" si="10"/>
        <v>-3.1241335292695578E-2</v>
      </c>
      <c r="AC26" s="111"/>
      <c r="AD26" s="114">
        <f t="shared" si="11"/>
        <v>0.12950457496545667</v>
      </c>
      <c r="AE26" s="111">
        <f t="shared" si="12"/>
        <v>0.03</v>
      </c>
      <c r="AF26" s="115">
        <f t="shared" si="13"/>
        <v>0.88000000000000012</v>
      </c>
      <c r="AH26" s="104">
        <f t="shared" si="17"/>
        <v>20</v>
      </c>
      <c r="AJ26" s="104">
        <f t="shared" si="18"/>
        <v>122</v>
      </c>
      <c r="AK26" s="23">
        <f t="shared" si="14"/>
        <v>-3.1241335292695578E-2</v>
      </c>
    </row>
    <row r="27" spans="1:37" ht="14.5" customHeight="1" x14ac:dyDescent="0.35">
      <c r="A27" s="23">
        <v>24</v>
      </c>
      <c r="B27" s="120" t="s">
        <v>165</v>
      </c>
      <c r="C27" s="120" t="s">
        <v>165</v>
      </c>
      <c r="D27" s="120" t="s">
        <v>165</v>
      </c>
      <c r="E27" s="111" t="s">
        <v>170</v>
      </c>
      <c r="F27" s="48" t="s">
        <v>158</v>
      </c>
      <c r="G27" s="112">
        <v>5</v>
      </c>
      <c r="H27" s="113">
        <v>0.5</v>
      </c>
      <c r="I27" s="111" t="s">
        <v>166</v>
      </c>
      <c r="J27" s="111">
        <v>10</v>
      </c>
      <c r="K27" s="47">
        <v>0.05</v>
      </c>
      <c r="L27" s="114">
        <f t="shared" si="15"/>
        <v>6.4752287482728335E-2</v>
      </c>
      <c r="M27" s="47">
        <v>0.03</v>
      </c>
      <c r="N27" s="111">
        <f t="shared" si="16"/>
        <v>1.4999999999999999E-2</v>
      </c>
      <c r="O27" s="111">
        <v>4.4000000000000004</v>
      </c>
      <c r="P27" s="111">
        <v>200</v>
      </c>
      <c r="Q27" s="115">
        <f t="shared" si="0"/>
        <v>0.88000000000000012</v>
      </c>
      <c r="R27" s="114">
        <f t="shared" si="1"/>
        <v>0.95975228748272845</v>
      </c>
      <c r="S27" s="114">
        <f>1.2*O27</f>
        <v>5.28</v>
      </c>
      <c r="T27" s="114">
        <v>0.1</v>
      </c>
      <c r="U27" s="111">
        <f t="shared" si="3"/>
        <v>0.52800000000000002</v>
      </c>
      <c r="V27" s="111">
        <f t="shared" si="4"/>
        <v>1.8177126656869855</v>
      </c>
      <c r="W27" s="111">
        <v>200</v>
      </c>
      <c r="X27" s="111">
        <f t="shared" si="6"/>
        <v>1.056</v>
      </c>
      <c r="Y27" s="111">
        <f t="shared" si="19"/>
        <v>0</v>
      </c>
      <c r="Z27" s="111">
        <f t="shared" si="8"/>
        <v>0</v>
      </c>
      <c r="AA27" s="114">
        <f t="shared" si="9"/>
        <v>-9.62477125172716E-2</v>
      </c>
      <c r="AB27" s="111">
        <f t="shared" si="10"/>
        <v>-0.18228733431301439</v>
      </c>
      <c r="AC27" s="111"/>
      <c r="AD27" s="114">
        <f t="shared" si="11"/>
        <v>6.4752287482728335E-2</v>
      </c>
      <c r="AE27" s="111">
        <f t="shared" si="12"/>
        <v>1.4999999999999999E-2</v>
      </c>
      <c r="AF27" s="115">
        <f t="shared" si="13"/>
        <v>0.88000000000000012</v>
      </c>
      <c r="AH27" s="104">
        <f t="shared" si="17"/>
        <v>5</v>
      </c>
      <c r="AJ27" s="104">
        <f t="shared" si="18"/>
        <v>127</v>
      </c>
      <c r="AK27" s="23">
        <f t="shared" si="14"/>
        <v>-0.18228733431301439</v>
      </c>
    </row>
    <row r="28" spans="1:37" ht="14.5" customHeight="1" x14ac:dyDescent="0.35">
      <c r="A28" s="23">
        <v>25</v>
      </c>
      <c r="B28" s="121" t="s">
        <v>204</v>
      </c>
      <c r="C28" s="43"/>
      <c r="D28" s="24" t="s">
        <v>41</v>
      </c>
      <c r="E28" s="24" t="s">
        <v>198</v>
      </c>
      <c r="F28" s="24" t="s">
        <v>203</v>
      </c>
      <c r="G28" s="61">
        <v>25</v>
      </c>
      <c r="H28" s="60">
        <v>6.7</v>
      </c>
      <c r="I28" s="53" t="s">
        <v>166</v>
      </c>
      <c r="J28" s="53">
        <v>10</v>
      </c>
      <c r="K28" s="54">
        <v>0.05</v>
      </c>
      <c r="L28" s="55">
        <f t="shared" si="15"/>
        <v>0.86768065226855973</v>
      </c>
      <c r="M28" s="54">
        <v>0.03</v>
      </c>
      <c r="N28" s="53">
        <f t="shared" si="16"/>
        <v>0.20099999999999998</v>
      </c>
      <c r="O28" s="58">
        <v>2.2000000000000002</v>
      </c>
      <c r="P28" s="53">
        <v>200</v>
      </c>
      <c r="Q28" s="56">
        <f t="shared" si="0"/>
        <v>0.44000000000000006</v>
      </c>
      <c r="R28" s="55">
        <f t="shared" si="1"/>
        <v>1.5086806522685596</v>
      </c>
      <c r="S28" s="59">
        <f>2.25*O28</f>
        <v>4.95</v>
      </c>
      <c r="T28" s="59">
        <v>0.27</v>
      </c>
      <c r="U28" s="53">
        <f t="shared" si="3"/>
        <v>1.3365000000000002</v>
      </c>
      <c r="V28" s="53">
        <f t="shared" si="4"/>
        <v>1.1288295190935722</v>
      </c>
      <c r="W28" s="53">
        <v>200</v>
      </c>
      <c r="X28" s="57">
        <f t="shared" si="6"/>
        <v>0.99</v>
      </c>
      <c r="Y28" s="53">
        <f t="shared" si="19"/>
        <v>0</v>
      </c>
      <c r="Z28" s="53">
        <f t="shared" si="8"/>
        <v>0</v>
      </c>
      <c r="AA28" s="55">
        <f t="shared" si="9"/>
        <v>0.51868065226855964</v>
      </c>
      <c r="AB28" s="53">
        <f t="shared" si="10"/>
        <v>0.38808877835283168</v>
      </c>
      <c r="AC28" s="53"/>
      <c r="AD28" s="55">
        <f t="shared" si="11"/>
        <v>0.86768065226855973</v>
      </c>
      <c r="AE28" s="53">
        <f t="shared" si="12"/>
        <v>0.20099999999999998</v>
      </c>
      <c r="AF28" s="56">
        <f t="shared" si="13"/>
        <v>0.44000000000000006</v>
      </c>
      <c r="AH28" s="104">
        <f t="shared" ref="AH28" si="20">G28</f>
        <v>25</v>
      </c>
      <c r="AJ28" s="104">
        <f t="shared" ref="AJ28" si="21">AJ27+AH28</f>
        <v>152</v>
      </c>
      <c r="AK28" s="23">
        <f t="shared" ref="AK28" si="22">AB28</f>
        <v>0.38808877835283168</v>
      </c>
    </row>
    <row r="29" spans="1:37" x14ac:dyDescent="0.35">
      <c r="B29" s="122"/>
      <c r="C29" s="43"/>
      <c r="D29" s="24"/>
      <c r="E29" s="24"/>
      <c r="F29" s="24"/>
    </row>
    <row r="30" spans="1:37" x14ac:dyDescent="0.35">
      <c r="B30" s="122"/>
      <c r="C30" s="43"/>
      <c r="D30" s="24"/>
      <c r="E30" s="24"/>
      <c r="F30" s="24"/>
    </row>
    <row r="31" spans="1:37" x14ac:dyDescent="0.35">
      <c r="B31" s="123"/>
      <c r="C31" s="124"/>
      <c r="D31" s="125"/>
      <c r="F31" s="24"/>
    </row>
    <row r="32" spans="1:37" x14ac:dyDescent="0.35">
      <c r="B32" s="123"/>
      <c r="C32" s="126"/>
      <c r="D32" s="125"/>
    </row>
    <row r="33" spans="2:4" x14ac:dyDescent="0.35">
      <c r="B33" s="96"/>
      <c r="C33" s="96"/>
      <c r="D33" s="96"/>
    </row>
    <row r="34" spans="2:4" x14ac:dyDescent="0.35">
      <c r="B34" s="96"/>
      <c r="C34" s="96"/>
      <c r="D34" s="96"/>
    </row>
  </sheetData>
  <autoFilter ref="A3:AF3" xr:uid="{DE54A7F2-4C47-4E3B-8C0D-CEE8213903AC}">
    <sortState xmlns:xlrd2="http://schemas.microsoft.com/office/spreadsheetml/2017/richdata2" ref="A4:AF28">
      <sortCondition ref="A3"/>
    </sortState>
  </autoFilter>
  <pageMargins left="0.7" right="0.7" top="0.75" bottom="0.75" header="0.3" footer="0.3"/>
  <pageSetup paperSize="8" scale="56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B3FAF-C607-4DF4-A769-BE2070FAC09C}">
  <sheetPr codeName="Sheet4"/>
  <dimension ref="A1:S76"/>
  <sheetViews>
    <sheetView topLeftCell="A60" workbookViewId="0">
      <selection activeCell="J70" sqref="J70"/>
    </sheetView>
  </sheetViews>
  <sheetFormatPr defaultRowHeight="14.5" x14ac:dyDescent="0.35"/>
  <cols>
    <col min="1" max="1" width="24.453125" customWidth="1"/>
    <col min="2" max="2" width="10.54296875" customWidth="1"/>
    <col min="8" max="8" width="21.54296875" customWidth="1"/>
  </cols>
  <sheetData>
    <row r="1" spans="1:12" ht="15.5" x14ac:dyDescent="0.35">
      <c r="D1" s="142" t="str">
        <f>_xlfn.CONCAT(C2:C5)</f>
        <v>Large</v>
      </c>
    </row>
    <row r="2" spans="1:12" x14ac:dyDescent="0.35">
      <c r="A2" t="s">
        <v>256</v>
      </c>
      <c r="B2" s="1">
        <v>0</v>
      </c>
      <c r="C2" t="str">
        <f>IF(B2=1,A2,"")</f>
        <v/>
      </c>
    </row>
    <row r="3" spans="1:12" x14ac:dyDescent="0.35">
      <c r="A3" t="s">
        <v>245</v>
      </c>
      <c r="B3" s="1">
        <v>1</v>
      </c>
      <c r="C3" t="str">
        <f>IF(B3=1,A3,"")</f>
        <v>Large</v>
      </c>
    </row>
    <row r="4" spans="1:12" x14ac:dyDescent="0.35">
      <c r="A4" t="s">
        <v>246</v>
      </c>
      <c r="B4" s="1">
        <v>0</v>
      </c>
      <c r="C4" t="str">
        <f>IF(B4=1,A4,"")</f>
        <v/>
      </c>
    </row>
    <row r="5" spans="1:12" x14ac:dyDescent="0.35">
      <c r="A5" t="s">
        <v>247</v>
      </c>
      <c r="B5" s="1">
        <v>0</v>
      </c>
      <c r="C5" t="str">
        <f>IF(B5=1,A5,"")</f>
        <v/>
      </c>
    </row>
    <row r="6" spans="1:12" x14ac:dyDescent="0.35">
      <c r="A6" t="s">
        <v>267</v>
      </c>
      <c r="B6" s="1">
        <v>0</v>
      </c>
      <c r="C6" t="str">
        <f>IF(B6=1,A6,"")</f>
        <v/>
      </c>
    </row>
    <row r="8" spans="1:12" x14ac:dyDescent="0.35">
      <c r="B8" t="s">
        <v>259</v>
      </c>
    </row>
    <row r="9" spans="1:12" x14ac:dyDescent="0.35">
      <c r="B9" t="s">
        <v>248</v>
      </c>
      <c r="C9">
        <v>2025</v>
      </c>
      <c r="D9">
        <v>2030</v>
      </c>
      <c r="E9">
        <v>2035</v>
      </c>
      <c r="F9">
        <v>2040</v>
      </c>
    </row>
    <row r="10" spans="1:12" x14ac:dyDescent="0.35">
      <c r="A10" t="s">
        <v>256</v>
      </c>
      <c r="B10" s="1">
        <v>1</v>
      </c>
      <c r="C10" s="137">
        <v>1.003687230659323</v>
      </c>
      <c r="D10" s="137">
        <v>1.0517217900666842</v>
      </c>
      <c r="E10" s="137">
        <v>1.3035973544120019</v>
      </c>
      <c r="F10" s="137">
        <v>1.5470027633279773</v>
      </c>
      <c r="H10">
        <f>IF($B2=1,B10,0)</f>
        <v>0</v>
      </c>
      <c r="I10">
        <f t="shared" ref="I10:L10" si="0">IF($B2=1,C10,0)</f>
        <v>0</v>
      </c>
      <c r="J10">
        <f t="shared" si="0"/>
        <v>0</v>
      </c>
      <c r="K10">
        <f t="shared" si="0"/>
        <v>0</v>
      </c>
      <c r="L10">
        <f t="shared" si="0"/>
        <v>0</v>
      </c>
    </row>
    <row r="11" spans="1:12" x14ac:dyDescent="0.35">
      <c r="A11" t="s">
        <v>245</v>
      </c>
      <c r="B11" s="1">
        <v>1</v>
      </c>
      <c r="C11" s="137">
        <v>1.0140841574943849</v>
      </c>
      <c r="D11" s="137">
        <v>1.0526883988732674</v>
      </c>
      <c r="E11" s="137">
        <v>1.1605387138537646</v>
      </c>
      <c r="F11" s="137">
        <v>1.2600109198754144</v>
      </c>
      <c r="H11">
        <f>IF($B3=1,B11,0)</f>
        <v>1</v>
      </c>
      <c r="I11">
        <f t="shared" ref="I11:L14" si="1">IF($B3=1,C11,0)</f>
        <v>1.0140841574943849</v>
      </c>
      <c r="J11">
        <f t="shared" si="1"/>
        <v>1.0526883988732674</v>
      </c>
      <c r="K11">
        <f t="shared" si="1"/>
        <v>1.1605387138537646</v>
      </c>
      <c r="L11">
        <f t="shared" si="1"/>
        <v>1.2600109198754144</v>
      </c>
    </row>
    <row r="12" spans="1:12" x14ac:dyDescent="0.35">
      <c r="A12" t="s">
        <v>246</v>
      </c>
      <c r="B12" s="1">
        <v>1</v>
      </c>
      <c r="C12" s="137">
        <v>1.0249862040485176</v>
      </c>
      <c r="D12" s="137">
        <v>1.0452324480778858</v>
      </c>
      <c r="E12" s="137">
        <v>1.1675614239614662</v>
      </c>
      <c r="F12" s="137">
        <v>1.2111822125417075</v>
      </c>
      <c r="H12">
        <f>IF($B4=1,B12,0)</f>
        <v>0</v>
      </c>
      <c r="I12">
        <f t="shared" si="1"/>
        <v>0</v>
      </c>
      <c r="J12">
        <f t="shared" si="1"/>
        <v>0</v>
      </c>
      <c r="K12">
        <f t="shared" si="1"/>
        <v>0</v>
      </c>
      <c r="L12">
        <f t="shared" si="1"/>
        <v>0</v>
      </c>
    </row>
    <row r="13" spans="1:12" x14ac:dyDescent="0.35">
      <c r="A13" t="s">
        <v>247</v>
      </c>
      <c r="B13" s="1">
        <v>1</v>
      </c>
      <c r="C13" s="137">
        <v>1.0682795964790821</v>
      </c>
      <c r="D13" s="137">
        <v>1.0633839382850359</v>
      </c>
      <c r="E13" s="137">
        <v>1.0364454554445652</v>
      </c>
      <c r="F13" s="137">
        <v>1.1515552368707349</v>
      </c>
      <c r="H13">
        <f>IF($B5=1,B13,0)</f>
        <v>0</v>
      </c>
      <c r="I13">
        <f t="shared" si="1"/>
        <v>0</v>
      </c>
      <c r="J13">
        <f t="shared" si="1"/>
        <v>0</v>
      </c>
      <c r="K13">
        <f t="shared" si="1"/>
        <v>0</v>
      </c>
      <c r="L13">
        <f t="shared" si="1"/>
        <v>0</v>
      </c>
    </row>
    <row r="14" spans="1:12" x14ac:dyDescent="0.35">
      <c r="A14" t="s">
        <v>267</v>
      </c>
      <c r="B14" s="1">
        <v>1</v>
      </c>
      <c r="C14" s="137">
        <v>1.0466666666666666</v>
      </c>
      <c r="D14" s="137">
        <v>1.1266666666666667</v>
      </c>
      <c r="E14" s="137">
        <v>1.39</v>
      </c>
      <c r="F14" s="137">
        <v>1.8666666666666667</v>
      </c>
      <c r="H14">
        <f>IF($B6=1,B14,0)</f>
        <v>0</v>
      </c>
      <c r="I14">
        <f t="shared" si="1"/>
        <v>0</v>
      </c>
      <c r="J14">
        <f t="shared" si="1"/>
        <v>0</v>
      </c>
      <c r="K14">
        <f t="shared" si="1"/>
        <v>0</v>
      </c>
      <c r="L14">
        <f t="shared" si="1"/>
        <v>0</v>
      </c>
    </row>
    <row r="15" spans="1:12" x14ac:dyDescent="0.35">
      <c r="G15" t="s">
        <v>261</v>
      </c>
      <c r="H15">
        <f>SUM(H10:H14)</f>
        <v>1</v>
      </c>
      <c r="I15">
        <f t="shared" ref="I15:L15" si="2">SUM(I10:I14)</f>
        <v>1.0140841574943849</v>
      </c>
      <c r="J15">
        <f t="shared" si="2"/>
        <v>1.0526883988732674</v>
      </c>
      <c r="K15">
        <f t="shared" si="2"/>
        <v>1.1605387138537646</v>
      </c>
      <c r="L15">
        <f t="shared" si="2"/>
        <v>1.2600109198754144</v>
      </c>
    </row>
    <row r="16" spans="1:12" x14ac:dyDescent="0.35">
      <c r="B16" t="s">
        <v>257</v>
      </c>
    </row>
    <row r="17" spans="1:7" x14ac:dyDescent="0.35">
      <c r="B17" t="s">
        <v>248</v>
      </c>
      <c r="C17">
        <v>2025</v>
      </c>
      <c r="D17">
        <v>2030</v>
      </c>
      <c r="E17">
        <v>2035</v>
      </c>
      <c r="F17">
        <v>2040</v>
      </c>
    </row>
    <row r="18" spans="1:7" x14ac:dyDescent="0.35">
      <c r="A18" t="s">
        <v>256</v>
      </c>
      <c r="B18" s="1">
        <v>477</v>
      </c>
      <c r="C18" s="45">
        <f>$B18*C10</f>
        <v>478.75880902449705</v>
      </c>
      <c r="D18" s="45">
        <f t="shared" ref="D18:F18" si="3">$B18*D10</f>
        <v>501.67129386180835</v>
      </c>
      <c r="E18" s="45">
        <f t="shared" si="3"/>
        <v>621.81593805452485</v>
      </c>
      <c r="F18" s="45">
        <f t="shared" si="3"/>
        <v>737.92031810744515</v>
      </c>
    </row>
    <row r="19" spans="1:7" x14ac:dyDescent="0.35">
      <c r="A19" t="s">
        <v>245</v>
      </c>
      <c r="B19" s="1">
        <v>322</v>
      </c>
      <c r="C19" s="45">
        <f t="shared" ref="C19:F19" si="4">$B19*C11</f>
        <v>326.53509871319193</v>
      </c>
      <c r="D19" s="45">
        <f t="shared" si="4"/>
        <v>338.96566443719212</v>
      </c>
      <c r="E19" s="45">
        <f t="shared" si="4"/>
        <v>373.69346586091223</v>
      </c>
      <c r="F19" s="45">
        <f t="shared" si="4"/>
        <v>405.72351619988342</v>
      </c>
    </row>
    <row r="20" spans="1:7" x14ac:dyDescent="0.35">
      <c r="A20" t="s">
        <v>246</v>
      </c>
      <c r="B20" s="1">
        <v>91</v>
      </c>
      <c r="C20" s="45">
        <f t="shared" ref="C20:F20" si="5">$B20*C12</f>
        <v>93.273744568415097</v>
      </c>
      <c r="D20" s="45">
        <f t="shared" si="5"/>
        <v>95.116152775087613</v>
      </c>
      <c r="E20" s="45">
        <f t="shared" si="5"/>
        <v>106.24808958049343</v>
      </c>
      <c r="F20" s="45">
        <f t="shared" si="5"/>
        <v>110.21758134129539</v>
      </c>
    </row>
    <row r="21" spans="1:7" x14ac:dyDescent="0.35">
      <c r="A21" t="s">
        <v>247</v>
      </c>
      <c r="B21" s="1">
        <v>27</v>
      </c>
      <c r="C21" s="45">
        <f t="shared" ref="C21:F22" si="6">$B21*C13</f>
        <v>28.843549104935217</v>
      </c>
      <c r="D21" s="45">
        <f t="shared" si="6"/>
        <v>28.711366333695967</v>
      </c>
      <c r="E21" s="45">
        <f t="shared" si="6"/>
        <v>27.984027297003262</v>
      </c>
      <c r="F21" s="45">
        <f t="shared" si="6"/>
        <v>31.091991395509844</v>
      </c>
    </row>
    <row r="22" spans="1:7" x14ac:dyDescent="0.35">
      <c r="A22" t="str">
        <f>A14</f>
        <v>GA*</v>
      </c>
      <c r="B22" s="1">
        <v>0.3</v>
      </c>
      <c r="C22" s="6">
        <f t="shared" si="6"/>
        <v>0.314</v>
      </c>
      <c r="D22" s="6">
        <f t="shared" si="6"/>
        <v>0.33800000000000002</v>
      </c>
      <c r="E22" s="6">
        <f t="shared" si="6"/>
        <v>0.41699999999999998</v>
      </c>
      <c r="F22" s="6">
        <f t="shared" si="6"/>
        <v>0.55999999999999994</v>
      </c>
    </row>
    <row r="24" spans="1:7" x14ac:dyDescent="0.35">
      <c r="B24" t="s">
        <v>258</v>
      </c>
    </row>
    <row r="25" spans="1:7" x14ac:dyDescent="0.35">
      <c r="B25" t="s">
        <v>248</v>
      </c>
      <c r="C25">
        <v>2025</v>
      </c>
      <c r="D25">
        <v>2030</v>
      </c>
      <c r="E25">
        <v>2035</v>
      </c>
      <c r="F25">
        <v>2040</v>
      </c>
    </row>
    <row r="26" spans="1:7" x14ac:dyDescent="0.35">
      <c r="A26" t="s">
        <v>256</v>
      </c>
      <c r="B26" s="139">
        <v>152</v>
      </c>
      <c r="C26" s="45">
        <f>C18/$B$18*$B$26</f>
        <v>152.56045906021708</v>
      </c>
      <c r="D26" s="45">
        <f t="shared" ref="D26:F26" si="7">D18/$B$18*$B$26</f>
        <v>159.861712090136</v>
      </c>
      <c r="E26" s="45">
        <f t="shared" si="7"/>
        <v>198.14679787062428</v>
      </c>
      <c r="F26" s="45">
        <f t="shared" si="7"/>
        <v>235.14442002585255</v>
      </c>
      <c r="G26" s="138"/>
    </row>
    <row r="27" spans="1:7" x14ac:dyDescent="0.35">
      <c r="A27" t="s">
        <v>245</v>
      </c>
      <c r="B27" s="45">
        <f t="shared" ref="B27" si="8">B19/$B$18*$B$26</f>
        <v>102.60796645702305</v>
      </c>
      <c r="C27" s="45">
        <f t="shared" ref="C27:F27" si="9">C19/$B$18*$B$26</f>
        <v>104.05311321678232</v>
      </c>
      <c r="D27" s="45">
        <f t="shared" si="9"/>
        <v>108.01421592128554</v>
      </c>
      <c r="E27" s="45">
        <f t="shared" si="9"/>
        <v>119.08051742318378</v>
      </c>
      <c r="F27" s="45">
        <f t="shared" si="9"/>
        <v>129.28715820205929</v>
      </c>
      <c r="G27" s="138"/>
    </row>
    <row r="28" spans="1:7" x14ac:dyDescent="0.35">
      <c r="A28" t="s">
        <v>246</v>
      </c>
      <c r="B28" s="45">
        <f t="shared" ref="B28" si="10">B20/$B$18*$B$26</f>
        <v>28.9979035639413</v>
      </c>
      <c r="C28" s="45">
        <f t="shared" ref="C28:F28" si="11">C20/$B$18*$B$26</f>
        <v>29.72245109936917</v>
      </c>
      <c r="D28" s="45">
        <f t="shared" si="11"/>
        <v>30.309549731264816</v>
      </c>
      <c r="E28" s="45">
        <f t="shared" si="11"/>
        <v>33.85683357701258</v>
      </c>
      <c r="F28" s="45">
        <f t="shared" si="11"/>
        <v>35.121744997645493</v>
      </c>
      <c r="G28" s="138"/>
    </row>
    <row r="29" spans="1:7" x14ac:dyDescent="0.35">
      <c r="A29" t="s">
        <v>247</v>
      </c>
      <c r="B29" s="45">
        <f t="shared" ref="B29:B30" si="12">B21/$B$18*$B$26</f>
        <v>8.6037735849056602</v>
      </c>
      <c r="C29" s="45">
        <f t="shared" ref="C29:F30" si="13">C21/$B$18*$B$26</f>
        <v>9.191235773480404</v>
      </c>
      <c r="D29" s="45">
        <f t="shared" si="13"/>
        <v>9.149114638829742</v>
      </c>
      <c r="E29" s="45">
        <f t="shared" si="13"/>
        <v>8.9173420317494667</v>
      </c>
      <c r="F29" s="45">
        <f t="shared" si="13"/>
        <v>9.9077205285482091</v>
      </c>
      <c r="G29" s="138"/>
    </row>
    <row r="30" spans="1:7" x14ac:dyDescent="0.35">
      <c r="A30" t="str">
        <f>A22</f>
        <v>GA*</v>
      </c>
      <c r="B30" s="138">
        <f t="shared" si="12"/>
        <v>9.5597484276729552E-2</v>
      </c>
      <c r="C30" s="138">
        <f t="shared" si="13"/>
        <v>0.10005870020964361</v>
      </c>
      <c r="D30" s="138">
        <f t="shared" si="13"/>
        <v>0.10770649895178198</v>
      </c>
      <c r="E30" s="138">
        <f t="shared" si="13"/>
        <v>0.13288050314465408</v>
      </c>
      <c r="F30" s="138">
        <f t="shared" si="13"/>
        <v>0.17844863731656183</v>
      </c>
      <c r="G30" s="138"/>
    </row>
    <row r="32" spans="1:7" x14ac:dyDescent="0.35">
      <c r="B32" t="s">
        <v>260</v>
      </c>
    </row>
    <row r="33" spans="1:19" x14ac:dyDescent="0.35">
      <c r="B33" t="s">
        <v>248</v>
      </c>
      <c r="C33">
        <v>2025</v>
      </c>
      <c r="D33">
        <v>2030</v>
      </c>
      <c r="E33">
        <v>2035</v>
      </c>
      <c r="F33">
        <v>2040</v>
      </c>
    </row>
    <row r="34" spans="1:19" x14ac:dyDescent="0.35">
      <c r="A34" t="s">
        <v>256</v>
      </c>
      <c r="B34" s="140">
        <f>B26/$B$26</f>
        <v>1</v>
      </c>
      <c r="C34" s="140">
        <f t="shared" ref="C34:F34" si="14">C26/$B$26</f>
        <v>1.003687230659323</v>
      </c>
      <c r="D34" s="140">
        <f t="shared" si="14"/>
        <v>1.0517217900666842</v>
      </c>
      <c r="E34" s="140">
        <f t="shared" si="14"/>
        <v>1.3035973544120019</v>
      </c>
      <c r="F34" s="140">
        <f t="shared" si="14"/>
        <v>1.5470027633279773</v>
      </c>
      <c r="H34">
        <f>IF($B2=1,B34,0)</f>
        <v>0</v>
      </c>
      <c r="I34">
        <f t="shared" ref="I34:L34" si="15">IF($B2=1,C34,0)</f>
        <v>0</v>
      </c>
      <c r="J34">
        <f t="shared" si="15"/>
        <v>0</v>
      </c>
      <c r="K34">
        <f t="shared" si="15"/>
        <v>0</v>
      </c>
      <c r="L34">
        <f t="shared" si="15"/>
        <v>0</v>
      </c>
    </row>
    <row r="35" spans="1:19" x14ac:dyDescent="0.35">
      <c r="A35" t="s">
        <v>245</v>
      </c>
      <c r="B35" s="140">
        <f t="shared" ref="B35:F35" si="16">B27/$B$26</f>
        <v>0.6750524109014675</v>
      </c>
      <c r="C35" s="140">
        <f t="shared" si="16"/>
        <v>0.68455995537356795</v>
      </c>
      <c r="D35" s="140">
        <f t="shared" si="16"/>
        <v>0.71061984158740488</v>
      </c>
      <c r="E35" s="140">
        <f t="shared" si="16"/>
        <v>0.78342445673147221</v>
      </c>
      <c r="F35" s="140">
        <f t="shared" si="16"/>
        <v>0.85057340922407432</v>
      </c>
      <c r="H35">
        <f>IF($B3=1,B35,0)</f>
        <v>0.6750524109014675</v>
      </c>
      <c r="I35">
        <f t="shared" ref="I35:L38" si="17">IF($B3=1,C35,0)</f>
        <v>0.68455995537356795</v>
      </c>
      <c r="J35">
        <f t="shared" si="17"/>
        <v>0.71061984158740488</v>
      </c>
      <c r="K35">
        <f t="shared" si="17"/>
        <v>0.78342445673147221</v>
      </c>
      <c r="L35">
        <f t="shared" si="17"/>
        <v>0.85057340922407432</v>
      </c>
    </row>
    <row r="36" spans="1:19" x14ac:dyDescent="0.35">
      <c r="A36" t="s">
        <v>246</v>
      </c>
      <c r="B36" s="140">
        <f t="shared" ref="B36:F36" si="18">B28/$B$26</f>
        <v>0.19077568134171907</v>
      </c>
      <c r="C36" s="140">
        <f t="shared" si="18"/>
        <v>0.19554244144321822</v>
      </c>
      <c r="D36" s="140">
        <f t="shared" si="18"/>
        <v>0.19940493244253168</v>
      </c>
      <c r="E36" s="140">
        <f t="shared" si="18"/>
        <v>0.22274232616455644</v>
      </c>
      <c r="F36" s="140">
        <f t="shared" si="18"/>
        <v>0.2310641118266151</v>
      </c>
      <c r="H36">
        <f>IF($B4=1,B36,0)</f>
        <v>0</v>
      </c>
      <c r="I36">
        <f t="shared" si="17"/>
        <v>0</v>
      </c>
      <c r="J36">
        <f t="shared" si="17"/>
        <v>0</v>
      </c>
      <c r="K36">
        <f t="shared" si="17"/>
        <v>0</v>
      </c>
      <c r="L36">
        <f t="shared" si="17"/>
        <v>0</v>
      </c>
    </row>
    <row r="37" spans="1:19" x14ac:dyDescent="0.35">
      <c r="A37" t="s">
        <v>247</v>
      </c>
      <c r="B37" s="140">
        <f t="shared" ref="B37:F38" si="19">B29/$B$26</f>
        <v>5.6603773584905662E-2</v>
      </c>
      <c r="C37" s="140">
        <f t="shared" si="19"/>
        <v>6.0468656404476344E-2</v>
      </c>
      <c r="D37" s="140">
        <f t="shared" si="19"/>
        <v>6.0191543676511458E-2</v>
      </c>
      <c r="E37" s="140">
        <f t="shared" si="19"/>
        <v>5.86667238930886E-2</v>
      </c>
      <c r="F37" s="140">
        <f t="shared" si="19"/>
        <v>6.5182371898343486E-2</v>
      </c>
      <c r="H37">
        <f>IF($B5=1,B37,0)</f>
        <v>0</v>
      </c>
      <c r="I37">
        <f t="shared" si="17"/>
        <v>0</v>
      </c>
      <c r="J37">
        <f t="shared" si="17"/>
        <v>0</v>
      </c>
      <c r="K37">
        <f t="shared" si="17"/>
        <v>0</v>
      </c>
      <c r="L37">
        <f t="shared" si="17"/>
        <v>0</v>
      </c>
    </row>
    <row r="38" spans="1:19" x14ac:dyDescent="0.35">
      <c r="A38" t="s">
        <v>267</v>
      </c>
      <c r="B38" s="140">
        <f t="shared" si="19"/>
        <v>6.2893081761006286E-4</v>
      </c>
      <c r="C38" s="140">
        <f t="shared" si="19"/>
        <v>6.5828092243186583E-4</v>
      </c>
      <c r="D38" s="140">
        <f t="shared" si="19"/>
        <v>7.0859538784067094E-4</v>
      </c>
      <c r="E38" s="140">
        <f t="shared" si="19"/>
        <v>8.7421383647798734E-4</v>
      </c>
      <c r="F38" s="140">
        <f t="shared" si="19"/>
        <v>1.1740041928721173E-3</v>
      </c>
      <c r="H38">
        <f>IF($B6=1,B38,0)</f>
        <v>0</v>
      </c>
      <c r="I38">
        <f t="shared" si="17"/>
        <v>0</v>
      </c>
      <c r="J38">
        <f t="shared" si="17"/>
        <v>0</v>
      </c>
      <c r="K38">
        <f t="shared" si="17"/>
        <v>0</v>
      </c>
      <c r="L38">
        <f t="shared" si="17"/>
        <v>0</v>
      </c>
    </row>
    <row r="39" spans="1:19" x14ac:dyDescent="0.35">
      <c r="B39" s="144"/>
      <c r="C39" s="45"/>
      <c r="D39" s="45"/>
      <c r="E39" s="45"/>
      <c r="F39" s="45"/>
      <c r="G39" t="s">
        <v>261</v>
      </c>
      <c r="H39">
        <f>SUM(H34:H37)</f>
        <v>0.6750524109014675</v>
      </c>
      <c r="I39">
        <f t="shared" ref="I39" si="20">SUM(I34:I37)</f>
        <v>0.68455995537356795</v>
      </c>
      <c r="J39">
        <f t="shared" ref="J39" si="21">SUM(J34:J37)</f>
        <v>0.71061984158740488</v>
      </c>
      <c r="K39">
        <f t="shared" ref="K39" si="22">SUM(K34:K37)</f>
        <v>0.78342445673147221</v>
      </c>
      <c r="L39">
        <f t="shared" ref="L39" si="23">SUM(L34:L37)</f>
        <v>0.85057340922407432</v>
      </c>
    </row>
    <row r="40" spans="1:19" x14ac:dyDescent="0.35">
      <c r="B40" s="144"/>
      <c r="C40" s="45"/>
      <c r="D40" s="45"/>
      <c r="E40" s="45"/>
      <c r="F40" s="45"/>
    </row>
    <row r="41" spans="1:19" x14ac:dyDescent="0.35">
      <c r="B41" t="s">
        <v>249</v>
      </c>
      <c r="C41" s="45"/>
      <c r="D41" s="45"/>
      <c r="E41" s="45"/>
      <c r="F41" s="45"/>
      <c r="I41" t="s">
        <v>286</v>
      </c>
      <c r="O41" t="s">
        <v>287</v>
      </c>
    </row>
    <row r="42" spans="1:19" x14ac:dyDescent="0.35">
      <c r="B42" s="33">
        <v>2019</v>
      </c>
      <c r="C42">
        <v>2025</v>
      </c>
      <c r="D42">
        <v>2030</v>
      </c>
      <c r="E42">
        <v>2035</v>
      </c>
      <c r="F42">
        <v>2040</v>
      </c>
      <c r="I42" s="33">
        <v>2019</v>
      </c>
      <c r="J42">
        <v>2025</v>
      </c>
      <c r="K42">
        <v>2030</v>
      </c>
      <c r="L42">
        <v>2035</v>
      </c>
      <c r="M42">
        <v>2040</v>
      </c>
      <c r="O42" s="33">
        <v>2019</v>
      </c>
      <c r="P42">
        <v>2025</v>
      </c>
      <c r="Q42">
        <v>2030</v>
      </c>
      <c r="R42">
        <v>2035</v>
      </c>
      <c r="S42">
        <v>2040</v>
      </c>
    </row>
    <row r="43" spans="1:19" x14ac:dyDescent="0.35">
      <c r="A43" t="s">
        <v>252</v>
      </c>
      <c r="B43" s="1">
        <v>1</v>
      </c>
      <c r="C43" s="1">
        <v>0.95</v>
      </c>
      <c r="D43" s="1">
        <v>0.85</v>
      </c>
      <c r="E43" s="1">
        <v>0.75</v>
      </c>
      <c r="F43" s="1">
        <v>0.6</v>
      </c>
      <c r="H43" t="str">
        <f>A43</f>
        <v>EVs</v>
      </c>
      <c r="I43" s="3">
        <v>0.05</v>
      </c>
      <c r="J43" s="3">
        <v>0.05</v>
      </c>
      <c r="K43" s="3">
        <v>0.05</v>
      </c>
      <c r="L43" s="3">
        <v>0.05</v>
      </c>
      <c r="M43" s="3">
        <v>0.05</v>
      </c>
      <c r="N43" t="s">
        <v>252</v>
      </c>
      <c r="O43" s="27">
        <v>10</v>
      </c>
      <c r="P43" s="27">
        <v>10</v>
      </c>
      <c r="Q43" s="27">
        <v>10</v>
      </c>
      <c r="R43" s="27">
        <v>10</v>
      </c>
      <c r="S43" s="27">
        <v>10</v>
      </c>
    </row>
    <row r="44" spans="1:19" x14ac:dyDescent="0.35">
      <c r="A44" t="s">
        <v>12</v>
      </c>
      <c r="B44" s="1">
        <v>1</v>
      </c>
      <c r="C44" s="1">
        <v>0.95</v>
      </c>
      <c r="D44" s="1">
        <v>0.85</v>
      </c>
      <c r="E44" s="1">
        <v>0.75</v>
      </c>
      <c r="F44" s="1">
        <v>0.6</v>
      </c>
      <c r="H44" t="str">
        <f t="shared" ref="H44:H47" si="24">A44</f>
        <v>HFEV</v>
      </c>
      <c r="I44" s="3">
        <v>0.05</v>
      </c>
      <c r="J44" s="3">
        <v>0.05</v>
      </c>
      <c r="K44" s="3">
        <v>0.05</v>
      </c>
      <c r="L44" s="3">
        <v>0.05</v>
      </c>
      <c r="M44" s="3">
        <v>0.05</v>
      </c>
      <c r="N44" t="s">
        <v>12</v>
      </c>
      <c r="O44" s="27">
        <v>10</v>
      </c>
      <c r="P44" s="27">
        <v>10</v>
      </c>
      <c r="Q44" s="27">
        <v>10</v>
      </c>
      <c r="R44" s="27">
        <v>10</v>
      </c>
      <c r="S44" s="27">
        <v>10</v>
      </c>
    </row>
    <row r="45" spans="1:19" x14ac:dyDescent="0.35">
      <c r="A45" t="s">
        <v>250</v>
      </c>
      <c r="B45" s="1">
        <v>1</v>
      </c>
      <c r="C45" s="1">
        <v>0.95</v>
      </c>
      <c r="D45" s="1">
        <v>0.85</v>
      </c>
      <c r="E45" s="1">
        <v>0.75</v>
      </c>
      <c r="F45" s="1">
        <v>0.6</v>
      </c>
      <c r="H45" t="str">
        <f t="shared" si="24"/>
        <v>E HPs</v>
      </c>
      <c r="I45" s="3">
        <v>0.05</v>
      </c>
      <c r="J45" s="3">
        <v>0.05</v>
      </c>
      <c r="K45" s="3">
        <v>0.05</v>
      </c>
      <c r="L45" s="3">
        <v>0.05</v>
      </c>
      <c r="M45" s="3">
        <v>0.05</v>
      </c>
      <c r="N45" t="s">
        <v>250</v>
      </c>
      <c r="O45" s="27">
        <v>15</v>
      </c>
      <c r="P45" s="27">
        <v>15</v>
      </c>
      <c r="Q45" s="27">
        <v>15</v>
      </c>
      <c r="R45" s="27">
        <v>15</v>
      </c>
      <c r="S45" s="27">
        <v>15</v>
      </c>
    </row>
    <row r="46" spans="1:19" x14ac:dyDescent="0.35">
      <c r="A46" t="s">
        <v>251</v>
      </c>
      <c r="B46" s="1">
        <v>1</v>
      </c>
      <c r="C46" s="1">
        <v>0.95</v>
      </c>
      <c r="D46" s="1">
        <v>0.85</v>
      </c>
      <c r="E46" s="1">
        <v>0.75</v>
      </c>
      <c r="F46" s="1">
        <v>0.6</v>
      </c>
      <c r="H46" t="str">
        <f t="shared" si="24"/>
        <v>Other BNI</v>
      </c>
      <c r="I46" s="3">
        <v>0.05</v>
      </c>
      <c r="J46" s="3">
        <v>0.05</v>
      </c>
      <c r="K46" s="3">
        <v>0.05</v>
      </c>
      <c r="L46" s="3">
        <v>0.05</v>
      </c>
      <c r="M46" s="3">
        <v>0.05</v>
      </c>
      <c r="N46" t="s">
        <v>251</v>
      </c>
      <c r="O46" s="169">
        <v>20</v>
      </c>
      <c r="P46" s="169">
        <v>20</v>
      </c>
      <c r="Q46" s="169">
        <v>20</v>
      </c>
      <c r="R46" s="169">
        <v>20</v>
      </c>
      <c r="S46" s="169">
        <v>20</v>
      </c>
    </row>
    <row r="47" spans="1:19" x14ac:dyDescent="0.35">
      <c r="A47" t="s">
        <v>268</v>
      </c>
      <c r="B47" s="1">
        <v>1</v>
      </c>
      <c r="C47" s="1">
        <v>0.95</v>
      </c>
      <c r="D47" s="1">
        <v>0.85</v>
      </c>
      <c r="E47" s="1">
        <v>0.75</v>
      </c>
      <c r="F47" s="1">
        <v>0.6</v>
      </c>
      <c r="H47" t="str">
        <f t="shared" si="24"/>
        <v>Aux gen</v>
      </c>
      <c r="I47" s="3">
        <v>0.05</v>
      </c>
      <c r="J47" s="3">
        <v>0.05</v>
      </c>
      <c r="K47" s="3">
        <v>0.05</v>
      </c>
      <c r="L47" s="3">
        <v>0.05</v>
      </c>
      <c r="M47" s="3">
        <v>0.05</v>
      </c>
      <c r="N47" t="s">
        <v>268</v>
      </c>
      <c r="O47" s="169">
        <v>10</v>
      </c>
      <c r="P47" s="169">
        <v>10</v>
      </c>
      <c r="Q47" s="169">
        <v>10</v>
      </c>
      <c r="R47" s="169">
        <v>10</v>
      </c>
      <c r="S47" s="169">
        <v>10</v>
      </c>
    </row>
    <row r="49" spans="1:14" x14ac:dyDescent="0.35">
      <c r="B49" t="s">
        <v>262</v>
      </c>
      <c r="I49" t="s">
        <v>263</v>
      </c>
    </row>
    <row r="50" spans="1:14" x14ac:dyDescent="0.35">
      <c r="C50" s="33">
        <v>2019</v>
      </c>
      <c r="D50">
        <v>2025</v>
      </c>
      <c r="E50">
        <v>2030</v>
      </c>
      <c r="F50">
        <v>2035</v>
      </c>
      <c r="G50">
        <v>2040</v>
      </c>
      <c r="J50" s="33">
        <v>2019</v>
      </c>
      <c r="K50">
        <v>2025</v>
      </c>
      <c r="L50">
        <v>2030</v>
      </c>
      <c r="M50">
        <v>2035</v>
      </c>
      <c r="N50">
        <v>2040</v>
      </c>
    </row>
    <row r="51" spans="1:14" x14ac:dyDescent="0.35">
      <c r="A51" s="118" t="s">
        <v>141</v>
      </c>
      <c r="B51" s="27">
        <v>3.5</v>
      </c>
      <c r="C51">
        <f>$B51*H$39</f>
        <v>2.3626834381551363</v>
      </c>
      <c r="D51">
        <f t="shared" ref="D51:G51" si="25">$B51*I$39</f>
        <v>2.3959598438074878</v>
      </c>
      <c r="E51">
        <f t="shared" si="25"/>
        <v>2.4871694455559172</v>
      </c>
      <c r="F51">
        <f t="shared" si="25"/>
        <v>2.7419855985601527</v>
      </c>
      <c r="G51">
        <f t="shared" si="25"/>
        <v>2.9770069322842603</v>
      </c>
      <c r="H51" s="118" t="s">
        <v>141</v>
      </c>
      <c r="I51" s="105">
        <v>199.07849999999999</v>
      </c>
      <c r="J51" s="45">
        <f>$I51*B$43</f>
        <v>199.07849999999999</v>
      </c>
      <c r="K51" s="45">
        <f t="shared" ref="K51:N51" si="26">$I51*C$43</f>
        <v>189.12457499999999</v>
      </c>
      <c r="L51" s="45">
        <f t="shared" si="26"/>
        <v>169.216725</v>
      </c>
      <c r="M51" s="45">
        <f t="shared" si="26"/>
        <v>149.308875</v>
      </c>
      <c r="N51" s="45">
        <f t="shared" si="26"/>
        <v>119.44709999999999</v>
      </c>
    </row>
    <row r="52" spans="1:14" x14ac:dyDescent="0.35">
      <c r="A52" s="118" t="s">
        <v>142</v>
      </c>
      <c r="B52" s="27">
        <v>3</v>
      </c>
      <c r="C52">
        <f t="shared" ref="C52:C75" si="27">$B52*H$39</f>
        <v>2.0251572327044025</v>
      </c>
      <c r="D52">
        <f t="shared" ref="D52:D75" si="28">$B52*I$39</f>
        <v>2.0536798661207039</v>
      </c>
      <c r="E52">
        <f t="shared" ref="E52:E75" si="29">$B52*J$39</f>
        <v>2.1318595247622145</v>
      </c>
      <c r="F52">
        <f t="shared" ref="F52:F75" si="30">$B52*K$39</f>
        <v>2.3502733701944165</v>
      </c>
      <c r="G52">
        <f t="shared" ref="G52:G75" si="31">$B52*L$39</f>
        <v>2.5517202276722228</v>
      </c>
      <c r="H52" s="118" t="s">
        <v>142</v>
      </c>
      <c r="I52" s="105">
        <v>304.58</v>
      </c>
      <c r="J52" s="45">
        <f t="shared" ref="J52:J66" si="32">$I52*B$43</f>
        <v>304.58</v>
      </c>
      <c r="K52" s="45">
        <f t="shared" ref="K52:K66" si="33">$I52*C$43</f>
        <v>289.351</v>
      </c>
      <c r="L52" s="45">
        <f t="shared" ref="L52:L66" si="34">$I52*D$43</f>
        <v>258.89299999999997</v>
      </c>
      <c r="M52" s="45">
        <f t="shared" ref="M52:M66" si="35">$I52*E$43</f>
        <v>228.435</v>
      </c>
      <c r="N52" s="45">
        <f t="shared" ref="N52:N66" si="36">$I52*F$43</f>
        <v>182.74799999999999</v>
      </c>
    </row>
    <row r="53" spans="1:14" x14ac:dyDescent="0.35">
      <c r="A53" s="118" t="s">
        <v>143</v>
      </c>
      <c r="B53" s="27">
        <v>2.2000000000000002</v>
      </c>
      <c r="C53">
        <f t="shared" si="27"/>
        <v>1.4851153039832286</v>
      </c>
      <c r="D53">
        <f t="shared" si="28"/>
        <v>1.5060319018218495</v>
      </c>
      <c r="E53">
        <f t="shared" si="29"/>
        <v>1.5633636514922908</v>
      </c>
      <c r="F53">
        <f t="shared" si="30"/>
        <v>1.723533804809239</v>
      </c>
      <c r="G53">
        <f t="shared" si="31"/>
        <v>1.8712615002929636</v>
      </c>
      <c r="H53" s="118" t="s">
        <v>143</v>
      </c>
      <c r="I53" s="105">
        <v>304.58</v>
      </c>
      <c r="J53" s="45">
        <f t="shared" si="32"/>
        <v>304.58</v>
      </c>
      <c r="K53" s="45">
        <f t="shared" si="33"/>
        <v>289.351</v>
      </c>
      <c r="L53" s="45">
        <f t="shared" si="34"/>
        <v>258.89299999999997</v>
      </c>
      <c r="M53" s="45">
        <f t="shared" si="35"/>
        <v>228.435</v>
      </c>
      <c r="N53" s="45">
        <f t="shared" si="36"/>
        <v>182.74799999999999</v>
      </c>
    </row>
    <row r="54" spans="1:14" x14ac:dyDescent="0.35">
      <c r="A54" s="118" t="s">
        <v>144</v>
      </c>
      <c r="B54" s="27">
        <v>1.5</v>
      </c>
      <c r="C54">
        <f t="shared" si="27"/>
        <v>1.0125786163522013</v>
      </c>
      <c r="D54">
        <f t="shared" si="28"/>
        <v>1.0268399330603519</v>
      </c>
      <c r="E54">
        <f t="shared" si="29"/>
        <v>1.0659297623811073</v>
      </c>
      <c r="F54">
        <f t="shared" si="30"/>
        <v>1.1751366850972083</v>
      </c>
      <c r="G54">
        <f t="shared" si="31"/>
        <v>1.2758601138361114</v>
      </c>
      <c r="H54" s="118" t="s">
        <v>144</v>
      </c>
      <c r="I54" s="105">
        <v>288</v>
      </c>
      <c r="J54" s="45">
        <f t="shared" si="32"/>
        <v>288</v>
      </c>
      <c r="K54" s="45">
        <f t="shared" si="33"/>
        <v>273.59999999999997</v>
      </c>
      <c r="L54" s="45">
        <f t="shared" si="34"/>
        <v>244.79999999999998</v>
      </c>
      <c r="M54" s="45">
        <f t="shared" si="35"/>
        <v>216</v>
      </c>
      <c r="N54" s="45">
        <f t="shared" si="36"/>
        <v>172.79999999999998</v>
      </c>
    </row>
    <row r="55" spans="1:14" x14ac:dyDescent="0.35">
      <c r="A55" s="118" t="s">
        <v>145</v>
      </c>
      <c r="B55" s="27">
        <v>2.1</v>
      </c>
      <c r="C55">
        <f t="shared" si="27"/>
        <v>1.4176100628930819</v>
      </c>
      <c r="D55">
        <f t="shared" si="28"/>
        <v>1.4375759062844928</v>
      </c>
      <c r="E55">
        <f t="shared" si="29"/>
        <v>1.4923016673335503</v>
      </c>
      <c r="F55">
        <f t="shared" si="30"/>
        <v>1.6451913591360916</v>
      </c>
      <c r="G55">
        <f t="shared" si="31"/>
        <v>1.7862041593705562</v>
      </c>
      <c r="H55" s="118" t="s">
        <v>145</v>
      </c>
      <c r="I55" s="105">
        <v>492</v>
      </c>
      <c r="J55" s="45">
        <f t="shared" si="32"/>
        <v>492</v>
      </c>
      <c r="K55" s="45">
        <f t="shared" si="33"/>
        <v>467.4</v>
      </c>
      <c r="L55" s="45">
        <f t="shared" si="34"/>
        <v>418.2</v>
      </c>
      <c r="M55" s="45">
        <f t="shared" si="35"/>
        <v>369</v>
      </c>
      <c r="N55" s="45">
        <f t="shared" si="36"/>
        <v>295.2</v>
      </c>
    </row>
    <row r="56" spans="1:14" x14ac:dyDescent="0.35">
      <c r="A56" s="118" t="s">
        <v>146</v>
      </c>
      <c r="B56" s="27">
        <v>2.9</v>
      </c>
      <c r="C56">
        <f t="shared" si="27"/>
        <v>1.9576519916142556</v>
      </c>
      <c r="D56">
        <f t="shared" si="28"/>
        <v>1.9852238705833469</v>
      </c>
      <c r="E56">
        <f t="shared" si="29"/>
        <v>2.060797540603474</v>
      </c>
      <c r="F56">
        <f t="shared" si="30"/>
        <v>2.2719309245212695</v>
      </c>
      <c r="G56">
        <f t="shared" si="31"/>
        <v>2.4666628867498153</v>
      </c>
      <c r="H56" s="118" t="s">
        <v>146</v>
      </c>
      <c r="I56" s="105">
        <v>148.64528000000001</v>
      </c>
      <c r="J56" s="45">
        <f t="shared" si="32"/>
        <v>148.64528000000001</v>
      </c>
      <c r="K56" s="45">
        <f t="shared" si="33"/>
        <v>141.21301600000001</v>
      </c>
      <c r="L56" s="45">
        <f t="shared" si="34"/>
        <v>126.348488</v>
      </c>
      <c r="M56" s="45">
        <f t="shared" si="35"/>
        <v>111.48396000000001</v>
      </c>
      <c r="N56" s="45">
        <f t="shared" si="36"/>
        <v>89.187168</v>
      </c>
    </row>
    <row r="57" spans="1:14" ht="43.5" x14ac:dyDescent="0.35">
      <c r="A57" s="118" t="s">
        <v>147</v>
      </c>
      <c r="B57" s="27">
        <v>2.5</v>
      </c>
      <c r="C57">
        <f t="shared" si="27"/>
        <v>1.6876310272536688</v>
      </c>
      <c r="D57">
        <f t="shared" si="28"/>
        <v>1.7113998884339199</v>
      </c>
      <c r="E57">
        <f t="shared" si="29"/>
        <v>1.7765496039685122</v>
      </c>
      <c r="F57">
        <f t="shared" si="30"/>
        <v>1.9585611418286806</v>
      </c>
      <c r="G57">
        <f t="shared" si="31"/>
        <v>2.1264335230601858</v>
      </c>
      <c r="H57" s="118" t="s">
        <v>147</v>
      </c>
      <c r="I57" s="105">
        <v>288</v>
      </c>
      <c r="J57" s="45">
        <f t="shared" si="32"/>
        <v>288</v>
      </c>
      <c r="K57" s="45">
        <f t="shared" si="33"/>
        <v>273.59999999999997</v>
      </c>
      <c r="L57" s="45">
        <f t="shared" si="34"/>
        <v>244.79999999999998</v>
      </c>
      <c r="M57" s="45">
        <f t="shared" si="35"/>
        <v>216</v>
      </c>
      <c r="N57" s="45">
        <f t="shared" si="36"/>
        <v>172.79999999999998</v>
      </c>
    </row>
    <row r="58" spans="1:14" x14ac:dyDescent="0.35">
      <c r="A58" s="119" t="s">
        <v>148</v>
      </c>
      <c r="B58" s="27">
        <v>1.5</v>
      </c>
      <c r="C58">
        <f t="shared" si="27"/>
        <v>1.0125786163522013</v>
      </c>
      <c r="D58">
        <f t="shared" si="28"/>
        <v>1.0268399330603519</v>
      </c>
      <c r="E58">
        <f t="shared" si="29"/>
        <v>1.0659297623811073</v>
      </c>
      <c r="F58">
        <f t="shared" si="30"/>
        <v>1.1751366850972083</v>
      </c>
      <c r="G58">
        <f t="shared" si="31"/>
        <v>1.2758601138361114</v>
      </c>
      <c r="H58" s="119" t="s">
        <v>148</v>
      </c>
      <c r="I58" s="105">
        <v>492</v>
      </c>
      <c r="J58" s="45">
        <f t="shared" si="32"/>
        <v>492</v>
      </c>
      <c r="K58" s="45">
        <f t="shared" si="33"/>
        <v>467.4</v>
      </c>
      <c r="L58" s="45">
        <f t="shared" si="34"/>
        <v>418.2</v>
      </c>
      <c r="M58" s="45">
        <f t="shared" si="35"/>
        <v>369</v>
      </c>
      <c r="N58" s="45">
        <f t="shared" si="36"/>
        <v>295.2</v>
      </c>
    </row>
    <row r="59" spans="1:14" x14ac:dyDescent="0.35">
      <c r="A59" s="118" t="s">
        <v>149</v>
      </c>
      <c r="B59" s="27">
        <v>1</v>
      </c>
      <c r="C59">
        <f t="shared" si="27"/>
        <v>0.6750524109014675</v>
      </c>
      <c r="D59">
        <f t="shared" si="28"/>
        <v>0.68455995537356795</v>
      </c>
      <c r="E59">
        <f t="shared" si="29"/>
        <v>0.71061984158740488</v>
      </c>
      <c r="F59">
        <f t="shared" si="30"/>
        <v>0.78342445673147221</v>
      </c>
      <c r="G59">
        <f t="shared" si="31"/>
        <v>0.85057340922407432</v>
      </c>
      <c r="H59" s="118" t="s">
        <v>149</v>
      </c>
      <c r="I59" s="105">
        <v>288</v>
      </c>
      <c r="J59" s="45">
        <f t="shared" si="32"/>
        <v>288</v>
      </c>
      <c r="K59" s="45">
        <f t="shared" si="33"/>
        <v>273.59999999999997</v>
      </c>
      <c r="L59" s="45">
        <f t="shared" si="34"/>
        <v>244.79999999999998</v>
      </c>
      <c r="M59" s="45">
        <f t="shared" si="35"/>
        <v>216</v>
      </c>
      <c r="N59" s="45">
        <f t="shared" si="36"/>
        <v>172.79999999999998</v>
      </c>
    </row>
    <row r="60" spans="1:14" x14ac:dyDescent="0.35">
      <c r="A60" s="118" t="s">
        <v>58</v>
      </c>
      <c r="B60" s="27">
        <v>2</v>
      </c>
      <c r="C60">
        <f t="shared" si="27"/>
        <v>1.350104821802935</v>
      </c>
      <c r="D60">
        <f t="shared" si="28"/>
        <v>1.3691199107471359</v>
      </c>
      <c r="E60">
        <f t="shared" si="29"/>
        <v>1.4212396831748098</v>
      </c>
      <c r="F60">
        <f t="shared" si="30"/>
        <v>1.5668489134629444</v>
      </c>
      <c r="G60">
        <f t="shared" si="31"/>
        <v>1.7011468184481486</v>
      </c>
      <c r="H60" s="118" t="s">
        <v>58</v>
      </c>
      <c r="I60" s="105">
        <v>776</v>
      </c>
      <c r="J60" s="45">
        <f t="shared" si="32"/>
        <v>776</v>
      </c>
      <c r="K60" s="45">
        <f t="shared" si="33"/>
        <v>737.19999999999993</v>
      </c>
      <c r="L60" s="45">
        <f t="shared" si="34"/>
        <v>659.6</v>
      </c>
      <c r="M60" s="45">
        <f t="shared" si="35"/>
        <v>582</v>
      </c>
      <c r="N60" s="45">
        <f t="shared" si="36"/>
        <v>465.59999999999997</v>
      </c>
    </row>
    <row r="61" spans="1:14" x14ac:dyDescent="0.35">
      <c r="A61" s="118" t="s">
        <v>150</v>
      </c>
      <c r="B61" s="27">
        <v>1</v>
      </c>
      <c r="C61">
        <f t="shared" si="27"/>
        <v>0.6750524109014675</v>
      </c>
      <c r="D61">
        <f t="shared" si="28"/>
        <v>0.68455995537356795</v>
      </c>
      <c r="E61">
        <f t="shared" si="29"/>
        <v>0.71061984158740488</v>
      </c>
      <c r="F61">
        <f t="shared" si="30"/>
        <v>0.78342445673147221</v>
      </c>
      <c r="G61">
        <f t="shared" si="31"/>
        <v>0.85057340922407432</v>
      </c>
      <c r="H61" s="118" t="s">
        <v>150</v>
      </c>
      <c r="I61" s="105">
        <v>77.5</v>
      </c>
      <c r="J61" s="45">
        <f t="shared" si="32"/>
        <v>77.5</v>
      </c>
      <c r="K61" s="45">
        <f t="shared" si="33"/>
        <v>73.625</v>
      </c>
      <c r="L61" s="45">
        <f t="shared" si="34"/>
        <v>65.875</v>
      </c>
      <c r="M61" s="45">
        <f t="shared" si="35"/>
        <v>58.125</v>
      </c>
      <c r="N61" s="45">
        <f t="shared" si="36"/>
        <v>46.5</v>
      </c>
    </row>
    <row r="62" spans="1:14" x14ac:dyDescent="0.35">
      <c r="A62" s="118" t="s">
        <v>151</v>
      </c>
      <c r="B62" s="27">
        <v>2</v>
      </c>
      <c r="C62">
        <f t="shared" si="27"/>
        <v>1.350104821802935</v>
      </c>
      <c r="D62">
        <f t="shared" si="28"/>
        <v>1.3691199107471359</v>
      </c>
      <c r="E62">
        <f t="shared" si="29"/>
        <v>1.4212396831748098</v>
      </c>
      <c r="F62">
        <f t="shared" si="30"/>
        <v>1.5668489134629444</v>
      </c>
      <c r="G62">
        <f t="shared" si="31"/>
        <v>1.7011468184481486</v>
      </c>
      <c r="H62" s="118" t="s">
        <v>151</v>
      </c>
      <c r="I62" s="105">
        <v>45</v>
      </c>
      <c r="J62" s="45">
        <f t="shared" si="32"/>
        <v>45</v>
      </c>
      <c r="K62" s="45">
        <f t="shared" si="33"/>
        <v>42.75</v>
      </c>
      <c r="L62" s="45">
        <f t="shared" si="34"/>
        <v>38.25</v>
      </c>
      <c r="M62" s="45">
        <f t="shared" si="35"/>
        <v>33.75</v>
      </c>
      <c r="N62" s="45">
        <f t="shared" si="36"/>
        <v>27</v>
      </c>
    </row>
    <row r="63" spans="1:14" ht="45.5" x14ac:dyDescent="0.35">
      <c r="A63" s="118" t="s">
        <v>232</v>
      </c>
      <c r="B63" s="27">
        <v>2.2000000000000002</v>
      </c>
      <c r="C63">
        <f t="shared" si="27"/>
        <v>1.4851153039832286</v>
      </c>
      <c r="D63">
        <f t="shared" si="28"/>
        <v>1.5060319018218495</v>
      </c>
      <c r="E63">
        <f t="shared" si="29"/>
        <v>1.5633636514922908</v>
      </c>
      <c r="F63">
        <f t="shared" si="30"/>
        <v>1.723533804809239</v>
      </c>
      <c r="G63">
        <f t="shared" si="31"/>
        <v>1.8712615002929636</v>
      </c>
      <c r="H63" s="118" t="s">
        <v>232</v>
      </c>
      <c r="I63" s="105">
        <v>77.5</v>
      </c>
      <c r="J63" s="45">
        <f t="shared" si="32"/>
        <v>77.5</v>
      </c>
      <c r="K63" s="45">
        <f t="shared" si="33"/>
        <v>73.625</v>
      </c>
      <c r="L63" s="45">
        <f t="shared" si="34"/>
        <v>65.875</v>
      </c>
      <c r="M63" s="45">
        <f t="shared" si="35"/>
        <v>58.125</v>
      </c>
      <c r="N63" s="45">
        <f t="shared" si="36"/>
        <v>46.5</v>
      </c>
    </row>
    <row r="64" spans="1:14" x14ac:dyDescent="0.35">
      <c r="A64" s="118" t="s">
        <v>152</v>
      </c>
      <c r="B64" s="27">
        <v>1.3</v>
      </c>
      <c r="C64">
        <f t="shared" si="27"/>
        <v>0.87756813417190782</v>
      </c>
      <c r="D64">
        <f t="shared" si="28"/>
        <v>0.8899279419856384</v>
      </c>
      <c r="E64">
        <f t="shared" si="29"/>
        <v>0.9238057940636264</v>
      </c>
      <c r="F64">
        <f t="shared" si="30"/>
        <v>1.0184517937509139</v>
      </c>
      <c r="G64">
        <f t="shared" si="31"/>
        <v>1.1057454319912967</v>
      </c>
      <c r="H64" s="118" t="s">
        <v>152</v>
      </c>
      <c r="I64" s="105">
        <v>776</v>
      </c>
      <c r="J64" s="45">
        <f t="shared" si="32"/>
        <v>776</v>
      </c>
      <c r="K64" s="45">
        <f t="shared" si="33"/>
        <v>737.19999999999993</v>
      </c>
      <c r="L64" s="45">
        <f t="shared" si="34"/>
        <v>659.6</v>
      </c>
      <c r="M64" s="45">
        <f t="shared" si="35"/>
        <v>582</v>
      </c>
      <c r="N64" s="45">
        <f t="shared" si="36"/>
        <v>465.59999999999997</v>
      </c>
    </row>
    <row r="65" spans="1:14" x14ac:dyDescent="0.35">
      <c r="A65" s="118" t="s">
        <v>153</v>
      </c>
      <c r="B65" s="27">
        <v>1.6</v>
      </c>
      <c r="C65">
        <f t="shared" si="27"/>
        <v>1.0800838574423481</v>
      </c>
      <c r="D65">
        <f t="shared" si="28"/>
        <v>1.0952959285977089</v>
      </c>
      <c r="E65">
        <f t="shared" si="29"/>
        <v>1.1369917465398478</v>
      </c>
      <c r="F65">
        <f t="shared" si="30"/>
        <v>1.2534791307703557</v>
      </c>
      <c r="G65">
        <f t="shared" si="31"/>
        <v>1.360917454758519</v>
      </c>
      <c r="H65" s="118" t="s">
        <v>153</v>
      </c>
      <c r="I65" s="105">
        <v>288</v>
      </c>
      <c r="J65" s="45">
        <f t="shared" si="32"/>
        <v>288</v>
      </c>
      <c r="K65" s="45">
        <f t="shared" si="33"/>
        <v>273.59999999999997</v>
      </c>
      <c r="L65" s="45">
        <f t="shared" si="34"/>
        <v>244.79999999999998</v>
      </c>
      <c r="M65" s="45">
        <f t="shared" si="35"/>
        <v>216</v>
      </c>
      <c r="N65" s="45">
        <f t="shared" si="36"/>
        <v>172.79999999999998</v>
      </c>
    </row>
    <row r="66" spans="1:14" x14ac:dyDescent="0.35">
      <c r="A66" s="118" t="s">
        <v>154</v>
      </c>
      <c r="B66" s="27">
        <v>2</v>
      </c>
      <c r="C66">
        <f t="shared" si="27"/>
        <v>1.350104821802935</v>
      </c>
      <c r="D66">
        <f t="shared" si="28"/>
        <v>1.3691199107471359</v>
      </c>
      <c r="E66">
        <f t="shared" si="29"/>
        <v>1.4212396831748098</v>
      </c>
      <c r="F66">
        <f t="shared" si="30"/>
        <v>1.5668489134629444</v>
      </c>
      <c r="G66">
        <f t="shared" si="31"/>
        <v>1.7011468184481486</v>
      </c>
      <c r="H66" s="118" t="s">
        <v>154</v>
      </c>
      <c r="I66" s="105">
        <v>45</v>
      </c>
      <c r="J66" s="45">
        <f t="shared" si="32"/>
        <v>45</v>
      </c>
      <c r="K66" s="45">
        <f t="shared" si="33"/>
        <v>42.75</v>
      </c>
      <c r="L66" s="45">
        <f t="shared" si="34"/>
        <v>38.25</v>
      </c>
      <c r="M66" s="45">
        <f t="shared" si="35"/>
        <v>33.75</v>
      </c>
      <c r="N66" s="45">
        <f t="shared" si="36"/>
        <v>27</v>
      </c>
    </row>
    <row r="67" spans="1:14" x14ac:dyDescent="0.35">
      <c r="A67" s="118" t="s">
        <v>143</v>
      </c>
      <c r="B67" s="27">
        <v>2</v>
      </c>
      <c r="C67">
        <f t="shared" si="27"/>
        <v>1.350104821802935</v>
      </c>
      <c r="D67">
        <f t="shared" si="28"/>
        <v>1.3691199107471359</v>
      </c>
      <c r="E67">
        <f t="shared" si="29"/>
        <v>1.4212396831748098</v>
      </c>
      <c r="F67">
        <f t="shared" si="30"/>
        <v>1.5668489134629444</v>
      </c>
      <c r="G67">
        <f t="shared" si="31"/>
        <v>1.7011468184481486</v>
      </c>
      <c r="H67" s="118" t="s">
        <v>143</v>
      </c>
      <c r="I67" s="105">
        <v>308</v>
      </c>
      <c r="J67" s="45">
        <f>$I67*B$44</f>
        <v>308</v>
      </c>
      <c r="K67" s="45">
        <f t="shared" ref="K67:N68" si="37">$I67*C$44</f>
        <v>292.59999999999997</v>
      </c>
      <c r="L67" s="45">
        <f t="shared" si="37"/>
        <v>261.8</v>
      </c>
      <c r="M67" s="45">
        <f t="shared" si="37"/>
        <v>231</v>
      </c>
      <c r="N67" s="45">
        <f t="shared" si="37"/>
        <v>184.79999999999998</v>
      </c>
    </row>
    <row r="68" spans="1:14" x14ac:dyDescent="0.35">
      <c r="A68" s="119" t="s">
        <v>148</v>
      </c>
      <c r="B68" s="27">
        <v>2</v>
      </c>
      <c r="C68">
        <f t="shared" si="27"/>
        <v>1.350104821802935</v>
      </c>
      <c r="D68">
        <f t="shared" si="28"/>
        <v>1.3691199107471359</v>
      </c>
      <c r="E68">
        <f t="shared" si="29"/>
        <v>1.4212396831748098</v>
      </c>
      <c r="F68">
        <f t="shared" si="30"/>
        <v>1.5668489134629444</v>
      </c>
      <c r="G68">
        <f t="shared" si="31"/>
        <v>1.7011468184481486</v>
      </c>
      <c r="H68" s="119" t="s">
        <v>148</v>
      </c>
      <c r="I68" s="105">
        <v>308</v>
      </c>
      <c r="J68" s="45">
        <f>$I68*B$44</f>
        <v>308</v>
      </c>
      <c r="K68" s="45">
        <f t="shared" si="37"/>
        <v>292.59999999999997</v>
      </c>
      <c r="L68" s="45">
        <f t="shared" si="37"/>
        <v>261.8</v>
      </c>
      <c r="M68" s="45">
        <f t="shared" si="37"/>
        <v>231</v>
      </c>
      <c r="N68" s="45">
        <f t="shared" si="37"/>
        <v>184.79999999999998</v>
      </c>
    </row>
    <row r="69" spans="1:14" x14ac:dyDescent="0.35">
      <c r="A69" s="120" t="s">
        <v>140</v>
      </c>
      <c r="B69" s="27">
        <v>25</v>
      </c>
      <c r="C69">
        <f t="shared" si="27"/>
        <v>16.876310272536688</v>
      </c>
      <c r="D69">
        <f t="shared" si="28"/>
        <v>17.1139988843392</v>
      </c>
      <c r="E69">
        <f t="shared" si="29"/>
        <v>17.765496039685122</v>
      </c>
      <c r="F69">
        <f t="shared" si="30"/>
        <v>19.585611418286806</v>
      </c>
      <c r="G69">
        <f t="shared" si="31"/>
        <v>21.264335230601858</v>
      </c>
      <c r="H69" s="120" t="s">
        <v>140</v>
      </c>
      <c r="I69" s="113">
        <v>2</v>
      </c>
      <c r="J69" s="6">
        <f>$I69*B$45</f>
        <v>2</v>
      </c>
      <c r="K69" s="6">
        <f t="shared" ref="K69:N69" si="38">$I69*C$45</f>
        <v>1.9</v>
      </c>
      <c r="L69" s="6">
        <f t="shared" si="38"/>
        <v>1.7</v>
      </c>
      <c r="M69" s="6">
        <f t="shared" si="38"/>
        <v>1.5</v>
      </c>
      <c r="N69" s="6">
        <f t="shared" si="38"/>
        <v>1.2</v>
      </c>
    </row>
    <row r="70" spans="1:14" x14ac:dyDescent="0.35">
      <c r="A70" s="120" t="s">
        <v>162</v>
      </c>
      <c r="B70" s="27">
        <v>12</v>
      </c>
      <c r="C70">
        <f t="shared" si="27"/>
        <v>8.10062893081761</v>
      </c>
      <c r="D70">
        <f t="shared" si="28"/>
        <v>8.2147194644828154</v>
      </c>
      <c r="E70">
        <f t="shared" si="29"/>
        <v>8.5274380990488581</v>
      </c>
      <c r="F70">
        <f t="shared" si="30"/>
        <v>9.401093480777666</v>
      </c>
      <c r="G70">
        <f t="shared" si="31"/>
        <v>10.206880910688891</v>
      </c>
      <c r="H70" s="120" t="s">
        <v>162</v>
      </c>
      <c r="I70" s="113">
        <v>0.15</v>
      </c>
      <c r="J70" s="6">
        <f>$I70*B$46</f>
        <v>0.15</v>
      </c>
      <c r="K70" s="6">
        <f t="shared" ref="K70:N70" si="39">$I70*C$46</f>
        <v>0.14249999999999999</v>
      </c>
      <c r="L70" s="6">
        <f t="shared" si="39"/>
        <v>0.1275</v>
      </c>
      <c r="M70" s="6">
        <f t="shared" si="39"/>
        <v>0.11249999999999999</v>
      </c>
      <c r="N70" s="6">
        <f t="shared" si="39"/>
        <v>0.09</v>
      </c>
    </row>
    <row r="71" spans="1:14" ht="29" x14ac:dyDescent="0.35">
      <c r="A71" s="120" t="s">
        <v>160</v>
      </c>
      <c r="B71" s="27">
        <v>22</v>
      </c>
      <c r="C71">
        <f t="shared" si="27"/>
        <v>14.851153039832285</v>
      </c>
      <c r="D71">
        <f t="shared" si="28"/>
        <v>15.060319018218495</v>
      </c>
      <c r="E71">
        <f t="shared" si="29"/>
        <v>15.633636514922907</v>
      </c>
      <c r="F71">
        <f t="shared" si="30"/>
        <v>17.235338048092387</v>
      </c>
      <c r="G71">
        <f t="shared" si="31"/>
        <v>18.712615002929635</v>
      </c>
      <c r="H71" s="120" t="s">
        <v>160</v>
      </c>
      <c r="I71" s="113">
        <v>0.25</v>
      </c>
      <c r="J71" s="6">
        <f t="shared" ref="J71:J74" si="40">$I71*B$46</f>
        <v>0.25</v>
      </c>
      <c r="K71" s="6">
        <f t="shared" ref="K71:K74" si="41">$I71*C$46</f>
        <v>0.23749999999999999</v>
      </c>
      <c r="L71" s="6">
        <f t="shared" ref="L71:L74" si="42">$I71*D$46</f>
        <v>0.21249999999999999</v>
      </c>
      <c r="M71" s="6">
        <f t="shared" ref="M71:M74" si="43">$I71*E$46</f>
        <v>0.1875</v>
      </c>
      <c r="N71" s="6">
        <f t="shared" ref="N71:N74" si="44">$I71*F$46</f>
        <v>0.15</v>
      </c>
    </row>
    <row r="72" spans="1:14" ht="29" x14ac:dyDescent="0.35">
      <c r="A72" s="120" t="s">
        <v>161</v>
      </c>
      <c r="B72" s="27">
        <v>12</v>
      </c>
      <c r="C72">
        <f t="shared" si="27"/>
        <v>8.10062893081761</v>
      </c>
      <c r="D72">
        <f t="shared" si="28"/>
        <v>8.2147194644828154</v>
      </c>
      <c r="E72">
        <f t="shared" si="29"/>
        <v>8.5274380990488581</v>
      </c>
      <c r="F72">
        <f t="shared" si="30"/>
        <v>9.401093480777666</v>
      </c>
      <c r="G72">
        <f t="shared" si="31"/>
        <v>10.206880910688891</v>
      </c>
      <c r="H72" s="120" t="s">
        <v>161</v>
      </c>
      <c r="I72" s="113">
        <v>0.5</v>
      </c>
      <c r="J72" s="6">
        <f t="shared" si="40"/>
        <v>0.5</v>
      </c>
      <c r="K72" s="6">
        <f t="shared" si="41"/>
        <v>0.47499999999999998</v>
      </c>
      <c r="L72" s="6">
        <f t="shared" si="42"/>
        <v>0.42499999999999999</v>
      </c>
      <c r="M72" s="6">
        <f t="shared" si="43"/>
        <v>0.375</v>
      </c>
      <c r="N72" s="6">
        <f t="shared" si="44"/>
        <v>0.3</v>
      </c>
    </row>
    <row r="73" spans="1:14" ht="29" x14ac:dyDescent="0.35">
      <c r="A73" s="120" t="s">
        <v>164</v>
      </c>
      <c r="B73" s="27">
        <v>20</v>
      </c>
      <c r="C73">
        <f t="shared" si="27"/>
        <v>13.50104821802935</v>
      </c>
      <c r="D73">
        <f t="shared" si="28"/>
        <v>13.691199107471359</v>
      </c>
      <c r="E73">
        <f t="shared" si="29"/>
        <v>14.212396831748098</v>
      </c>
      <c r="F73">
        <f t="shared" si="30"/>
        <v>15.668489134629445</v>
      </c>
      <c r="G73">
        <f t="shared" si="31"/>
        <v>17.011468184481487</v>
      </c>
      <c r="H73" s="120" t="s">
        <v>164</v>
      </c>
      <c r="I73" s="113">
        <v>1</v>
      </c>
      <c r="J73" s="6">
        <f t="shared" si="40"/>
        <v>1</v>
      </c>
      <c r="K73" s="6">
        <f t="shared" si="41"/>
        <v>0.95</v>
      </c>
      <c r="L73" s="6">
        <f t="shared" si="42"/>
        <v>0.85</v>
      </c>
      <c r="M73" s="6">
        <f t="shared" si="43"/>
        <v>0.75</v>
      </c>
      <c r="N73" s="6">
        <f t="shared" si="44"/>
        <v>0.6</v>
      </c>
    </row>
    <row r="74" spans="1:14" x14ac:dyDescent="0.35">
      <c r="A74" s="120" t="s">
        <v>165</v>
      </c>
      <c r="B74" s="27">
        <v>8</v>
      </c>
      <c r="C74">
        <f t="shared" si="27"/>
        <v>5.40041928721174</v>
      </c>
      <c r="D74">
        <f t="shared" si="28"/>
        <v>5.4764796429885436</v>
      </c>
      <c r="E74">
        <f t="shared" si="29"/>
        <v>5.684958732699239</v>
      </c>
      <c r="F74">
        <f t="shared" si="30"/>
        <v>6.2673956538517777</v>
      </c>
      <c r="G74">
        <f t="shared" si="31"/>
        <v>6.8045872737925945</v>
      </c>
      <c r="H74" s="120" t="s">
        <v>165</v>
      </c>
      <c r="I74" s="113">
        <v>0.5</v>
      </c>
      <c r="J74" s="6">
        <f t="shared" si="40"/>
        <v>0.5</v>
      </c>
      <c r="K74" s="6">
        <f t="shared" si="41"/>
        <v>0.47499999999999998</v>
      </c>
      <c r="L74" s="6">
        <f t="shared" si="42"/>
        <v>0.42499999999999999</v>
      </c>
      <c r="M74" s="6">
        <f t="shared" si="43"/>
        <v>0.375</v>
      </c>
      <c r="N74" s="6">
        <f t="shared" si="44"/>
        <v>0.3</v>
      </c>
    </row>
    <row r="75" spans="1:14" ht="29" x14ac:dyDescent="0.35">
      <c r="A75" s="121" t="s">
        <v>204</v>
      </c>
      <c r="B75" s="27">
        <v>25</v>
      </c>
      <c r="C75">
        <f t="shared" si="27"/>
        <v>16.876310272536688</v>
      </c>
      <c r="D75">
        <f t="shared" si="28"/>
        <v>17.1139988843392</v>
      </c>
      <c r="E75">
        <f t="shared" si="29"/>
        <v>17.765496039685122</v>
      </c>
      <c r="F75">
        <f t="shared" si="30"/>
        <v>19.585611418286806</v>
      </c>
      <c r="G75">
        <f t="shared" si="31"/>
        <v>21.264335230601858</v>
      </c>
      <c r="H75" s="121" t="s">
        <v>204</v>
      </c>
      <c r="I75" s="60">
        <v>4.0999999999999996</v>
      </c>
      <c r="J75" s="6">
        <f>$I75*B$47</f>
        <v>4.0999999999999996</v>
      </c>
      <c r="K75" s="6">
        <f t="shared" ref="K75:N75" si="45">$I75*C$47</f>
        <v>3.8949999999999996</v>
      </c>
      <c r="L75" s="6">
        <f t="shared" si="45"/>
        <v>3.4849999999999994</v>
      </c>
      <c r="M75" s="6">
        <f t="shared" si="45"/>
        <v>3.0749999999999997</v>
      </c>
      <c r="N75" s="6">
        <f t="shared" si="45"/>
        <v>2.4599999999999995</v>
      </c>
    </row>
    <row r="76" spans="1:14" x14ac:dyDescent="0.35">
      <c r="A76" s="120" t="s">
        <v>285</v>
      </c>
      <c r="B76">
        <f>SUM(B51:B75)</f>
        <v>160.30000000000001</v>
      </c>
      <c r="C76">
        <f t="shared" ref="C76:G76" si="46">SUM(C51:C75)</f>
        <v>108.21090146750525</v>
      </c>
      <c r="D76">
        <f t="shared" si="46"/>
        <v>109.73496084638293</v>
      </c>
      <c r="E76">
        <f t="shared" si="46"/>
        <v>113.91236060646101</v>
      </c>
      <c r="F76">
        <f t="shared" si="46"/>
        <v>125.58294041405499</v>
      </c>
      <c r="G76">
        <f t="shared" si="46"/>
        <v>136.34691749861912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31DD1-EB4A-47B9-B2AE-4615D2B33613}">
  <sheetPr codeName="Sheet6">
    <tabColor rgb="FF92D050"/>
  </sheetPr>
  <dimension ref="A1:AV311"/>
  <sheetViews>
    <sheetView topLeftCell="S1" zoomScale="85" zoomScaleNormal="85" workbookViewId="0">
      <selection activeCell="AK4" sqref="AK4:AK28"/>
    </sheetView>
  </sheetViews>
  <sheetFormatPr defaultColWidth="8.7265625" defaultRowHeight="14.5" x14ac:dyDescent="0.35"/>
  <cols>
    <col min="1" max="1" width="3.81640625" style="23" customWidth="1"/>
    <col min="2" max="2" width="27.453125" style="23" customWidth="1"/>
    <col min="3" max="3" width="18" style="23" customWidth="1"/>
    <col min="4" max="5" width="10.1796875" style="23" customWidth="1"/>
    <col min="6" max="6" width="9.54296875" style="23" customWidth="1"/>
    <col min="7" max="7" width="10.26953125" style="23" customWidth="1"/>
    <col min="8" max="8" width="10.1796875" style="23" customWidth="1"/>
    <col min="9" max="17" width="8.7265625" style="23"/>
    <col min="18" max="18" width="9.81640625" style="23" customWidth="1"/>
    <col min="19" max="28" width="8.7265625" style="23"/>
    <col min="29" max="29" width="4.54296875" style="23" customWidth="1"/>
    <col min="30" max="34" width="8.7265625" style="23"/>
    <col min="35" max="35" width="3.54296875" style="23" customWidth="1"/>
    <col min="36" max="37" width="8.7265625" style="23"/>
    <col min="38" max="38" width="1.81640625" style="135" customWidth="1"/>
    <col min="39" max="39" width="3.26953125" style="96" customWidth="1"/>
    <col min="40" max="16384" width="8.7265625" style="23"/>
  </cols>
  <sheetData>
    <row r="1" spans="1:48" ht="21" x14ac:dyDescent="0.5">
      <c r="B1" s="133" t="s">
        <v>253</v>
      </c>
      <c r="C1" s="136">
        <v>2019</v>
      </c>
      <c r="W1" s="23" t="s">
        <v>202</v>
      </c>
      <c r="AB1" s="95"/>
    </row>
    <row r="2" spans="1:48" x14ac:dyDescent="0.35">
      <c r="H2" s="96"/>
      <c r="T2" s="99" t="s">
        <v>138</v>
      </c>
      <c r="W2" s="99">
        <v>1.6</v>
      </c>
      <c r="X2" s="23" t="s">
        <v>174</v>
      </c>
      <c r="Z2" s="100">
        <v>0</v>
      </c>
      <c r="AA2" s="23" t="s">
        <v>175</v>
      </c>
      <c r="AC2" s="101">
        <v>0</v>
      </c>
    </row>
    <row r="3" spans="1:48" ht="72.5" x14ac:dyDescent="0.35">
      <c r="A3" s="102" t="s">
        <v>244</v>
      </c>
      <c r="B3" s="102" t="s">
        <v>173</v>
      </c>
      <c r="C3" s="103" t="s">
        <v>95</v>
      </c>
      <c r="D3" s="103" t="s">
        <v>172</v>
      </c>
      <c r="E3" s="103" t="s">
        <v>231</v>
      </c>
      <c r="F3" s="103" t="s">
        <v>96</v>
      </c>
      <c r="G3" s="103" t="s">
        <v>205</v>
      </c>
      <c r="H3" s="103" t="s">
        <v>99</v>
      </c>
      <c r="I3" s="103" t="s">
        <v>97</v>
      </c>
      <c r="J3" s="103" t="s">
        <v>100</v>
      </c>
      <c r="K3" s="103" t="s">
        <v>101</v>
      </c>
      <c r="L3" s="103" t="s">
        <v>102</v>
      </c>
      <c r="M3" s="103" t="s">
        <v>129</v>
      </c>
      <c r="N3" s="103" t="s">
        <v>130</v>
      </c>
      <c r="O3" s="103" t="s">
        <v>132</v>
      </c>
      <c r="P3" s="103" t="s">
        <v>133</v>
      </c>
      <c r="Q3" s="103" t="s">
        <v>131</v>
      </c>
      <c r="R3" s="117" t="s">
        <v>136</v>
      </c>
      <c r="S3" s="103" t="s">
        <v>135</v>
      </c>
      <c r="T3" s="103" t="s">
        <v>134</v>
      </c>
      <c r="U3" s="103" t="s">
        <v>103</v>
      </c>
      <c r="V3" s="117" t="s">
        <v>108</v>
      </c>
      <c r="W3" s="103" t="s">
        <v>199</v>
      </c>
      <c r="X3" s="103" t="s">
        <v>104</v>
      </c>
      <c r="Y3" s="103" t="s">
        <v>105</v>
      </c>
      <c r="Z3" s="103" t="s">
        <v>106</v>
      </c>
      <c r="AA3" s="103" t="s">
        <v>137</v>
      </c>
      <c r="AB3" s="117" t="s">
        <v>107</v>
      </c>
      <c r="AD3" s="103" t="s">
        <v>167</v>
      </c>
      <c r="AE3" s="103" t="s">
        <v>168</v>
      </c>
      <c r="AF3" s="103" t="s">
        <v>169</v>
      </c>
      <c r="AJ3" s="103" t="s">
        <v>177</v>
      </c>
      <c r="AK3" s="103" t="s">
        <v>176</v>
      </c>
      <c r="AO3" s="23" t="s">
        <v>245</v>
      </c>
      <c r="AQ3" s="23" t="s">
        <v>246</v>
      </c>
      <c r="AS3" s="23" t="s">
        <v>247</v>
      </c>
      <c r="AU3" s="23" t="s">
        <v>278</v>
      </c>
    </row>
    <row r="4" spans="1:48" ht="14.5" customHeight="1" x14ac:dyDescent="0.35">
      <c r="A4" s="23">
        <v>20</v>
      </c>
      <c r="B4" s="120" t="s">
        <v>162</v>
      </c>
      <c r="C4" s="111" t="s">
        <v>157</v>
      </c>
      <c r="D4" s="111" t="s">
        <v>170</v>
      </c>
      <c r="E4" s="111"/>
      <c r="F4" s="111" t="s">
        <v>158</v>
      </c>
      <c r="G4" s="141">
        <f>'time-factors'!B$35*'time-factors'!B70</f>
        <v>8.10062893081761</v>
      </c>
      <c r="H4" s="174">
        <f>'time-factors'!J70</f>
        <v>0.15</v>
      </c>
      <c r="I4" s="168" t="s">
        <v>166</v>
      </c>
      <c r="J4" s="96">
        <f>'time-factors'!O$46</f>
        <v>20</v>
      </c>
      <c r="K4" s="170">
        <f>'time-factors'!I$46</f>
        <v>0.05</v>
      </c>
      <c r="L4" s="172">
        <f t="shared" ref="L4:L28" si="0">PMT(K4,J4,-H4)</f>
        <v>1.2036388078603697E-2</v>
      </c>
      <c r="M4" s="171">
        <v>0.02</v>
      </c>
      <c r="N4" s="168">
        <f t="shared" ref="N4:N28" si="1">M4*H4</f>
        <v>3.0000000000000001E-3</v>
      </c>
      <c r="O4" s="168">
        <v>1.5</v>
      </c>
      <c r="P4" s="177">
        <v>200</v>
      </c>
      <c r="Q4" s="115">
        <f t="shared" ref="Q4:Q28" si="2">P4*O4*0.001</f>
        <v>0.3</v>
      </c>
      <c r="R4" s="114">
        <f t="shared" ref="R4:R28" si="3">L4+N4+Q4</f>
        <v>0.31503638807860368</v>
      </c>
      <c r="S4" s="114">
        <f>2*O4</f>
        <v>3</v>
      </c>
      <c r="T4" s="114">
        <v>0.1</v>
      </c>
      <c r="U4" s="111">
        <f t="shared" ref="U4:U28" si="4">T4*S4</f>
        <v>0.30000000000000004</v>
      </c>
      <c r="V4" s="111">
        <f t="shared" ref="V4:V28" si="5">R4/U4</f>
        <v>1.0501212935953455</v>
      </c>
      <c r="W4" s="111">
        <v>200</v>
      </c>
      <c r="X4" s="111">
        <f t="shared" ref="X4:X28" si="6">W4*S4*0.001</f>
        <v>0.6</v>
      </c>
      <c r="Y4" s="111">
        <f t="shared" ref="Y4:Y10" si="7">$AC$2</f>
        <v>0</v>
      </c>
      <c r="Z4" s="111">
        <f t="shared" ref="Z4:Z28" si="8">Y4*U4</f>
        <v>0</v>
      </c>
      <c r="AA4" s="114">
        <f t="shared" ref="AA4:AA28" si="9">R4-X4-Z4</f>
        <v>-0.2849636119213963</v>
      </c>
      <c r="AB4" s="111">
        <f t="shared" ref="AB4:AB28" si="10">AA4/U4</f>
        <v>-0.94987870640465422</v>
      </c>
      <c r="AC4" s="111"/>
      <c r="AD4" s="107">
        <f t="shared" ref="AD4:AD28" si="11">L4/U4</f>
        <v>4.012129359534565E-2</v>
      </c>
      <c r="AE4" s="23">
        <f t="shared" ref="AE4:AE28" si="12">N4/U4</f>
        <v>9.9999999999999985E-3</v>
      </c>
      <c r="AF4" s="108">
        <f t="shared" ref="AF4:AF28" si="13">Q4/U4</f>
        <v>0.99999999999999978</v>
      </c>
      <c r="AH4" s="104">
        <f>G4</f>
        <v>8.10062893081761</v>
      </c>
      <c r="AJ4" s="104">
        <f>AH4</f>
        <v>8.10062893081761</v>
      </c>
      <c r="AK4" s="23">
        <f t="shared" ref="AK4:AK28" si="14">AB4</f>
        <v>-0.94987870640465422</v>
      </c>
      <c r="AO4" s="104">
        <v>8.10062893081761</v>
      </c>
      <c r="AP4" s="23">
        <v>-0.94182885619537771</v>
      </c>
      <c r="AQ4" s="141">
        <v>2.2893081761006289</v>
      </c>
      <c r="AR4" s="141">
        <v>-0.94182885619537771</v>
      </c>
      <c r="AS4" s="23">
        <v>0.679245283018868</v>
      </c>
      <c r="AT4" s="23">
        <v>-0.94182885619537771</v>
      </c>
      <c r="AU4" s="23">
        <f>AS4*0.011</f>
        <v>7.4716981132075472E-3</v>
      </c>
      <c r="AV4" s="23">
        <f>AT4</f>
        <v>-0.94182885619537771</v>
      </c>
    </row>
    <row r="5" spans="1:48" ht="14.5" customHeight="1" x14ac:dyDescent="0.35">
      <c r="A5" s="23">
        <v>21</v>
      </c>
      <c r="B5" s="120" t="s">
        <v>160</v>
      </c>
      <c r="C5" s="48" t="s">
        <v>163</v>
      </c>
      <c r="D5" s="111" t="s">
        <v>170</v>
      </c>
      <c r="E5" s="111"/>
      <c r="F5" s="48" t="s">
        <v>158</v>
      </c>
      <c r="G5" s="141">
        <f>'time-factors'!B$35*'time-factors'!B71</f>
        <v>14.851153039832285</v>
      </c>
      <c r="H5" s="174">
        <f>'time-factors'!J71</f>
        <v>0.25</v>
      </c>
      <c r="I5" s="168" t="s">
        <v>166</v>
      </c>
      <c r="J5" s="96">
        <f>'time-factors'!O$46</f>
        <v>20</v>
      </c>
      <c r="K5" s="170">
        <f>'time-factors'!I$46</f>
        <v>0.05</v>
      </c>
      <c r="L5" s="172">
        <f t="shared" si="0"/>
        <v>2.0060646797672832E-2</v>
      </c>
      <c r="M5" s="171">
        <v>0.02</v>
      </c>
      <c r="N5" s="168">
        <f t="shared" si="1"/>
        <v>5.0000000000000001E-3</v>
      </c>
      <c r="O5" s="168">
        <v>4.4000000000000004</v>
      </c>
      <c r="P5" s="177">
        <v>200</v>
      </c>
      <c r="Q5" s="115">
        <f t="shared" si="2"/>
        <v>0.88000000000000012</v>
      </c>
      <c r="R5" s="114">
        <f t="shared" si="3"/>
        <v>0.90506064679767295</v>
      </c>
      <c r="S5" s="114">
        <f>1.2*O5</f>
        <v>5.28</v>
      </c>
      <c r="T5" s="114">
        <v>0.1</v>
      </c>
      <c r="U5" s="111">
        <f t="shared" si="4"/>
        <v>0.52800000000000002</v>
      </c>
      <c r="V5" s="111">
        <f t="shared" si="5"/>
        <v>1.7141300128743806</v>
      </c>
      <c r="W5" s="111">
        <v>200</v>
      </c>
      <c r="X5" s="111">
        <f t="shared" si="6"/>
        <v>1.056</v>
      </c>
      <c r="Y5" s="111">
        <f t="shared" si="7"/>
        <v>0</v>
      </c>
      <c r="Z5" s="111">
        <f t="shared" si="8"/>
        <v>0</v>
      </c>
      <c r="AA5" s="114">
        <f t="shared" si="9"/>
        <v>-0.1509393532023271</v>
      </c>
      <c r="AB5" s="111">
        <f t="shared" si="10"/>
        <v>-0.28586998712561951</v>
      </c>
      <c r="AC5" s="111"/>
      <c r="AD5" s="107">
        <f t="shared" si="11"/>
        <v>3.7993649238016729E-2</v>
      </c>
      <c r="AE5" s="23">
        <f t="shared" si="12"/>
        <v>9.46969696969697E-3</v>
      </c>
      <c r="AF5" s="108">
        <f t="shared" si="13"/>
        <v>1.6666666666666667</v>
      </c>
      <c r="AH5" s="104">
        <f t="shared" ref="AH5:AH28" si="15">G5</f>
        <v>14.851153039832285</v>
      </c>
      <c r="AJ5" s="104">
        <f>AJ4+AH5</f>
        <v>22.951781970649897</v>
      </c>
      <c r="AK5" s="23">
        <f t="shared" si="14"/>
        <v>-0.28586998712561951</v>
      </c>
      <c r="AO5" s="104">
        <v>22.951781970649897</v>
      </c>
      <c r="AP5" s="23">
        <v>-0.27824702291228948</v>
      </c>
      <c r="AQ5" s="141">
        <v>6.4863731656184491</v>
      </c>
      <c r="AR5" s="141">
        <v>-0.27824702291228948</v>
      </c>
      <c r="AS5" s="23">
        <v>1.9245283018867925</v>
      </c>
      <c r="AT5" s="23">
        <v>-0.27824702291228948</v>
      </c>
      <c r="AU5" s="23">
        <f t="shared" ref="AU5:AU28" si="16">AS5*0.011</f>
        <v>2.1169811320754715E-2</v>
      </c>
      <c r="AV5" s="23">
        <f t="shared" ref="AV5:AV28" si="17">AT5</f>
        <v>-0.27824702291228948</v>
      </c>
    </row>
    <row r="6" spans="1:48" ht="14.5" customHeight="1" x14ac:dyDescent="0.35">
      <c r="A6" s="23">
        <v>22</v>
      </c>
      <c r="B6" s="120" t="s">
        <v>161</v>
      </c>
      <c r="C6" s="48" t="s">
        <v>163</v>
      </c>
      <c r="D6" s="111" t="s">
        <v>170</v>
      </c>
      <c r="E6" s="111"/>
      <c r="F6" s="48" t="s">
        <v>158</v>
      </c>
      <c r="G6" s="141">
        <f>'time-factors'!B$35*'time-factors'!B72</f>
        <v>8.10062893081761</v>
      </c>
      <c r="H6" s="174">
        <f>'time-factors'!J72</f>
        <v>0.5</v>
      </c>
      <c r="I6" s="168" t="s">
        <v>166</v>
      </c>
      <c r="J6" s="96">
        <f>'time-factors'!O$46</f>
        <v>20</v>
      </c>
      <c r="K6" s="170">
        <f>'time-factors'!I$46</f>
        <v>0.05</v>
      </c>
      <c r="L6" s="172">
        <f t="shared" si="0"/>
        <v>4.0121293595345664E-2</v>
      </c>
      <c r="M6" s="171">
        <v>0.02</v>
      </c>
      <c r="N6" s="168">
        <f t="shared" si="1"/>
        <v>0.01</v>
      </c>
      <c r="O6" s="168">
        <v>4.4000000000000004</v>
      </c>
      <c r="P6" s="177">
        <v>200</v>
      </c>
      <c r="Q6" s="115">
        <f t="shared" si="2"/>
        <v>0.88000000000000012</v>
      </c>
      <c r="R6" s="114">
        <f t="shared" si="3"/>
        <v>0.93012129359534579</v>
      </c>
      <c r="S6" s="114">
        <f>1.2*O6</f>
        <v>5.28</v>
      </c>
      <c r="T6" s="114">
        <v>0.1</v>
      </c>
      <c r="U6" s="111">
        <f t="shared" si="4"/>
        <v>0.52800000000000002</v>
      </c>
      <c r="V6" s="111">
        <f t="shared" si="5"/>
        <v>1.7615933590820942</v>
      </c>
      <c r="W6" s="111">
        <v>200</v>
      </c>
      <c r="X6" s="111">
        <f t="shared" si="6"/>
        <v>1.056</v>
      </c>
      <c r="Y6" s="111">
        <f t="shared" si="7"/>
        <v>0</v>
      </c>
      <c r="Z6" s="111">
        <f t="shared" si="8"/>
        <v>0</v>
      </c>
      <c r="AA6" s="114">
        <f t="shared" si="9"/>
        <v>-0.12587870640465426</v>
      </c>
      <c r="AB6" s="111">
        <f t="shared" si="10"/>
        <v>-0.23840664091790578</v>
      </c>
      <c r="AC6" s="111"/>
      <c r="AD6" s="107">
        <f t="shared" si="11"/>
        <v>7.5987298476033457E-2</v>
      </c>
      <c r="AE6" s="23">
        <f t="shared" si="12"/>
        <v>1.893939393939394E-2</v>
      </c>
      <c r="AF6" s="108">
        <f t="shared" si="13"/>
        <v>1.6666666666666667</v>
      </c>
      <c r="AH6" s="104">
        <f t="shared" si="15"/>
        <v>8.10062893081761</v>
      </c>
      <c r="AJ6" s="104">
        <f t="shared" ref="AJ6:AJ28" si="18">AJ5+AH6</f>
        <v>31.052410901467507</v>
      </c>
      <c r="AK6" s="23">
        <f t="shared" si="14"/>
        <v>-0.23840664091790578</v>
      </c>
      <c r="AO6" s="104">
        <v>31.052410901467507</v>
      </c>
      <c r="AP6" s="23">
        <v>-0.19175703128271135</v>
      </c>
      <c r="AQ6" s="141">
        <v>8.7756813417190784</v>
      </c>
      <c r="AR6" s="141">
        <v>-0.19175703128271135</v>
      </c>
      <c r="AS6" s="23">
        <v>2.6037735849056602</v>
      </c>
      <c r="AT6" s="23">
        <v>-0.19175703128271135</v>
      </c>
      <c r="AU6" s="23">
        <f t="shared" si="16"/>
        <v>2.8641509433962261E-2</v>
      </c>
      <c r="AV6" s="23">
        <f t="shared" si="17"/>
        <v>-0.19175703128271135</v>
      </c>
    </row>
    <row r="7" spans="1:48" ht="14.5" customHeight="1" x14ac:dyDescent="0.35">
      <c r="A7" s="23">
        <v>24</v>
      </c>
      <c r="B7" s="120" t="s">
        <v>165</v>
      </c>
      <c r="C7" s="120" t="s">
        <v>165</v>
      </c>
      <c r="D7" s="111" t="s">
        <v>170</v>
      </c>
      <c r="E7" s="111"/>
      <c r="F7" s="48" t="s">
        <v>158</v>
      </c>
      <c r="G7" s="141">
        <f>'time-factors'!B$35*'time-factors'!B74</f>
        <v>5.40041928721174</v>
      </c>
      <c r="H7" s="174">
        <f>'time-factors'!J74</f>
        <v>0.5</v>
      </c>
      <c r="I7" s="168" t="s">
        <v>166</v>
      </c>
      <c r="J7" s="96">
        <f>'time-factors'!O$46</f>
        <v>20</v>
      </c>
      <c r="K7" s="170">
        <f>'time-factors'!I$47</f>
        <v>0.05</v>
      </c>
      <c r="L7" s="172">
        <f t="shared" si="0"/>
        <v>4.0121293595345664E-2</v>
      </c>
      <c r="M7" s="171">
        <v>0.02</v>
      </c>
      <c r="N7" s="168">
        <f t="shared" si="1"/>
        <v>0.01</v>
      </c>
      <c r="O7" s="168">
        <v>4.4000000000000004</v>
      </c>
      <c r="P7" s="177">
        <v>200</v>
      </c>
      <c r="Q7" s="115">
        <f t="shared" si="2"/>
        <v>0.88000000000000012</v>
      </c>
      <c r="R7" s="114">
        <f t="shared" si="3"/>
        <v>0.93012129359534579</v>
      </c>
      <c r="S7" s="114">
        <f>1.2*O7</f>
        <v>5.28</v>
      </c>
      <c r="T7" s="114">
        <v>0.1</v>
      </c>
      <c r="U7" s="111">
        <f t="shared" si="4"/>
        <v>0.52800000000000002</v>
      </c>
      <c r="V7" s="111">
        <f t="shared" si="5"/>
        <v>1.7615933590820942</v>
      </c>
      <c r="W7" s="111">
        <v>200</v>
      </c>
      <c r="X7" s="111">
        <f t="shared" si="6"/>
        <v>1.056</v>
      </c>
      <c r="Y7" s="111">
        <f t="shared" si="7"/>
        <v>0</v>
      </c>
      <c r="Z7" s="111">
        <f t="shared" si="8"/>
        <v>0</v>
      </c>
      <c r="AA7" s="114">
        <f t="shared" si="9"/>
        <v>-0.12587870640465426</v>
      </c>
      <c r="AB7" s="111">
        <f t="shared" si="10"/>
        <v>-0.23840664091790578</v>
      </c>
      <c r="AC7" s="111"/>
      <c r="AD7" s="107">
        <f t="shared" si="11"/>
        <v>7.5987298476033457E-2</v>
      </c>
      <c r="AE7" s="23">
        <f t="shared" si="12"/>
        <v>1.893939393939394E-2</v>
      </c>
      <c r="AF7" s="108">
        <f t="shared" si="13"/>
        <v>1.6666666666666667</v>
      </c>
      <c r="AH7" s="104">
        <f t="shared" si="15"/>
        <v>5.40041928721174</v>
      </c>
      <c r="AJ7" s="104">
        <f t="shared" si="18"/>
        <v>36.452830188679243</v>
      </c>
      <c r="AK7" s="23">
        <f t="shared" si="14"/>
        <v>-0.23840664091790578</v>
      </c>
      <c r="AO7" s="104">
        <v>36.452830188679243</v>
      </c>
      <c r="AP7" s="23">
        <v>-0.19175703128271135</v>
      </c>
      <c r="AQ7" s="141">
        <v>10.30188679245283</v>
      </c>
      <c r="AR7" s="141">
        <v>-0.19175703128271135</v>
      </c>
      <c r="AS7" s="23">
        <v>3.0566037735849054</v>
      </c>
      <c r="AT7" s="23">
        <v>-0.19175703128271135</v>
      </c>
      <c r="AU7" s="23">
        <f t="shared" si="16"/>
        <v>3.3622641509433955E-2</v>
      </c>
      <c r="AV7" s="23">
        <f t="shared" si="17"/>
        <v>-0.19175703128271135</v>
      </c>
    </row>
    <row r="8" spans="1:48" ht="14.5" customHeight="1" x14ac:dyDescent="0.35">
      <c r="A8" s="23">
        <v>23</v>
      </c>
      <c r="B8" s="120" t="s">
        <v>164</v>
      </c>
      <c r="C8" s="48" t="s">
        <v>163</v>
      </c>
      <c r="D8" s="111" t="s">
        <v>170</v>
      </c>
      <c r="E8" s="111"/>
      <c r="F8" s="48" t="s">
        <v>158</v>
      </c>
      <c r="G8" s="141">
        <f>'time-factors'!B$35*'time-factors'!B73</f>
        <v>13.50104821802935</v>
      </c>
      <c r="H8" s="174">
        <f>'time-factors'!J73</f>
        <v>1</v>
      </c>
      <c r="I8" s="168" t="s">
        <v>166</v>
      </c>
      <c r="J8" s="96">
        <f>'time-factors'!O$46</f>
        <v>20</v>
      </c>
      <c r="K8" s="170">
        <f>'time-factors'!I$46</f>
        <v>0.05</v>
      </c>
      <c r="L8" s="172">
        <f t="shared" si="0"/>
        <v>8.0242587190691328E-2</v>
      </c>
      <c r="M8" s="171">
        <v>0.02</v>
      </c>
      <c r="N8" s="168">
        <f t="shared" si="1"/>
        <v>0.02</v>
      </c>
      <c r="O8" s="168">
        <v>4.4000000000000004</v>
      </c>
      <c r="P8" s="177">
        <v>200</v>
      </c>
      <c r="Q8" s="115">
        <f t="shared" si="2"/>
        <v>0.88000000000000012</v>
      </c>
      <c r="R8" s="114">
        <f t="shared" si="3"/>
        <v>0.98024258719069146</v>
      </c>
      <c r="S8" s="114">
        <f>1.2*O8</f>
        <v>5.28</v>
      </c>
      <c r="T8" s="114">
        <v>0.1</v>
      </c>
      <c r="U8" s="111">
        <f t="shared" si="4"/>
        <v>0.52800000000000002</v>
      </c>
      <c r="V8" s="111">
        <f t="shared" si="5"/>
        <v>1.8565200514975215</v>
      </c>
      <c r="W8" s="111">
        <v>200</v>
      </c>
      <c r="X8" s="111">
        <f t="shared" si="6"/>
        <v>1.056</v>
      </c>
      <c r="Y8" s="111">
        <f t="shared" si="7"/>
        <v>0</v>
      </c>
      <c r="Z8" s="111">
        <f t="shared" si="8"/>
        <v>0</v>
      </c>
      <c r="AA8" s="114">
        <f t="shared" si="9"/>
        <v>-7.5757412809308589E-2</v>
      </c>
      <c r="AB8" s="111">
        <f t="shared" si="10"/>
        <v>-0.14347994850247839</v>
      </c>
      <c r="AC8" s="111"/>
      <c r="AD8" s="107">
        <f t="shared" si="11"/>
        <v>0.15197459695206691</v>
      </c>
      <c r="AE8" s="23">
        <f t="shared" si="12"/>
        <v>3.787878787878788E-2</v>
      </c>
      <c r="AF8" s="108">
        <f t="shared" si="13"/>
        <v>1.6666666666666667</v>
      </c>
      <c r="AH8" s="104">
        <f t="shared" si="15"/>
        <v>13.50104821802935</v>
      </c>
      <c r="AJ8" s="104">
        <f t="shared" si="18"/>
        <v>49.953878406708597</v>
      </c>
      <c r="AK8" s="23">
        <f t="shared" si="14"/>
        <v>-0.14347994850247839</v>
      </c>
      <c r="AO8" s="104">
        <v>53.329140461215928</v>
      </c>
      <c r="AP8" s="23">
        <v>-0.13846968723611039</v>
      </c>
      <c r="AQ8" s="141">
        <v>15.071278825995808</v>
      </c>
      <c r="AR8" s="141">
        <v>-0.13846968723611039</v>
      </c>
      <c r="AS8" s="23">
        <v>4.4716981132075473</v>
      </c>
      <c r="AT8" s="23">
        <v>-0.13846968723611039</v>
      </c>
      <c r="AU8" s="23">
        <f t="shared" si="16"/>
        <v>4.9188679245283015E-2</v>
      </c>
      <c r="AV8" s="23">
        <f t="shared" si="17"/>
        <v>-0.13846968723611039</v>
      </c>
    </row>
    <row r="9" spans="1:48" ht="14.5" customHeight="1" x14ac:dyDescent="0.35">
      <c r="A9" s="23">
        <v>19</v>
      </c>
      <c r="B9" s="120" t="s">
        <v>140</v>
      </c>
      <c r="C9" s="111" t="s">
        <v>157</v>
      </c>
      <c r="D9" s="111" t="s">
        <v>170</v>
      </c>
      <c r="E9" s="111"/>
      <c r="F9" s="111" t="s">
        <v>159</v>
      </c>
      <c r="G9" s="141">
        <f>'time-factors'!B$35*'time-factors'!B69</f>
        <v>16.876310272536688</v>
      </c>
      <c r="H9" s="174">
        <f>'time-factors'!J69</f>
        <v>2</v>
      </c>
      <c r="I9" s="168" t="s">
        <v>166</v>
      </c>
      <c r="J9" s="96">
        <f>'time-factors'!O$45</f>
        <v>15</v>
      </c>
      <c r="K9" s="170">
        <f>'time-factors'!I$45</f>
        <v>0.05</v>
      </c>
      <c r="L9" s="172">
        <f t="shared" si="0"/>
        <v>0.19268457521848875</v>
      </c>
      <c r="M9" s="171">
        <v>0</v>
      </c>
      <c r="N9" s="168">
        <f t="shared" si="1"/>
        <v>0</v>
      </c>
      <c r="O9" s="168">
        <v>2.63</v>
      </c>
      <c r="P9" s="177">
        <v>200</v>
      </c>
      <c r="Q9" s="115">
        <f t="shared" si="2"/>
        <v>0.52600000000000002</v>
      </c>
      <c r="R9" s="114">
        <f t="shared" si="3"/>
        <v>0.71868457521848872</v>
      </c>
      <c r="S9" s="114">
        <f>3.5*O9</f>
        <v>9.2050000000000001</v>
      </c>
      <c r="T9" s="114">
        <v>0.18</v>
      </c>
      <c r="U9" s="111">
        <f t="shared" si="4"/>
        <v>1.6569</v>
      </c>
      <c r="V9" s="111">
        <f t="shared" si="5"/>
        <v>0.43375253498611183</v>
      </c>
      <c r="W9" s="116">
        <v>103</v>
      </c>
      <c r="X9" s="111">
        <f t="shared" si="6"/>
        <v>0.94811500000000004</v>
      </c>
      <c r="Y9" s="111">
        <f t="shared" si="7"/>
        <v>0</v>
      </c>
      <c r="Z9" s="111">
        <f t="shared" si="8"/>
        <v>0</v>
      </c>
      <c r="AA9" s="114">
        <f t="shared" si="9"/>
        <v>-0.22943042478151132</v>
      </c>
      <c r="AB9" s="111">
        <f t="shared" si="10"/>
        <v>-0.13846968723611039</v>
      </c>
      <c r="AC9" s="111"/>
      <c r="AD9" s="107">
        <f t="shared" si="11"/>
        <v>0.1162922175257944</v>
      </c>
      <c r="AE9" s="23">
        <f t="shared" si="12"/>
        <v>0</v>
      </c>
      <c r="AF9" s="108">
        <f t="shared" si="13"/>
        <v>0.31746031746031744</v>
      </c>
      <c r="AH9" s="104">
        <f t="shared" si="15"/>
        <v>16.876310272536688</v>
      </c>
      <c r="AJ9" s="104">
        <f t="shared" si="18"/>
        <v>66.830188679245282</v>
      </c>
      <c r="AK9" s="23">
        <f t="shared" si="14"/>
        <v>-0.13846968723611039</v>
      </c>
      <c r="AO9" s="104">
        <v>66.830188679245282</v>
      </c>
      <c r="AP9" s="23">
        <v>-5.0180729232089528E-2</v>
      </c>
      <c r="AQ9" s="141">
        <v>18.886792452830189</v>
      </c>
      <c r="AR9" s="141">
        <v>-5.0180729232089528E-2</v>
      </c>
      <c r="AS9" s="23">
        <v>5.6037735849056602</v>
      </c>
      <c r="AT9" s="23">
        <v>-5.0180729232089528E-2</v>
      </c>
      <c r="AU9" s="23">
        <f t="shared" si="16"/>
        <v>6.1641509433962259E-2</v>
      </c>
      <c r="AV9" s="23">
        <f t="shared" si="17"/>
        <v>-5.0180729232089528E-2</v>
      </c>
    </row>
    <row r="10" spans="1:48" ht="14.5" customHeight="1" x14ac:dyDescent="0.35">
      <c r="A10" s="23">
        <v>25</v>
      </c>
      <c r="B10" s="121" t="s">
        <v>204</v>
      </c>
      <c r="C10" s="24" t="s">
        <v>41</v>
      </c>
      <c r="D10" s="24" t="s">
        <v>198</v>
      </c>
      <c r="E10" s="24"/>
      <c r="F10" s="24" t="s">
        <v>203</v>
      </c>
      <c r="G10" s="141">
        <f>'time-factors'!B$35*'time-factors'!B75</f>
        <v>16.876310272536688</v>
      </c>
      <c r="H10" s="175">
        <f>'time-factors'!J75</f>
        <v>4.0999999999999996</v>
      </c>
      <c r="I10" s="53" t="s">
        <v>166</v>
      </c>
      <c r="J10" s="96">
        <f>'time-factors'!O$47</f>
        <v>10</v>
      </c>
      <c r="K10" s="170">
        <f>'time-factors'!I$46</f>
        <v>0.05</v>
      </c>
      <c r="L10" s="55">
        <f t="shared" si="0"/>
        <v>0.53096875735837223</v>
      </c>
      <c r="M10" s="54">
        <v>0</v>
      </c>
      <c r="N10" s="53">
        <f t="shared" si="1"/>
        <v>0</v>
      </c>
      <c r="O10" s="53">
        <v>2.2000000000000002</v>
      </c>
      <c r="P10" s="178">
        <v>200</v>
      </c>
      <c r="Q10" s="56">
        <f t="shared" si="2"/>
        <v>0.44000000000000006</v>
      </c>
      <c r="R10" s="55">
        <f t="shared" si="3"/>
        <v>0.97096875735837229</v>
      </c>
      <c r="S10" s="59">
        <f>2*O10</f>
        <v>4.4000000000000004</v>
      </c>
      <c r="T10" s="59">
        <v>0.27</v>
      </c>
      <c r="U10" s="53">
        <f t="shared" si="4"/>
        <v>1.1880000000000002</v>
      </c>
      <c r="V10" s="53">
        <f t="shared" si="5"/>
        <v>0.81731376882017859</v>
      </c>
      <c r="W10" s="53">
        <v>200</v>
      </c>
      <c r="X10" s="57">
        <f t="shared" si="6"/>
        <v>0.88000000000000012</v>
      </c>
      <c r="Y10" s="53">
        <f t="shared" si="7"/>
        <v>0</v>
      </c>
      <c r="Z10" s="53">
        <f t="shared" si="8"/>
        <v>0</v>
      </c>
      <c r="AA10" s="55">
        <f t="shared" si="9"/>
        <v>9.0968757358372176E-2</v>
      </c>
      <c r="AB10" s="53">
        <f t="shared" si="10"/>
        <v>7.6573028079437847E-2</v>
      </c>
      <c r="AC10" s="53"/>
      <c r="AD10" s="107">
        <f t="shared" si="11"/>
        <v>0.44694339844980824</v>
      </c>
      <c r="AE10" s="23">
        <f t="shared" si="12"/>
        <v>0</v>
      </c>
      <c r="AF10" s="108">
        <f t="shared" si="13"/>
        <v>0.37037037037037035</v>
      </c>
      <c r="AH10" s="104">
        <f t="shared" si="15"/>
        <v>16.876310272536688</v>
      </c>
      <c r="AJ10" s="104">
        <f t="shared" si="18"/>
        <v>83.706498951781967</v>
      </c>
      <c r="AK10" s="23">
        <f t="shared" si="14"/>
        <v>7.6573028079437847E-2</v>
      </c>
      <c r="AO10" s="104">
        <v>83.706498951781967</v>
      </c>
      <c r="AP10" s="23">
        <v>7.6573028079437847E-2</v>
      </c>
      <c r="AQ10" s="141">
        <v>23.656184486373167</v>
      </c>
      <c r="AR10" s="141">
        <v>7.6573028079437847E-2</v>
      </c>
      <c r="AS10" s="23">
        <v>7.0188679245283021</v>
      </c>
      <c r="AT10" s="23">
        <v>7.6573028079437847E-2</v>
      </c>
      <c r="AU10" s="23">
        <f t="shared" si="16"/>
        <v>7.7207547169811319E-2</v>
      </c>
      <c r="AV10" s="23">
        <f t="shared" si="17"/>
        <v>7.6573028079437847E-2</v>
      </c>
    </row>
    <row r="11" spans="1:48" ht="14.5" customHeight="1" x14ac:dyDescent="0.35">
      <c r="A11" s="23">
        <v>12</v>
      </c>
      <c r="B11" s="118" t="s">
        <v>151</v>
      </c>
      <c r="C11" s="23" t="s">
        <v>139</v>
      </c>
      <c r="D11" s="23" t="s">
        <v>171</v>
      </c>
      <c r="E11" s="23" t="s">
        <v>128</v>
      </c>
      <c r="F11" s="23" t="s">
        <v>83</v>
      </c>
      <c r="G11" s="141">
        <f>'time-factors'!B$35*'time-factors'!B62</f>
        <v>1.350104821802935</v>
      </c>
      <c r="H11" s="166">
        <f>'time-factors'!J62</f>
        <v>45</v>
      </c>
      <c r="I11" s="96" t="s">
        <v>98</v>
      </c>
      <c r="J11" s="96">
        <f>'time-factors'!O$43</f>
        <v>10</v>
      </c>
      <c r="K11" s="170">
        <f>'time-factors'!I$43</f>
        <v>0.05</v>
      </c>
      <c r="L11" s="173">
        <f t="shared" si="0"/>
        <v>5.8277058734455496</v>
      </c>
      <c r="M11" s="170">
        <v>0</v>
      </c>
      <c r="N11" s="96">
        <f t="shared" si="1"/>
        <v>0</v>
      </c>
      <c r="O11" s="167" cm="1">
        <f t="array" ref="O11">IFERROR(_xlfn.IFS(E11="Heavy", 'vehicle E calcs'!$H$33,E11="Cars/vans",'vehicle E calcs'!$H$32),"")</f>
        <v>6.3768270755398833</v>
      </c>
      <c r="P11" s="106">
        <v>200</v>
      </c>
      <c r="Q11" s="108">
        <f t="shared" si="2"/>
        <v>1.2753654151079765</v>
      </c>
      <c r="R11" s="107">
        <f t="shared" si="3"/>
        <v>7.1030712885535259</v>
      </c>
      <c r="S11" s="107" cm="1">
        <f t="array" ref="S11">_xlfn.IFS(E11="Heavy", 'vehicle E calcs'!$T$21,E11="Cars/vans",'vehicle E calcs'!$S$21)*O11</f>
        <v>23.354986057632608</v>
      </c>
      <c r="T11" s="109">
        <v>0.27</v>
      </c>
      <c r="U11" s="23">
        <f t="shared" si="4"/>
        <v>6.3058462355608045</v>
      </c>
      <c r="V11" s="23">
        <f t="shared" si="5"/>
        <v>1.1264263388626412</v>
      </c>
      <c r="W11" s="106">
        <f t="shared" ref="W11:W28" si="19">W$2*105</f>
        <v>168</v>
      </c>
      <c r="X11" s="23">
        <f t="shared" si="6"/>
        <v>3.9236376576822782</v>
      </c>
      <c r="Y11" s="96">
        <f t="shared" ref="Y11:Y28" si="20">$Z$2</f>
        <v>0</v>
      </c>
      <c r="Z11" s="23">
        <f t="shared" si="8"/>
        <v>0</v>
      </c>
      <c r="AA11" s="107">
        <f t="shared" si="9"/>
        <v>3.1794336308712476</v>
      </c>
      <c r="AB11" s="23">
        <f t="shared" si="10"/>
        <v>0.50420411664041909</v>
      </c>
      <c r="AD11" s="107">
        <f t="shared" si="11"/>
        <v>0.92417506798391957</v>
      </c>
      <c r="AE11" s="23">
        <f t="shared" si="12"/>
        <v>0</v>
      </c>
      <c r="AF11" s="108">
        <f t="shared" si="13"/>
        <v>0.20225127087872183</v>
      </c>
      <c r="AH11" s="104">
        <f t="shared" si="15"/>
        <v>1.350104821802935</v>
      </c>
      <c r="AJ11" s="104">
        <f t="shared" si="18"/>
        <v>85.056603773584897</v>
      </c>
      <c r="AK11" s="23">
        <f t="shared" si="14"/>
        <v>0.50420411664041909</v>
      </c>
      <c r="AO11" s="104">
        <v>85.056603773584897</v>
      </c>
      <c r="AP11" s="23">
        <v>0.50420411664041909</v>
      </c>
      <c r="AQ11" s="141">
        <v>24.037735849056606</v>
      </c>
      <c r="AR11" s="141">
        <v>0.50420411664041909</v>
      </c>
      <c r="AS11" s="23">
        <v>7.1320754716981138</v>
      </c>
      <c r="AT11" s="23">
        <v>0.50420411664041909</v>
      </c>
      <c r="AU11" s="23">
        <f t="shared" si="16"/>
        <v>7.8452830188679254E-2</v>
      </c>
      <c r="AV11" s="23">
        <f t="shared" si="17"/>
        <v>0.50420411664041909</v>
      </c>
    </row>
    <row r="12" spans="1:48" ht="14.5" customHeight="1" x14ac:dyDescent="0.35">
      <c r="A12" s="23">
        <v>16</v>
      </c>
      <c r="B12" s="118" t="s">
        <v>154</v>
      </c>
      <c r="C12" s="23" t="s">
        <v>139</v>
      </c>
      <c r="D12" s="23" t="s">
        <v>171</v>
      </c>
      <c r="E12" s="23" t="s">
        <v>128</v>
      </c>
      <c r="F12" s="23" t="s">
        <v>83</v>
      </c>
      <c r="G12" s="141">
        <f>'time-factors'!B$35*'time-factors'!B66</f>
        <v>1.350104821802935</v>
      </c>
      <c r="H12" s="166">
        <f>'time-factors'!J66</f>
        <v>45</v>
      </c>
      <c r="I12" s="96" t="s">
        <v>98</v>
      </c>
      <c r="J12" s="96">
        <f>'time-factors'!O$43</f>
        <v>10</v>
      </c>
      <c r="K12" s="170">
        <f>'time-factors'!I$43</f>
        <v>0.05</v>
      </c>
      <c r="L12" s="173">
        <f t="shared" si="0"/>
        <v>5.8277058734455496</v>
      </c>
      <c r="M12" s="170">
        <v>0</v>
      </c>
      <c r="N12" s="96">
        <f t="shared" si="1"/>
        <v>0</v>
      </c>
      <c r="O12" s="167" cm="1">
        <f t="array" ref="O12">IFERROR(_xlfn.IFS(E12="Heavy", 'vehicle E calcs'!$H$33,E12="Cars/vans",'vehicle E calcs'!$H$32),"")</f>
        <v>6.3768270755398833</v>
      </c>
      <c r="P12" s="106">
        <v>200</v>
      </c>
      <c r="Q12" s="108">
        <f t="shared" si="2"/>
        <v>1.2753654151079765</v>
      </c>
      <c r="R12" s="107">
        <f t="shared" si="3"/>
        <v>7.1030712885535259</v>
      </c>
      <c r="S12" s="107" cm="1">
        <f t="array" ref="S12">_xlfn.IFS(E12="Heavy", 'vehicle E calcs'!$T$21,E12="Cars/vans",'vehicle E calcs'!$S$21)*O12</f>
        <v>23.354986057632608</v>
      </c>
      <c r="T12" s="109">
        <v>0.27</v>
      </c>
      <c r="U12" s="23">
        <f t="shared" si="4"/>
        <v>6.3058462355608045</v>
      </c>
      <c r="V12" s="23">
        <f t="shared" si="5"/>
        <v>1.1264263388626412</v>
      </c>
      <c r="W12" s="106">
        <f t="shared" si="19"/>
        <v>168</v>
      </c>
      <c r="X12" s="23">
        <f t="shared" si="6"/>
        <v>3.9236376576822782</v>
      </c>
      <c r="Y12" s="96">
        <f t="shared" si="20"/>
        <v>0</v>
      </c>
      <c r="Z12" s="23">
        <f t="shared" si="8"/>
        <v>0</v>
      </c>
      <c r="AA12" s="107">
        <f t="shared" si="9"/>
        <v>3.1794336308712476</v>
      </c>
      <c r="AB12" s="23">
        <f t="shared" si="10"/>
        <v>0.50420411664041909</v>
      </c>
      <c r="AD12" s="107">
        <f t="shared" si="11"/>
        <v>0.92417506798391957</v>
      </c>
      <c r="AE12" s="23">
        <f t="shared" si="12"/>
        <v>0</v>
      </c>
      <c r="AF12" s="108">
        <f t="shared" si="13"/>
        <v>0.20225127087872183</v>
      </c>
      <c r="AH12" s="104">
        <f t="shared" si="15"/>
        <v>1.350104821802935</v>
      </c>
      <c r="AJ12" s="104">
        <f t="shared" si="18"/>
        <v>86.406708595387826</v>
      </c>
      <c r="AK12" s="23">
        <f t="shared" si="14"/>
        <v>0.50420411664041909</v>
      </c>
      <c r="AO12" s="104">
        <v>86.406708595387826</v>
      </c>
      <c r="AP12" s="23">
        <v>0.50420411664041909</v>
      </c>
      <c r="AQ12" s="141">
        <v>24.419287211740045</v>
      </c>
      <c r="AR12" s="141">
        <v>0.50420411664041909</v>
      </c>
      <c r="AS12" s="23">
        <v>7.2452830188679256</v>
      </c>
      <c r="AT12" s="23">
        <v>0.50420411664041909</v>
      </c>
      <c r="AU12" s="23">
        <f t="shared" si="16"/>
        <v>7.9698113207547175E-2</v>
      </c>
      <c r="AV12" s="23">
        <f t="shared" si="17"/>
        <v>0.50420411664041909</v>
      </c>
    </row>
    <row r="13" spans="1:48" ht="14.5" customHeight="1" x14ac:dyDescent="0.35">
      <c r="A13" s="23">
        <v>13</v>
      </c>
      <c r="B13" s="118" t="s">
        <v>232</v>
      </c>
      <c r="C13" s="23" t="s">
        <v>139</v>
      </c>
      <c r="D13" s="23" t="s">
        <v>171</v>
      </c>
      <c r="E13" s="23" t="s">
        <v>188</v>
      </c>
      <c r="F13" s="23" t="s">
        <v>83</v>
      </c>
      <c r="G13" s="141">
        <f>'time-factors'!B$35*'time-factors'!B63</f>
        <v>1.4851153039832286</v>
      </c>
      <c r="H13" s="166">
        <f>'time-factors'!J63</f>
        <v>77.5</v>
      </c>
      <c r="I13" s="96" t="s">
        <v>98</v>
      </c>
      <c r="J13" s="96">
        <f>'time-factors'!O$43</f>
        <v>10</v>
      </c>
      <c r="K13" s="170">
        <f>'time-factors'!I$43</f>
        <v>0.05</v>
      </c>
      <c r="L13" s="173">
        <f t="shared" si="0"/>
        <v>10.036604559822891</v>
      </c>
      <c r="M13" s="170">
        <v>0</v>
      </c>
      <c r="N13" s="96">
        <f t="shared" si="1"/>
        <v>0</v>
      </c>
      <c r="O13" s="167" cm="1">
        <f t="array" ref="O13">IFERROR(_xlfn.IFS(E13="Heavy", 'vehicle E calcs'!$H$33,E13="Cars/vans",'vehicle E calcs'!$H$32),"")</f>
        <v>7.1233383316924828</v>
      </c>
      <c r="P13" s="106">
        <v>200</v>
      </c>
      <c r="Q13" s="108">
        <f t="shared" si="2"/>
        <v>1.4246676663384965</v>
      </c>
      <c r="R13" s="107">
        <f t="shared" si="3"/>
        <v>11.461272226161388</v>
      </c>
      <c r="S13" s="107" cm="1">
        <f t="array" ref="S13">_xlfn.IFS(E13="Heavy", 'vehicle E calcs'!$T$21,E13="Cars/vans",'vehicle E calcs'!$S$21)*O13</f>
        <v>24.362584419881831</v>
      </c>
      <c r="T13" s="109">
        <v>0.27</v>
      </c>
      <c r="U13" s="23">
        <f t="shared" si="4"/>
        <v>6.5778977933680949</v>
      </c>
      <c r="V13" s="23">
        <f t="shared" si="5"/>
        <v>1.7423913514917733</v>
      </c>
      <c r="W13" s="106">
        <f t="shared" si="19"/>
        <v>168</v>
      </c>
      <c r="X13" s="23">
        <f t="shared" si="6"/>
        <v>4.0929141825401478</v>
      </c>
      <c r="Y13" s="96">
        <f t="shared" si="20"/>
        <v>0</v>
      </c>
      <c r="Z13" s="23">
        <f t="shared" si="8"/>
        <v>0</v>
      </c>
      <c r="AA13" s="107">
        <f t="shared" si="9"/>
        <v>7.3683580436212397</v>
      </c>
      <c r="AB13" s="23">
        <f t="shared" si="10"/>
        <v>1.120169129269551</v>
      </c>
      <c r="AD13" s="107">
        <f t="shared" si="11"/>
        <v>1.5258073133854253</v>
      </c>
      <c r="AE13" s="23">
        <f t="shared" si="12"/>
        <v>0</v>
      </c>
      <c r="AF13" s="108">
        <f t="shared" si="13"/>
        <v>0.2165840381063478</v>
      </c>
      <c r="AH13" s="104">
        <f t="shared" si="15"/>
        <v>1.4851153039832286</v>
      </c>
      <c r="AJ13" s="104">
        <f t="shared" si="18"/>
        <v>87.891823899371062</v>
      </c>
      <c r="AK13" s="23">
        <f t="shared" si="14"/>
        <v>1.120169129269551</v>
      </c>
      <c r="AO13" s="104">
        <v>87.891823899371062</v>
      </c>
      <c r="AP13" s="23">
        <v>1.039403199329729</v>
      </c>
      <c r="AQ13" s="141">
        <v>24.838993710691827</v>
      </c>
      <c r="AR13" s="141">
        <v>1.039403199329729</v>
      </c>
      <c r="AS13" s="23">
        <v>7.3698113207547182</v>
      </c>
      <c r="AT13" s="23">
        <v>1.039403199329729</v>
      </c>
      <c r="AU13" s="23">
        <f t="shared" si="16"/>
        <v>8.1067924528301902E-2</v>
      </c>
      <c r="AV13" s="23">
        <f t="shared" si="17"/>
        <v>1.039403199329729</v>
      </c>
    </row>
    <row r="14" spans="1:48" ht="14.5" customHeight="1" x14ac:dyDescent="0.35">
      <c r="A14" s="23">
        <v>11</v>
      </c>
      <c r="B14" s="118" t="s">
        <v>150</v>
      </c>
      <c r="C14" s="23" t="s">
        <v>139</v>
      </c>
      <c r="D14" s="23" t="s">
        <v>171</v>
      </c>
      <c r="E14" s="23" t="s">
        <v>128</v>
      </c>
      <c r="F14" s="23" t="s">
        <v>83</v>
      </c>
      <c r="G14" s="141">
        <f>'time-factors'!B$35*'time-factors'!B61</f>
        <v>0.6750524109014675</v>
      </c>
      <c r="H14" s="166">
        <f>'time-factors'!J61</f>
        <v>77.5</v>
      </c>
      <c r="I14" s="96" t="s">
        <v>98</v>
      </c>
      <c r="J14" s="96">
        <f>'time-factors'!O$43</f>
        <v>10</v>
      </c>
      <c r="K14" s="170">
        <f>'time-factors'!I$43</f>
        <v>0.05</v>
      </c>
      <c r="L14" s="173">
        <f t="shared" si="0"/>
        <v>10.036604559822891</v>
      </c>
      <c r="M14" s="170">
        <v>0</v>
      </c>
      <c r="N14" s="96">
        <f t="shared" si="1"/>
        <v>0</v>
      </c>
      <c r="O14" s="167" cm="1">
        <f t="array" ref="O14">IFERROR(_xlfn.IFS(E14="Heavy", 'vehicle E calcs'!$H$33,E14="Cars/vans",'vehicle E calcs'!$H$32),"")</f>
        <v>6.3768270755398833</v>
      </c>
      <c r="P14" s="106">
        <v>200</v>
      </c>
      <c r="Q14" s="108">
        <f t="shared" si="2"/>
        <v>1.2753654151079765</v>
      </c>
      <c r="R14" s="107">
        <f t="shared" si="3"/>
        <v>11.311969974930868</v>
      </c>
      <c r="S14" s="107" cm="1">
        <f t="array" ref="S14">_xlfn.IFS(E14="Heavy", 'vehicle E calcs'!$T$21,E14="Cars/vans",'vehicle E calcs'!$S$21)*O14</f>
        <v>23.354986057632608</v>
      </c>
      <c r="T14" s="109">
        <v>0.27</v>
      </c>
      <c r="U14" s="23">
        <f t="shared" si="4"/>
        <v>6.3058462355608045</v>
      </c>
      <c r="V14" s="23">
        <f t="shared" si="5"/>
        <v>1.7938861101843611</v>
      </c>
      <c r="W14" s="106">
        <f t="shared" si="19"/>
        <v>168</v>
      </c>
      <c r="X14" s="23">
        <f t="shared" si="6"/>
        <v>3.9236376576822782</v>
      </c>
      <c r="Y14" s="96">
        <f t="shared" si="20"/>
        <v>0</v>
      </c>
      <c r="Z14" s="23">
        <f t="shared" si="8"/>
        <v>0</v>
      </c>
      <c r="AA14" s="107">
        <f t="shared" si="9"/>
        <v>7.3883323172485902</v>
      </c>
      <c r="AB14" s="23">
        <f t="shared" si="10"/>
        <v>1.1716638879621391</v>
      </c>
      <c r="AD14" s="107">
        <f t="shared" si="11"/>
        <v>1.5916348393056392</v>
      </c>
      <c r="AE14" s="23">
        <f t="shared" si="12"/>
        <v>0</v>
      </c>
      <c r="AF14" s="108">
        <f t="shared" si="13"/>
        <v>0.20225127087872183</v>
      </c>
      <c r="AH14" s="104">
        <f t="shared" si="15"/>
        <v>0.6750524109014675</v>
      </c>
      <c r="AJ14" s="104">
        <f t="shared" si="18"/>
        <v>88.566876310272534</v>
      </c>
      <c r="AK14" s="23">
        <f t="shared" si="14"/>
        <v>1.1716638879621391</v>
      </c>
      <c r="AO14" s="104">
        <v>88.566876310272534</v>
      </c>
      <c r="AP14" s="23">
        <v>1.1716638879621391</v>
      </c>
      <c r="AQ14" s="141">
        <v>25.029769392033547</v>
      </c>
      <c r="AR14" s="141">
        <v>1.1716638879621391</v>
      </c>
      <c r="AS14" s="23">
        <v>7.4264150943396237</v>
      </c>
      <c r="AT14" s="23">
        <v>1.1716638879621391</v>
      </c>
      <c r="AU14" s="23">
        <f t="shared" si="16"/>
        <v>8.1690566037735862E-2</v>
      </c>
      <c r="AV14" s="23">
        <f t="shared" si="17"/>
        <v>1.1716638879621391</v>
      </c>
    </row>
    <row r="15" spans="1:48" ht="14.5" customHeight="1" x14ac:dyDescent="0.35">
      <c r="A15" s="23">
        <v>6</v>
      </c>
      <c r="B15" s="118" t="s">
        <v>146</v>
      </c>
      <c r="C15" s="23" t="s">
        <v>139</v>
      </c>
      <c r="D15" s="23" t="s">
        <v>171</v>
      </c>
      <c r="E15" s="23" t="s">
        <v>188</v>
      </c>
      <c r="F15" s="23" t="s">
        <v>83</v>
      </c>
      <c r="G15" s="141">
        <f>'time-factors'!B$35*'time-factors'!B56</f>
        <v>1.9576519916142556</v>
      </c>
      <c r="H15" s="166">
        <f>'time-factors'!J56</f>
        <v>148.64528000000001</v>
      </c>
      <c r="I15" s="96" t="s">
        <v>98</v>
      </c>
      <c r="J15" s="96">
        <f>'time-factors'!O$43</f>
        <v>10</v>
      </c>
      <c r="K15" s="170">
        <f>'time-factors'!I$43</f>
        <v>0.05</v>
      </c>
      <c r="L15" s="173">
        <f t="shared" si="0"/>
        <v>19.250243807021299</v>
      </c>
      <c r="M15" s="170">
        <v>0</v>
      </c>
      <c r="N15" s="96">
        <f t="shared" si="1"/>
        <v>0</v>
      </c>
      <c r="O15" s="167" cm="1">
        <f t="array" ref="O15">IFERROR(_xlfn.IFS(E15="Heavy", 'vehicle E calcs'!$H$33,E15="Cars/vans",'vehicle E calcs'!$H$32),"")</f>
        <v>7.1233383316924828</v>
      </c>
      <c r="P15" s="106">
        <v>200</v>
      </c>
      <c r="Q15" s="108">
        <f t="shared" si="2"/>
        <v>1.4246676663384965</v>
      </c>
      <c r="R15" s="107">
        <f t="shared" si="3"/>
        <v>20.674911473359796</v>
      </c>
      <c r="S15" s="107" cm="1">
        <f t="array" ref="S15">_xlfn.IFS(E15="Heavy", 'vehicle E calcs'!$T$21,E15="Cars/vans",'vehicle E calcs'!$S$21)*O15</f>
        <v>24.362584419881831</v>
      </c>
      <c r="T15" s="109">
        <v>0.27</v>
      </c>
      <c r="U15" s="23">
        <f t="shared" si="4"/>
        <v>6.5778977933680949</v>
      </c>
      <c r="V15" s="23">
        <f t="shared" si="5"/>
        <v>3.1430879777737588</v>
      </c>
      <c r="W15" s="106">
        <f t="shared" si="19"/>
        <v>168</v>
      </c>
      <c r="X15" s="23">
        <f t="shared" si="6"/>
        <v>4.0929141825401478</v>
      </c>
      <c r="Y15" s="96">
        <f t="shared" si="20"/>
        <v>0</v>
      </c>
      <c r="Z15" s="23">
        <f t="shared" si="8"/>
        <v>0</v>
      </c>
      <c r="AA15" s="107">
        <f t="shared" si="9"/>
        <v>16.581997290819647</v>
      </c>
      <c r="AB15" s="23">
        <f t="shared" si="10"/>
        <v>2.5208657555515366</v>
      </c>
      <c r="AD15" s="107">
        <f t="shared" si="11"/>
        <v>2.9265039396674108</v>
      </c>
      <c r="AE15" s="23">
        <f t="shared" si="12"/>
        <v>0</v>
      </c>
      <c r="AF15" s="108">
        <f t="shared" si="13"/>
        <v>0.2165840381063478</v>
      </c>
      <c r="AH15" s="104">
        <f t="shared" si="15"/>
        <v>1.9576519916142556</v>
      </c>
      <c r="AJ15" s="104">
        <f t="shared" si="18"/>
        <v>90.524528301886789</v>
      </c>
      <c r="AK15" s="23">
        <f t="shared" si="14"/>
        <v>2.5208657555515366</v>
      </c>
      <c r="AO15" s="104">
        <v>90.524528301886789</v>
      </c>
      <c r="AP15" s="23">
        <v>2.3659564101274695</v>
      </c>
      <c r="AQ15" s="141">
        <v>25.583018867924533</v>
      </c>
      <c r="AR15" s="141">
        <v>2.3659564101274695</v>
      </c>
      <c r="AS15" s="23">
        <v>7.5905660377358499</v>
      </c>
      <c r="AT15" s="23">
        <v>2.3659564101274695</v>
      </c>
      <c r="AU15" s="23">
        <f t="shared" si="16"/>
        <v>8.3496226415094341E-2</v>
      </c>
      <c r="AV15" s="23">
        <f t="shared" si="17"/>
        <v>2.3659564101274695</v>
      </c>
    </row>
    <row r="16" spans="1:48" ht="14.5" customHeight="1" x14ac:dyDescent="0.35">
      <c r="A16" s="23">
        <v>1</v>
      </c>
      <c r="B16" s="118" t="s">
        <v>141</v>
      </c>
      <c r="C16" s="23" t="s">
        <v>139</v>
      </c>
      <c r="D16" s="23" t="s">
        <v>171</v>
      </c>
      <c r="E16" s="23" t="s">
        <v>128</v>
      </c>
      <c r="F16" s="23" t="s">
        <v>83</v>
      </c>
      <c r="G16" s="141">
        <f>'time-factors'!B$35*'time-factors'!B51</f>
        <v>2.3626834381551363</v>
      </c>
      <c r="H16" s="166">
        <f>'time-factors'!J51</f>
        <v>199.07849999999999</v>
      </c>
      <c r="I16" s="96" t="s">
        <v>98</v>
      </c>
      <c r="J16" s="96">
        <f>'time-factors'!O$43</f>
        <v>10</v>
      </c>
      <c r="K16" s="170">
        <f>'time-factors'!I$43</f>
        <v>0.05</v>
      </c>
      <c r="L16" s="173">
        <f t="shared" si="0"/>
        <v>25.781576527260661</v>
      </c>
      <c r="M16" s="170">
        <v>0</v>
      </c>
      <c r="N16" s="96">
        <f t="shared" si="1"/>
        <v>0</v>
      </c>
      <c r="O16" s="167" cm="1">
        <f t="array" ref="O16">IFERROR(_xlfn.IFS(E16="Heavy", 'vehicle E calcs'!$H$33,E16="Cars/vans",'vehicle E calcs'!$H$32),"")</f>
        <v>6.3768270755398833</v>
      </c>
      <c r="P16" s="106">
        <v>200</v>
      </c>
      <c r="Q16" s="108">
        <f t="shared" si="2"/>
        <v>1.2753654151079765</v>
      </c>
      <c r="R16" s="107">
        <f t="shared" si="3"/>
        <v>27.056941942368638</v>
      </c>
      <c r="S16" s="107" cm="1">
        <f t="array" ref="S16">_xlfn.IFS(E16="Heavy", 'vehicle E calcs'!$T$21,E16="Cars/vans",'vehicle E calcs'!$S$21)*O16</f>
        <v>23.354986057632608</v>
      </c>
      <c r="T16" s="109">
        <v>0.27</v>
      </c>
      <c r="U16" s="23">
        <f t="shared" si="4"/>
        <v>6.3058462355608045</v>
      </c>
      <c r="V16" s="23">
        <f t="shared" si="5"/>
        <v>4.2907709658039819</v>
      </c>
      <c r="W16" s="106">
        <f t="shared" si="19"/>
        <v>168</v>
      </c>
      <c r="X16" s="23">
        <f t="shared" si="6"/>
        <v>3.9236376576822782</v>
      </c>
      <c r="Y16" s="96">
        <f t="shared" si="20"/>
        <v>0</v>
      </c>
      <c r="Z16" s="23">
        <f t="shared" si="8"/>
        <v>0</v>
      </c>
      <c r="AA16" s="107">
        <f t="shared" si="9"/>
        <v>23.133304284686361</v>
      </c>
      <c r="AB16" s="23">
        <f t="shared" si="10"/>
        <v>3.6685487435817601</v>
      </c>
      <c r="AD16" s="107">
        <f t="shared" si="11"/>
        <v>4.0885196949252602</v>
      </c>
      <c r="AE16" s="23">
        <f t="shared" si="12"/>
        <v>0</v>
      </c>
      <c r="AF16" s="108">
        <f t="shared" si="13"/>
        <v>0.20225127087872183</v>
      </c>
      <c r="AH16" s="104">
        <f t="shared" si="15"/>
        <v>2.3626834381551363</v>
      </c>
      <c r="AJ16" s="104">
        <f t="shared" si="18"/>
        <v>92.88721174004192</v>
      </c>
      <c r="AK16" s="23">
        <f t="shared" si="14"/>
        <v>3.6685487435817601</v>
      </c>
      <c r="AO16" s="104">
        <v>92.88721174004192</v>
      </c>
      <c r="AP16" s="23">
        <v>3.6685487435817601</v>
      </c>
      <c r="AQ16" s="141">
        <v>26.250733752620551</v>
      </c>
      <c r="AR16" s="141">
        <v>3.6685487435817601</v>
      </c>
      <c r="AS16" s="23">
        <v>7.7886792452830198</v>
      </c>
      <c r="AT16" s="23">
        <v>3.6685487435817601</v>
      </c>
      <c r="AU16" s="23">
        <f t="shared" si="16"/>
        <v>8.5675471698113209E-2</v>
      </c>
      <c r="AV16" s="23">
        <f t="shared" si="17"/>
        <v>3.6685487435817601</v>
      </c>
    </row>
    <row r="17" spans="1:48" ht="14.5" customHeight="1" x14ac:dyDescent="0.35">
      <c r="A17" s="23">
        <v>4</v>
      </c>
      <c r="B17" s="118" t="s">
        <v>144</v>
      </c>
      <c r="C17" s="23" t="s">
        <v>139</v>
      </c>
      <c r="D17" s="23" t="s">
        <v>171</v>
      </c>
      <c r="E17" s="23" t="s">
        <v>188</v>
      </c>
      <c r="F17" s="23" t="s">
        <v>83</v>
      </c>
      <c r="G17" s="141">
        <f>'time-factors'!B$35*'time-factors'!B54</f>
        <v>1.0125786163522013</v>
      </c>
      <c r="H17" s="166">
        <f>'time-factors'!J54</f>
        <v>288</v>
      </c>
      <c r="I17" s="96" t="s">
        <v>98</v>
      </c>
      <c r="J17" s="96">
        <f>'time-factors'!O$43</f>
        <v>10</v>
      </c>
      <c r="K17" s="170">
        <f>'time-factors'!I$43</f>
        <v>0.05</v>
      </c>
      <c r="L17" s="173">
        <f t="shared" si="0"/>
        <v>37.29731759005152</v>
      </c>
      <c r="M17" s="170">
        <v>0</v>
      </c>
      <c r="N17" s="96">
        <f t="shared" si="1"/>
        <v>0</v>
      </c>
      <c r="O17" s="167" cm="1">
        <f t="array" ref="O17">IFERROR(_xlfn.IFS(E17="Heavy", 'vehicle E calcs'!$H$33,E17="Cars/vans",'vehicle E calcs'!$H$32),"")</f>
        <v>7.1233383316924828</v>
      </c>
      <c r="P17" s="106">
        <v>200</v>
      </c>
      <c r="Q17" s="108">
        <f t="shared" si="2"/>
        <v>1.4246676663384965</v>
      </c>
      <c r="R17" s="107">
        <f t="shared" si="3"/>
        <v>38.721985256390013</v>
      </c>
      <c r="S17" s="107" cm="1">
        <f t="array" ref="S17">_xlfn.IFS(E17="Heavy", 'vehicle E calcs'!$T$21,E17="Cars/vans",'vehicle E calcs'!$S$21)*O17</f>
        <v>24.362584419881831</v>
      </c>
      <c r="T17" s="109">
        <v>0.27</v>
      </c>
      <c r="U17" s="23">
        <f t="shared" si="4"/>
        <v>6.5778977933680949</v>
      </c>
      <c r="V17" s="23">
        <f t="shared" si="5"/>
        <v>5.886680893009606</v>
      </c>
      <c r="W17" s="106">
        <f t="shared" si="19"/>
        <v>168</v>
      </c>
      <c r="X17" s="23">
        <f t="shared" si="6"/>
        <v>4.0929141825401478</v>
      </c>
      <c r="Y17" s="96">
        <f t="shared" si="20"/>
        <v>0</v>
      </c>
      <c r="Z17" s="23">
        <f t="shared" si="8"/>
        <v>0</v>
      </c>
      <c r="AA17" s="107">
        <f t="shared" si="9"/>
        <v>34.629071073849865</v>
      </c>
      <c r="AB17" s="23">
        <f t="shared" si="10"/>
        <v>5.2644586707873833</v>
      </c>
      <c r="AD17" s="107">
        <f t="shared" si="11"/>
        <v>5.6700968549032584</v>
      </c>
      <c r="AE17" s="23">
        <f t="shared" si="12"/>
        <v>0</v>
      </c>
      <c r="AF17" s="108">
        <f t="shared" si="13"/>
        <v>0.2165840381063478</v>
      </c>
      <c r="AH17" s="104">
        <f t="shared" si="15"/>
        <v>1.0125786163522013</v>
      </c>
      <c r="AJ17" s="104">
        <f t="shared" si="18"/>
        <v>93.899790356394121</v>
      </c>
      <c r="AK17" s="23">
        <f t="shared" si="14"/>
        <v>5.2644586707873833</v>
      </c>
      <c r="AO17" s="104">
        <v>93.899790356394121</v>
      </c>
      <c r="AP17" s="23">
        <v>4.964322053720692</v>
      </c>
      <c r="AQ17" s="141">
        <v>26.53689727463313</v>
      </c>
      <c r="AR17" s="141">
        <v>4.964322053720692</v>
      </c>
      <c r="AS17" s="23">
        <v>7.8735849056603779</v>
      </c>
      <c r="AT17" s="23">
        <v>4.964322053720692</v>
      </c>
      <c r="AU17" s="23">
        <f t="shared" si="16"/>
        <v>8.6609433962264157E-2</v>
      </c>
      <c r="AV17" s="23">
        <f t="shared" si="17"/>
        <v>4.964322053720692</v>
      </c>
    </row>
    <row r="18" spans="1:48" ht="14.5" customHeight="1" x14ac:dyDescent="0.35">
      <c r="A18" s="23">
        <v>7</v>
      </c>
      <c r="B18" s="118" t="s">
        <v>147</v>
      </c>
      <c r="C18" s="23" t="s">
        <v>139</v>
      </c>
      <c r="D18" s="23" t="s">
        <v>171</v>
      </c>
      <c r="E18" s="23" t="s">
        <v>188</v>
      </c>
      <c r="F18" s="23" t="s">
        <v>83</v>
      </c>
      <c r="G18" s="141">
        <f>'time-factors'!B$35*'time-factors'!B57</f>
        <v>1.6876310272536688</v>
      </c>
      <c r="H18" s="166">
        <f>'time-factors'!J57</f>
        <v>288</v>
      </c>
      <c r="I18" s="96" t="s">
        <v>98</v>
      </c>
      <c r="J18" s="96">
        <f>'time-factors'!O$43</f>
        <v>10</v>
      </c>
      <c r="K18" s="170">
        <f>'time-factors'!I$43</f>
        <v>0.05</v>
      </c>
      <c r="L18" s="173">
        <f t="shared" si="0"/>
        <v>37.29731759005152</v>
      </c>
      <c r="M18" s="170">
        <v>0</v>
      </c>
      <c r="N18" s="96">
        <f t="shared" si="1"/>
        <v>0</v>
      </c>
      <c r="O18" s="167" cm="1">
        <f t="array" ref="O18">IFERROR(_xlfn.IFS(E18="Heavy", 'vehicle E calcs'!$H$33,E18="Cars/vans",'vehicle E calcs'!$H$32),"")</f>
        <v>7.1233383316924828</v>
      </c>
      <c r="P18" s="106">
        <v>200</v>
      </c>
      <c r="Q18" s="108">
        <f t="shared" si="2"/>
        <v>1.4246676663384965</v>
      </c>
      <c r="R18" s="107">
        <f t="shared" si="3"/>
        <v>38.721985256390013</v>
      </c>
      <c r="S18" s="107" cm="1">
        <f t="array" ref="S18">_xlfn.IFS(E18="Heavy", 'vehicle E calcs'!$T$21,E18="Cars/vans",'vehicle E calcs'!$S$21)*O18</f>
        <v>24.362584419881831</v>
      </c>
      <c r="T18" s="109">
        <v>0.27</v>
      </c>
      <c r="U18" s="23">
        <f t="shared" si="4"/>
        <v>6.5778977933680949</v>
      </c>
      <c r="V18" s="23">
        <f t="shared" si="5"/>
        <v>5.886680893009606</v>
      </c>
      <c r="W18" s="106">
        <f t="shared" si="19"/>
        <v>168</v>
      </c>
      <c r="X18" s="23">
        <f t="shared" si="6"/>
        <v>4.0929141825401478</v>
      </c>
      <c r="Y18" s="96">
        <f t="shared" si="20"/>
        <v>0</v>
      </c>
      <c r="Z18" s="23">
        <f t="shared" si="8"/>
        <v>0</v>
      </c>
      <c r="AA18" s="107">
        <f t="shared" si="9"/>
        <v>34.629071073849865</v>
      </c>
      <c r="AB18" s="23">
        <f t="shared" si="10"/>
        <v>5.2644586707873833</v>
      </c>
      <c r="AD18" s="107">
        <f t="shared" si="11"/>
        <v>5.6700968549032584</v>
      </c>
      <c r="AE18" s="23">
        <f t="shared" si="12"/>
        <v>0</v>
      </c>
      <c r="AF18" s="108">
        <f t="shared" si="13"/>
        <v>0.2165840381063478</v>
      </c>
      <c r="AH18" s="104">
        <f t="shared" si="15"/>
        <v>1.6876310272536688</v>
      </c>
      <c r="AJ18" s="104">
        <f t="shared" si="18"/>
        <v>95.587421383647794</v>
      </c>
      <c r="AK18" s="23">
        <f t="shared" si="14"/>
        <v>5.2644586707873833</v>
      </c>
      <c r="AO18" s="104">
        <v>95.587421383647794</v>
      </c>
      <c r="AP18" s="23">
        <v>4.964322053720692</v>
      </c>
      <c r="AQ18" s="141">
        <v>27.013836477987429</v>
      </c>
      <c r="AR18" s="141">
        <v>4.964322053720692</v>
      </c>
      <c r="AS18" s="23">
        <v>8.0150943396226424</v>
      </c>
      <c r="AT18" s="23">
        <v>4.964322053720692</v>
      </c>
      <c r="AU18" s="23">
        <f t="shared" si="16"/>
        <v>8.8166037735849065E-2</v>
      </c>
      <c r="AV18" s="23">
        <f t="shared" si="17"/>
        <v>4.964322053720692</v>
      </c>
    </row>
    <row r="19" spans="1:48" ht="14.5" customHeight="1" x14ac:dyDescent="0.35">
      <c r="A19" s="23">
        <v>9</v>
      </c>
      <c r="B19" s="118" t="s">
        <v>149</v>
      </c>
      <c r="C19" s="23" t="s">
        <v>139</v>
      </c>
      <c r="D19" s="23" t="s">
        <v>171</v>
      </c>
      <c r="E19" s="23" t="s">
        <v>188</v>
      </c>
      <c r="F19" s="23" t="s">
        <v>83</v>
      </c>
      <c r="G19" s="141">
        <f>'time-factors'!B$35*'time-factors'!B59</f>
        <v>0.6750524109014675</v>
      </c>
      <c r="H19" s="166">
        <f>'time-factors'!J59</f>
        <v>288</v>
      </c>
      <c r="I19" s="96" t="s">
        <v>98</v>
      </c>
      <c r="J19" s="96">
        <f>'time-factors'!O$43</f>
        <v>10</v>
      </c>
      <c r="K19" s="170">
        <f>'time-factors'!I$43</f>
        <v>0.05</v>
      </c>
      <c r="L19" s="173">
        <f t="shared" si="0"/>
        <v>37.29731759005152</v>
      </c>
      <c r="M19" s="170">
        <v>0</v>
      </c>
      <c r="N19" s="96">
        <f t="shared" si="1"/>
        <v>0</v>
      </c>
      <c r="O19" s="167" cm="1">
        <f t="array" ref="O19">IFERROR(_xlfn.IFS(E19="Heavy", 'vehicle E calcs'!$H$33,E19="Cars/vans",'vehicle E calcs'!$H$32),"")</f>
        <v>7.1233383316924828</v>
      </c>
      <c r="P19" s="106">
        <v>200</v>
      </c>
      <c r="Q19" s="108">
        <f t="shared" si="2"/>
        <v>1.4246676663384965</v>
      </c>
      <c r="R19" s="107">
        <f t="shared" si="3"/>
        <v>38.721985256390013</v>
      </c>
      <c r="S19" s="107" cm="1">
        <f t="array" ref="S19">_xlfn.IFS(E19="Heavy", 'vehicle E calcs'!$T$21,E19="Cars/vans",'vehicle E calcs'!$S$21)*O19</f>
        <v>24.362584419881831</v>
      </c>
      <c r="T19" s="109">
        <v>0.27</v>
      </c>
      <c r="U19" s="23">
        <f t="shared" si="4"/>
        <v>6.5778977933680949</v>
      </c>
      <c r="V19" s="23">
        <f t="shared" si="5"/>
        <v>5.886680893009606</v>
      </c>
      <c r="W19" s="106">
        <f t="shared" si="19"/>
        <v>168</v>
      </c>
      <c r="X19" s="23">
        <f t="shared" si="6"/>
        <v>4.0929141825401478</v>
      </c>
      <c r="Y19" s="96">
        <f t="shared" si="20"/>
        <v>0</v>
      </c>
      <c r="Z19" s="23">
        <f t="shared" si="8"/>
        <v>0</v>
      </c>
      <c r="AA19" s="107">
        <f t="shared" si="9"/>
        <v>34.629071073849865</v>
      </c>
      <c r="AB19" s="23">
        <f t="shared" si="10"/>
        <v>5.2644586707873833</v>
      </c>
      <c r="AD19" s="107">
        <f t="shared" si="11"/>
        <v>5.6700968549032584</v>
      </c>
      <c r="AE19" s="23">
        <f t="shared" si="12"/>
        <v>0</v>
      </c>
      <c r="AF19" s="108">
        <f t="shared" si="13"/>
        <v>0.2165840381063478</v>
      </c>
      <c r="AH19" s="104">
        <f t="shared" si="15"/>
        <v>0.6750524109014675</v>
      </c>
      <c r="AJ19" s="104">
        <f t="shared" si="18"/>
        <v>96.262473794549265</v>
      </c>
      <c r="AK19" s="23">
        <f t="shared" si="14"/>
        <v>5.2644586707873833</v>
      </c>
      <c r="AO19" s="104">
        <v>96.262473794549265</v>
      </c>
      <c r="AP19" s="23">
        <v>4.964322053720692</v>
      </c>
      <c r="AQ19" s="141">
        <v>27.204612159329148</v>
      </c>
      <c r="AR19" s="141">
        <v>4.964322053720692</v>
      </c>
      <c r="AS19" s="23">
        <v>8.0716981132075478</v>
      </c>
      <c r="AT19" s="23">
        <v>4.964322053720692</v>
      </c>
      <c r="AU19" s="23">
        <f t="shared" si="16"/>
        <v>8.8788679245283025E-2</v>
      </c>
      <c r="AV19" s="23">
        <f t="shared" si="17"/>
        <v>4.964322053720692</v>
      </c>
    </row>
    <row r="20" spans="1:48" ht="14.5" customHeight="1" x14ac:dyDescent="0.35">
      <c r="A20" s="23">
        <v>15</v>
      </c>
      <c r="B20" s="118" t="s">
        <v>153</v>
      </c>
      <c r="C20" s="23" t="s">
        <v>139</v>
      </c>
      <c r="D20" s="23" t="s">
        <v>171</v>
      </c>
      <c r="E20" s="23" t="s">
        <v>188</v>
      </c>
      <c r="F20" s="23" t="s">
        <v>83</v>
      </c>
      <c r="G20" s="141">
        <f>'time-factors'!B$35*'time-factors'!B65</f>
        <v>1.0800838574423481</v>
      </c>
      <c r="H20" s="166">
        <f>'time-factors'!J65</f>
        <v>288</v>
      </c>
      <c r="I20" s="96" t="s">
        <v>98</v>
      </c>
      <c r="J20" s="96">
        <f>'time-factors'!O$43</f>
        <v>10</v>
      </c>
      <c r="K20" s="170">
        <f>'time-factors'!I$43</f>
        <v>0.05</v>
      </c>
      <c r="L20" s="173">
        <f t="shared" si="0"/>
        <v>37.29731759005152</v>
      </c>
      <c r="M20" s="170">
        <v>0</v>
      </c>
      <c r="N20" s="96">
        <f t="shared" si="1"/>
        <v>0</v>
      </c>
      <c r="O20" s="167" cm="1">
        <f t="array" ref="O20">IFERROR(_xlfn.IFS(E20="Heavy", 'vehicle E calcs'!$H$33,E20="Cars/vans",'vehicle E calcs'!$H$32),"")</f>
        <v>7.1233383316924828</v>
      </c>
      <c r="P20" s="106">
        <v>200</v>
      </c>
      <c r="Q20" s="108">
        <f t="shared" si="2"/>
        <v>1.4246676663384965</v>
      </c>
      <c r="R20" s="107">
        <f t="shared" si="3"/>
        <v>38.721985256390013</v>
      </c>
      <c r="S20" s="107" cm="1">
        <f t="array" ref="S20">_xlfn.IFS(E20="Heavy", 'vehicle E calcs'!$T$21,E20="Cars/vans",'vehicle E calcs'!$S$21)*O20</f>
        <v>24.362584419881831</v>
      </c>
      <c r="T20" s="109">
        <v>0.27</v>
      </c>
      <c r="U20" s="23">
        <f t="shared" si="4"/>
        <v>6.5778977933680949</v>
      </c>
      <c r="V20" s="23">
        <f t="shared" si="5"/>
        <v>5.886680893009606</v>
      </c>
      <c r="W20" s="106">
        <f t="shared" si="19"/>
        <v>168</v>
      </c>
      <c r="X20" s="23">
        <f t="shared" si="6"/>
        <v>4.0929141825401478</v>
      </c>
      <c r="Y20" s="96">
        <f t="shared" si="20"/>
        <v>0</v>
      </c>
      <c r="Z20" s="23">
        <f t="shared" si="8"/>
        <v>0</v>
      </c>
      <c r="AA20" s="107">
        <f t="shared" si="9"/>
        <v>34.629071073849865</v>
      </c>
      <c r="AB20" s="23">
        <f t="shared" si="10"/>
        <v>5.2644586707873833</v>
      </c>
      <c r="AD20" s="107">
        <f t="shared" si="11"/>
        <v>5.6700968549032584</v>
      </c>
      <c r="AE20" s="23">
        <f t="shared" si="12"/>
        <v>0</v>
      </c>
      <c r="AF20" s="108">
        <f t="shared" si="13"/>
        <v>0.2165840381063478</v>
      </c>
      <c r="AH20" s="104">
        <f t="shared" si="15"/>
        <v>1.0800838574423481</v>
      </c>
      <c r="AJ20" s="104">
        <f t="shared" si="18"/>
        <v>97.342557651991612</v>
      </c>
      <c r="AK20" s="23">
        <f t="shared" si="14"/>
        <v>5.2644586707873833</v>
      </c>
      <c r="AO20" s="104">
        <v>97.342557651991612</v>
      </c>
      <c r="AP20" s="23">
        <v>4.964322053720692</v>
      </c>
      <c r="AQ20" s="141">
        <v>27.509853249475899</v>
      </c>
      <c r="AR20" s="141">
        <v>4.964322053720692</v>
      </c>
      <c r="AS20" s="23">
        <v>8.1622641509433969</v>
      </c>
      <c r="AT20" s="23">
        <v>4.964322053720692</v>
      </c>
      <c r="AU20" s="23">
        <f t="shared" si="16"/>
        <v>8.9784905660377362E-2</v>
      </c>
      <c r="AV20" s="23">
        <f t="shared" si="17"/>
        <v>4.964322053720692</v>
      </c>
    </row>
    <row r="21" spans="1:48" ht="14.5" customHeight="1" x14ac:dyDescent="0.35">
      <c r="A21" s="23">
        <v>3</v>
      </c>
      <c r="B21" s="118" t="s">
        <v>143</v>
      </c>
      <c r="C21" s="23" t="s">
        <v>139</v>
      </c>
      <c r="D21" s="23" t="s">
        <v>171</v>
      </c>
      <c r="E21" s="23" t="s">
        <v>188</v>
      </c>
      <c r="F21" s="23" t="s">
        <v>83</v>
      </c>
      <c r="G21" s="141">
        <f>'time-factors'!B$35*'time-factors'!B53</f>
        <v>1.4851153039832286</v>
      </c>
      <c r="H21" s="166">
        <f>'time-factors'!J53</f>
        <v>304.58</v>
      </c>
      <c r="I21" s="96" t="s">
        <v>98</v>
      </c>
      <c r="J21" s="96">
        <f>'time-factors'!O$43</f>
        <v>10</v>
      </c>
      <c r="K21" s="170">
        <f>'time-factors'!I$43</f>
        <v>0.05</v>
      </c>
      <c r="L21" s="173">
        <f t="shared" si="0"/>
        <v>39.444503442978792</v>
      </c>
      <c r="M21" s="170">
        <v>0</v>
      </c>
      <c r="N21" s="96">
        <f t="shared" si="1"/>
        <v>0</v>
      </c>
      <c r="O21" s="167" cm="1">
        <f t="array" ref="O21">IFERROR(_xlfn.IFS(E21="Heavy", 'vehicle E calcs'!$H$33,E21="Cars/vans",'vehicle E calcs'!$H$32),"")</f>
        <v>7.1233383316924828</v>
      </c>
      <c r="P21" s="106">
        <v>200</v>
      </c>
      <c r="Q21" s="108">
        <f t="shared" si="2"/>
        <v>1.4246676663384965</v>
      </c>
      <c r="R21" s="107">
        <f t="shared" si="3"/>
        <v>40.869171109317286</v>
      </c>
      <c r="S21" s="107" cm="1">
        <f t="array" ref="S21">_xlfn.IFS(E21="Heavy", 'vehicle E calcs'!$T$21,E21="Cars/vans",'vehicle E calcs'!$S$21)*O21</f>
        <v>24.362584419881831</v>
      </c>
      <c r="T21" s="109">
        <v>0.27</v>
      </c>
      <c r="U21" s="23">
        <f t="shared" si="4"/>
        <v>6.5778977933680949</v>
      </c>
      <c r="V21" s="23">
        <f t="shared" si="5"/>
        <v>6.2131052188925784</v>
      </c>
      <c r="W21" s="106">
        <f t="shared" si="19"/>
        <v>168</v>
      </c>
      <c r="X21" s="23">
        <f t="shared" si="6"/>
        <v>4.0929141825401478</v>
      </c>
      <c r="Y21" s="96">
        <f t="shared" si="20"/>
        <v>0</v>
      </c>
      <c r="Z21" s="23">
        <f t="shared" si="8"/>
        <v>0</v>
      </c>
      <c r="AA21" s="107">
        <f t="shared" si="9"/>
        <v>36.776256926777137</v>
      </c>
      <c r="AB21" s="23">
        <f t="shared" si="10"/>
        <v>5.5908829966703557</v>
      </c>
      <c r="AD21" s="107">
        <f t="shared" si="11"/>
        <v>5.9965211807862309</v>
      </c>
      <c r="AE21" s="23">
        <f t="shared" si="12"/>
        <v>0</v>
      </c>
      <c r="AF21" s="108">
        <f t="shared" si="13"/>
        <v>0.2165840381063478</v>
      </c>
      <c r="AH21" s="104">
        <f t="shared" si="15"/>
        <v>1.4851153039832286</v>
      </c>
      <c r="AJ21" s="104">
        <f t="shared" si="18"/>
        <v>98.827672955974847</v>
      </c>
      <c r="AK21" s="23">
        <f t="shared" si="14"/>
        <v>5.5908829966703557</v>
      </c>
      <c r="AO21" s="104">
        <v>98.827672955974847</v>
      </c>
      <c r="AP21" s="23">
        <v>5.2734676813016996</v>
      </c>
      <c r="AQ21" s="141">
        <v>27.929559748427682</v>
      </c>
      <c r="AR21" s="141">
        <v>5.2734676813016996</v>
      </c>
      <c r="AS21" s="23">
        <v>8.2867924528301895</v>
      </c>
      <c r="AT21" s="23">
        <v>5.2734676813016996</v>
      </c>
      <c r="AU21" s="23">
        <f t="shared" si="16"/>
        <v>9.1154716981132075E-2</v>
      </c>
      <c r="AV21" s="23">
        <f t="shared" si="17"/>
        <v>5.2734676813016996</v>
      </c>
    </row>
    <row r="22" spans="1:48" ht="14.5" customHeight="1" x14ac:dyDescent="0.35">
      <c r="A22" s="23">
        <v>17</v>
      </c>
      <c r="B22" s="118" t="s">
        <v>143</v>
      </c>
      <c r="C22" s="23" t="s">
        <v>156</v>
      </c>
      <c r="D22" s="23" t="s">
        <v>171</v>
      </c>
      <c r="E22" s="23" t="s">
        <v>188</v>
      </c>
      <c r="F22" s="23" t="s">
        <v>83</v>
      </c>
      <c r="G22" s="141">
        <f>'time-factors'!B$35*'time-factors'!B67</f>
        <v>1.350104821802935</v>
      </c>
      <c r="H22" s="166">
        <f>'time-factors'!J67</f>
        <v>308</v>
      </c>
      <c r="I22" s="96" t="s">
        <v>98</v>
      </c>
      <c r="J22" s="96">
        <f>'time-factors'!O$44</f>
        <v>10</v>
      </c>
      <c r="K22" s="170">
        <f>'time-factors'!I$44</f>
        <v>0.05</v>
      </c>
      <c r="L22" s="173">
        <f t="shared" si="0"/>
        <v>39.887409089360659</v>
      </c>
      <c r="M22" s="170">
        <v>0</v>
      </c>
      <c r="N22" s="96">
        <f t="shared" si="1"/>
        <v>0</v>
      </c>
      <c r="O22" s="167" cm="1">
        <f t="array" ref="O22">IFERROR(_xlfn.IFS(E22="Heavy", 'vehicle E calcs'!$H$33,E22="Cars/vans",'vehicle E calcs'!$H$32),"")</f>
        <v>7.1233383316924828</v>
      </c>
      <c r="P22" s="106">
        <v>250</v>
      </c>
      <c r="Q22" s="108">
        <f t="shared" si="2"/>
        <v>1.7808345829231207</v>
      </c>
      <c r="R22" s="107">
        <f t="shared" si="3"/>
        <v>41.668243672283779</v>
      </c>
      <c r="S22" s="107" cm="1">
        <f t="array" ref="S22">_xlfn.IFS(E22="Heavy", 'vehicle E calcs'!$T$21,E22="Cars/vans",'vehicle E calcs'!$S$21)*O22</f>
        <v>24.362584419881831</v>
      </c>
      <c r="T22" s="109">
        <v>0.27</v>
      </c>
      <c r="U22" s="23">
        <f t="shared" si="4"/>
        <v>6.5778977933680949</v>
      </c>
      <c r="V22" s="23">
        <f t="shared" si="5"/>
        <v>6.334583628571143</v>
      </c>
      <c r="W22" s="106">
        <f t="shared" si="19"/>
        <v>168</v>
      </c>
      <c r="X22" s="23">
        <f t="shared" si="6"/>
        <v>4.0929141825401478</v>
      </c>
      <c r="Y22" s="96">
        <f t="shared" si="20"/>
        <v>0</v>
      </c>
      <c r="Z22" s="23">
        <f t="shared" si="8"/>
        <v>0</v>
      </c>
      <c r="AA22" s="107">
        <f t="shared" si="9"/>
        <v>37.575329489743631</v>
      </c>
      <c r="AB22" s="23">
        <f t="shared" si="10"/>
        <v>5.7123614063489203</v>
      </c>
      <c r="AD22" s="107">
        <f t="shared" si="11"/>
        <v>6.0638535809382077</v>
      </c>
      <c r="AE22" s="23">
        <f t="shared" si="12"/>
        <v>0</v>
      </c>
      <c r="AF22" s="108">
        <f t="shared" si="13"/>
        <v>0.27073004763293473</v>
      </c>
      <c r="AH22" s="104">
        <f t="shared" si="15"/>
        <v>1.350104821802935</v>
      </c>
      <c r="AJ22" s="104">
        <f t="shared" si="18"/>
        <v>100.17777777777778</v>
      </c>
      <c r="AK22" s="23">
        <f t="shared" si="14"/>
        <v>5.7123614063489203</v>
      </c>
      <c r="AO22" s="104">
        <v>100.17777777777778</v>
      </c>
      <c r="AP22" s="23">
        <v>5.3913819686525963</v>
      </c>
      <c r="AQ22" s="141">
        <v>28.311111111111121</v>
      </c>
      <c r="AR22" s="141">
        <v>5.4455279781791832</v>
      </c>
      <c r="AS22" s="23">
        <v>8.4</v>
      </c>
      <c r="AT22" s="23">
        <v>5.4455279781791832</v>
      </c>
      <c r="AU22" s="23">
        <f t="shared" si="16"/>
        <v>9.2399999999999996E-2</v>
      </c>
      <c r="AV22" s="23">
        <f t="shared" si="17"/>
        <v>5.4455279781791832</v>
      </c>
    </row>
    <row r="23" spans="1:48" ht="14.5" customHeight="1" x14ac:dyDescent="0.35">
      <c r="A23" s="23">
        <v>18</v>
      </c>
      <c r="B23" s="119" t="s">
        <v>148</v>
      </c>
      <c r="C23" s="23" t="s">
        <v>156</v>
      </c>
      <c r="D23" s="23" t="s">
        <v>171</v>
      </c>
      <c r="E23" s="23" t="s">
        <v>188</v>
      </c>
      <c r="F23" s="23" t="s">
        <v>83</v>
      </c>
      <c r="G23" s="141">
        <f>'time-factors'!B$35*'time-factors'!B68</f>
        <v>1.350104821802935</v>
      </c>
      <c r="H23" s="166">
        <f>'time-factors'!J68</f>
        <v>308</v>
      </c>
      <c r="I23" s="96" t="s">
        <v>98</v>
      </c>
      <c r="J23" s="96">
        <f>'time-factors'!O$44</f>
        <v>10</v>
      </c>
      <c r="K23" s="170">
        <f>'time-factors'!I$44</f>
        <v>0.05</v>
      </c>
      <c r="L23" s="173">
        <f t="shared" si="0"/>
        <v>39.887409089360659</v>
      </c>
      <c r="M23" s="170">
        <v>0</v>
      </c>
      <c r="N23" s="96">
        <f t="shared" si="1"/>
        <v>0</v>
      </c>
      <c r="O23" s="167" cm="1">
        <f t="array" ref="O23">IFERROR(_xlfn.IFS(E23="Heavy", 'vehicle E calcs'!$H$33,E23="Cars/vans",'vehicle E calcs'!$H$32),"")</f>
        <v>7.1233383316924828</v>
      </c>
      <c r="P23" s="106">
        <v>250</v>
      </c>
      <c r="Q23" s="108">
        <f t="shared" si="2"/>
        <v>1.7808345829231207</v>
      </c>
      <c r="R23" s="107">
        <f t="shared" si="3"/>
        <v>41.668243672283779</v>
      </c>
      <c r="S23" s="107" cm="1">
        <f t="array" ref="S23">_xlfn.IFS(E23="Heavy", 'vehicle E calcs'!$T$21,E23="Cars/vans",'vehicle E calcs'!$S$21)*O23</f>
        <v>24.362584419881831</v>
      </c>
      <c r="T23" s="109">
        <v>0.27</v>
      </c>
      <c r="U23" s="23">
        <f t="shared" si="4"/>
        <v>6.5778977933680949</v>
      </c>
      <c r="V23" s="23">
        <f t="shared" si="5"/>
        <v>6.334583628571143</v>
      </c>
      <c r="W23" s="106">
        <f t="shared" si="19"/>
        <v>168</v>
      </c>
      <c r="X23" s="23">
        <f t="shared" si="6"/>
        <v>4.0929141825401478</v>
      </c>
      <c r="Y23" s="96">
        <f t="shared" si="20"/>
        <v>0</v>
      </c>
      <c r="Z23" s="23">
        <f t="shared" si="8"/>
        <v>0</v>
      </c>
      <c r="AA23" s="107">
        <f t="shared" si="9"/>
        <v>37.575329489743631</v>
      </c>
      <c r="AB23" s="23">
        <f t="shared" si="10"/>
        <v>5.7123614063489203</v>
      </c>
      <c r="AD23" s="107">
        <f t="shared" si="11"/>
        <v>6.0638535809382077</v>
      </c>
      <c r="AE23" s="23">
        <f t="shared" si="12"/>
        <v>0</v>
      </c>
      <c r="AF23" s="108">
        <f t="shared" si="13"/>
        <v>0.27073004763293473</v>
      </c>
      <c r="AH23" s="104">
        <f t="shared" si="15"/>
        <v>1.350104821802935</v>
      </c>
      <c r="AJ23" s="104">
        <f t="shared" si="18"/>
        <v>101.52788259958071</v>
      </c>
      <c r="AK23" s="23">
        <f t="shared" si="14"/>
        <v>5.7123614063489203</v>
      </c>
      <c r="AO23" s="104">
        <v>101.52788259958071</v>
      </c>
      <c r="AP23" s="23">
        <v>5.3913819686525963</v>
      </c>
      <c r="AQ23" s="141">
        <v>28.692662473794559</v>
      </c>
      <c r="AR23" s="141">
        <v>5.4455279781791832</v>
      </c>
      <c r="AS23" s="23">
        <v>8.5132075471698112</v>
      </c>
      <c r="AT23" s="23">
        <v>5.4455279781791832</v>
      </c>
      <c r="AU23" s="23">
        <f t="shared" si="16"/>
        <v>9.3645283018867917E-2</v>
      </c>
      <c r="AV23" s="23">
        <f t="shared" si="17"/>
        <v>5.4455279781791832</v>
      </c>
    </row>
    <row r="24" spans="1:48" ht="14.5" customHeight="1" x14ac:dyDescent="0.35">
      <c r="A24" s="23">
        <v>2</v>
      </c>
      <c r="B24" s="118" t="s">
        <v>142</v>
      </c>
      <c r="C24" s="23" t="s">
        <v>139</v>
      </c>
      <c r="D24" s="23" t="s">
        <v>171</v>
      </c>
      <c r="E24" s="23" t="s">
        <v>128</v>
      </c>
      <c r="F24" s="23" t="s">
        <v>83</v>
      </c>
      <c r="G24" s="141">
        <f>'time-factors'!B$35*'time-factors'!B52</f>
        <v>2.0251572327044025</v>
      </c>
      <c r="H24" s="166">
        <f>'time-factors'!J52</f>
        <v>304.58</v>
      </c>
      <c r="I24" s="96" t="s">
        <v>98</v>
      </c>
      <c r="J24" s="96">
        <f>'time-factors'!O$43</f>
        <v>10</v>
      </c>
      <c r="K24" s="170">
        <f>'time-factors'!I$43</f>
        <v>0.05</v>
      </c>
      <c r="L24" s="173">
        <f t="shared" si="0"/>
        <v>39.444503442978792</v>
      </c>
      <c r="M24" s="170">
        <v>0</v>
      </c>
      <c r="N24" s="96">
        <f t="shared" si="1"/>
        <v>0</v>
      </c>
      <c r="O24" s="167" cm="1">
        <f t="array" ref="O24">IFERROR(_xlfn.IFS(E24="Heavy", 'vehicle E calcs'!$H$33,E24="Cars/vans",'vehicle E calcs'!$H$32),"")</f>
        <v>6.3768270755398833</v>
      </c>
      <c r="P24" s="106">
        <v>200</v>
      </c>
      <c r="Q24" s="108">
        <f t="shared" si="2"/>
        <v>1.2753654151079765</v>
      </c>
      <c r="R24" s="107">
        <f t="shared" si="3"/>
        <v>40.71986885808677</v>
      </c>
      <c r="S24" s="107" cm="1">
        <f t="array" ref="S24">_xlfn.IFS(E24="Heavy", 'vehicle E calcs'!$T$21,E24="Cars/vans",'vehicle E calcs'!$S$21)*O24</f>
        <v>23.354986057632608</v>
      </c>
      <c r="T24" s="109">
        <v>0.27</v>
      </c>
      <c r="U24" s="23">
        <f t="shared" si="4"/>
        <v>6.3058462355608045</v>
      </c>
      <c r="V24" s="23">
        <f t="shared" si="5"/>
        <v>6.4574788754685493</v>
      </c>
      <c r="W24" s="106">
        <f t="shared" si="19"/>
        <v>168</v>
      </c>
      <c r="X24" s="23">
        <f t="shared" si="6"/>
        <v>3.9236376576822782</v>
      </c>
      <c r="Y24" s="96">
        <f t="shared" si="20"/>
        <v>0</v>
      </c>
      <c r="Z24" s="23">
        <f t="shared" si="8"/>
        <v>0</v>
      </c>
      <c r="AA24" s="107">
        <f t="shared" si="9"/>
        <v>36.796231200404492</v>
      </c>
      <c r="AB24" s="23">
        <f t="shared" si="10"/>
        <v>5.8352566532463275</v>
      </c>
      <c r="AD24" s="107">
        <f t="shared" si="11"/>
        <v>6.2552276045898276</v>
      </c>
      <c r="AE24" s="23">
        <f t="shared" si="12"/>
        <v>0</v>
      </c>
      <c r="AF24" s="108">
        <f t="shared" si="13"/>
        <v>0.20225127087872183</v>
      </c>
      <c r="AH24" s="104">
        <f t="shared" si="15"/>
        <v>2.0251572327044025</v>
      </c>
      <c r="AJ24" s="104">
        <f t="shared" si="18"/>
        <v>103.55303983228511</v>
      </c>
      <c r="AK24" s="23">
        <f t="shared" si="14"/>
        <v>5.8352566532463275</v>
      </c>
      <c r="AO24" s="104">
        <v>103.55303983228511</v>
      </c>
      <c r="AP24" s="23">
        <v>5.8352566532463275</v>
      </c>
      <c r="AQ24" s="141">
        <v>29.264989517819718</v>
      </c>
      <c r="AR24" s="141">
        <v>5.8352566532463275</v>
      </c>
      <c r="AS24" s="23">
        <v>8.6830188679245275</v>
      </c>
      <c r="AT24" s="23">
        <v>5.8352566532463275</v>
      </c>
      <c r="AU24" s="23">
        <f t="shared" si="16"/>
        <v>9.5513207547169798E-2</v>
      </c>
      <c r="AV24" s="23">
        <f t="shared" si="17"/>
        <v>5.8352566532463275</v>
      </c>
    </row>
    <row r="25" spans="1:48" ht="14.5" customHeight="1" x14ac:dyDescent="0.35">
      <c r="A25" s="23">
        <v>5</v>
      </c>
      <c r="B25" s="118" t="s">
        <v>145</v>
      </c>
      <c r="C25" s="23" t="s">
        <v>139</v>
      </c>
      <c r="D25" s="23" t="s">
        <v>171</v>
      </c>
      <c r="E25" s="23" t="s">
        <v>188</v>
      </c>
      <c r="F25" s="23" t="s">
        <v>83</v>
      </c>
      <c r="G25" s="141">
        <f>'time-factors'!B$35*'time-factors'!B55</f>
        <v>1.4176100628930819</v>
      </c>
      <c r="H25" s="166">
        <f>'time-factors'!J55</f>
        <v>492</v>
      </c>
      <c r="I25" s="96" t="s">
        <v>98</v>
      </c>
      <c r="J25" s="96">
        <f>'time-factors'!O$43</f>
        <v>10</v>
      </c>
      <c r="K25" s="170">
        <f>'time-factors'!I$43</f>
        <v>0.05</v>
      </c>
      <c r="L25" s="173">
        <f t="shared" si="0"/>
        <v>63.716250883004676</v>
      </c>
      <c r="M25" s="170">
        <v>0</v>
      </c>
      <c r="N25" s="96">
        <f t="shared" si="1"/>
        <v>0</v>
      </c>
      <c r="O25" s="167" cm="1">
        <f t="array" ref="O25">IFERROR(_xlfn.IFS(E25="Heavy", 'vehicle E calcs'!$H$33,E25="Cars/vans",'vehicle E calcs'!$H$32),"")</f>
        <v>7.1233383316924828</v>
      </c>
      <c r="P25" s="106">
        <v>200</v>
      </c>
      <c r="Q25" s="108">
        <f t="shared" si="2"/>
        <v>1.4246676663384965</v>
      </c>
      <c r="R25" s="107">
        <f t="shared" si="3"/>
        <v>65.140918549343169</v>
      </c>
      <c r="S25" s="107" cm="1">
        <f t="array" ref="S25">_xlfn.IFS(E25="Heavy", 'vehicle E calcs'!$T$21,E25="Cars/vans",'vehicle E calcs'!$S$21)*O25</f>
        <v>24.362584419881831</v>
      </c>
      <c r="T25" s="109">
        <v>0.27</v>
      </c>
      <c r="U25" s="23">
        <f t="shared" si="4"/>
        <v>6.5778977933680949</v>
      </c>
      <c r="V25" s="23">
        <f t="shared" si="5"/>
        <v>9.9029994985660803</v>
      </c>
      <c r="W25" s="106">
        <f t="shared" si="19"/>
        <v>168</v>
      </c>
      <c r="X25" s="23">
        <f t="shared" si="6"/>
        <v>4.0929141825401478</v>
      </c>
      <c r="Y25" s="96">
        <f t="shared" si="20"/>
        <v>0</v>
      </c>
      <c r="Z25" s="23">
        <f t="shared" si="8"/>
        <v>0</v>
      </c>
      <c r="AA25" s="107">
        <f t="shared" si="9"/>
        <v>61.048004366803021</v>
      </c>
      <c r="AB25" s="23">
        <f t="shared" si="10"/>
        <v>9.2807772763438585</v>
      </c>
      <c r="AD25" s="107">
        <f t="shared" si="11"/>
        <v>9.6864154604597328</v>
      </c>
      <c r="AE25" s="23">
        <f t="shared" si="12"/>
        <v>0</v>
      </c>
      <c r="AF25" s="108">
        <f t="shared" si="13"/>
        <v>0.2165840381063478</v>
      </c>
      <c r="AH25" s="104">
        <f t="shared" si="15"/>
        <v>1.4176100628930819</v>
      </c>
      <c r="AJ25" s="104">
        <f t="shared" si="18"/>
        <v>104.97064989517818</v>
      </c>
      <c r="AK25" s="23">
        <f t="shared" si="14"/>
        <v>9.2807772763438585</v>
      </c>
      <c r="AO25" s="104">
        <v>104.97064989517818</v>
      </c>
      <c r="AP25" s="23">
        <v>8.7680438888549244</v>
      </c>
      <c r="AQ25" s="141">
        <v>29.665618448637328</v>
      </c>
      <c r="AR25" s="141">
        <v>8.7680438888549244</v>
      </c>
      <c r="AS25" s="23">
        <v>8.8018867924528301</v>
      </c>
      <c r="AT25" s="23">
        <v>8.7680438888549244</v>
      </c>
      <c r="AU25" s="23">
        <f t="shared" si="16"/>
        <v>9.6820754716981122E-2</v>
      </c>
      <c r="AV25" s="23">
        <f t="shared" si="17"/>
        <v>8.7680438888549244</v>
      </c>
    </row>
    <row r="26" spans="1:48" ht="14.5" customHeight="1" x14ac:dyDescent="0.35">
      <c r="A26" s="23">
        <v>8</v>
      </c>
      <c r="B26" s="119" t="s">
        <v>148</v>
      </c>
      <c r="C26" s="23" t="s">
        <v>139</v>
      </c>
      <c r="D26" s="23" t="s">
        <v>171</v>
      </c>
      <c r="E26" s="23" t="s">
        <v>188</v>
      </c>
      <c r="F26" s="23" t="s">
        <v>83</v>
      </c>
      <c r="G26" s="141">
        <f>'time-factors'!B$35*'time-factors'!B58</f>
        <v>1.0125786163522013</v>
      </c>
      <c r="H26" s="166">
        <f>'time-factors'!J58</f>
        <v>492</v>
      </c>
      <c r="I26" s="96" t="s">
        <v>98</v>
      </c>
      <c r="J26" s="96">
        <f>'time-factors'!O$43</f>
        <v>10</v>
      </c>
      <c r="K26" s="170">
        <f>'time-factors'!I$43</f>
        <v>0.05</v>
      </c>
      <c r="L26" s="173">
        <f t="shared" si="0"/>
        <v>63.716250883004676</v>
      </c>
      <c r="M26" s="170">
        <v>0</v>
      </c>
      <c r="N26" s="96">
        <f t="shared" si="1"/>
        <v>0</v>
      </c>
      <c r="O26" s="167" cm="1">
        <f t="array" ref="O26">IFERROR(_xlfn.IFS(E26="Heavy", 'vehicle E calcs'!$H$33,E26="Cars/vans",'vehicle E calcs'!$H$32),"")</f>
        <v>7.1233383316924828</v>
      </c>
      <c r="P26" s="106">
        <v>200</v>
      </c>
      <c r="Q26" s="108">
        <f t="shared" si="2"/>
        <v>1.4246676663384965</v>
      </c>
      <c r="R26" s="107">
        <f t="shared" si="3"/>
        <v>65.140918549343169</v>
      </c>
      <c r="S26" s="107" cm="1">
        <f t="array" ref="S26">_xlfn.IFS(E26="Heavy", 'vehicle E calcs'!$T$21,E26="Cars/vans",'vehicle E calcs'!$S$21)*O26</f>
        <v>24.362584419881831</v>
      </c>
      <c r="T26" s="109">
        <v>0.27</v>
      </c>
      <c r="U26" s="23">
        <f t="shared" si="4"/>
        <v>6.5778977933680949</v>
      </c>
      <c r="V26" s="23">
        <f t="shared" si="5"/>
        <v>9.9029994985660803</v>
      </c>
      <c r="W26" s="106">
        <f t="shared" si="19"/>
        <v>168</v>
      </c>
      <c r="X26" s="23">
        <f t="shared" si="6"/>
        <v>4.0929141825401478</v>
      </c>
      <c r="Y26" s="96">
        <f t="shared" si="20"/>
        <v>0</v>
      </c>
      <c r="Z26" s="23">
        <f t="shared" si="8"/>
        <v>0</v>
      </c>
      <c r="AA26" s="107">
        <f t="shared" si="9"/>
        <v>61.048004366803021</v>
      </c>
      <c r="AB26" s="23">
        <f t="shared" si="10"/>
        <v>9.2807772763438585</v>
      </c>
      <c r="AD26" s="107">
        <f t="shared" si="11"/>
        <v>9.6864154604597328</v>
      </c>
      <c r="AE26" s="23">
        <f t="shared" si="12"/>
        <v>0</v>
      </c>
      <c r="AF26" s="108">
        <f t="shared" si="13"/>
        <v>0.2165840381063478</v>
      </c>
      <c r="AH26" s="104">
        <f t="shared" si="15"/>
        <v>1.0125786163522013</v>
      </c>
      <c r="AJ26" s="104">
        <f t="shared" si="18"/>
        <v>105.98322851153038</v>
      </c>
      <c r="AK26" s="23">
        <f t="shared" si="14"/>
        <v>9.2807772763438585</v>
      </c>
      <c r="AO26" s="104">
        <v>105.98322851153038</v>
      </c>
      <c r="AP26" s="23">
        <v>8.7680438888549244</v>
      </c>
      <c r="AQ26" s="141">
        <v>29.951781970649908</v>
      </c>
      <c r="AR26" s="141">
        <v>8.7680438888549244</v>
      </c>
      <c r="AS26" s="23">
        <v>8.8867924528301891</v>
      </c>
      <c r="AT26" s="23">
        <v>8.7680438888549244</v>
      </c>
      <c r="AU26" s="23">
        <f t="shared" si="16"/>
        <v>9.775471698113207E-2</v>
      </c>
      <c r="AV26" s="23">
        <f t="shared" si="17"/>
        <v>8.7680438888549244</v>
      </c>
    </row>
    <row r="27" spans="1:48" ht="14.5" customHeight="1" x14ac:dyDescent="0.35">
      <c r="A27" s="23">
        <v>10</v>
      </c>
      <c r="B27" s="118" t="s">
        <v>58</v>
      </c>
      <c r="C27" s="23" t="s">
        <v>139</v>
      </c>
      <c r="D27" s="23" t="s">
        <v>171</v>
      </c>
      <c r="E27" s="23" t="s">
        <v>188</v>
      </c>
      <c r="F27" s="23" t="s">
        <v>83</v>
      </c>
      <c r="G27" s="141">
        <f>'time-factors'!B$35*'time-factors'!B60</f>
        <v>1.350104821802935</v>
      </c>
      <c r="H27" s="166">
        <f>'time-factors'!J60</f>
        <v>776</v>
      </c>
      <c r="I27" s="96" t="s">
        <v>98</v>
      </c>
      <c r="J27" s="96">
        <f>'time-factors'!O$43</f>
        <v>10</v>
      </c>
      <c r="K27" s="170">
        <f>'time-factors'!I$43</f>
        <v>0.05</v>
      </c>
      <c r="L27" s="173">
        <f t="shared" si="0"/>
        <v>100.49555017319437</v>
      </c>
      <c r="M27" s="170">
        <v>0</v>
      </c>
      <c r="N27" s="96">
        <f t="shared" si="1"/>
        <v>0</v>
      </c>
      <c r="O27" s="167" cm="1">
        <f t="array" ref="O27">IFERROR(_xlfn.IFS(E27="Heavy", 'vehicle E calcs'!$H$33,E27="Cars/vans",'vehicle E calcs'!$H$32),"")</f>
        <v>7.1233383316924828</v>
      </c>
      <c r="P27" s="106">
        <v>200</v>
      </c>
      <c r="Q27" s="108">
        <f t="shared" si="2"/>
        <v>1.4246676663384965</v>
      </c>
      <c r="R27" s="107">
        <f t="shared" si="3"/>
        <v>101.92021783953287</v>
      </c>
      <c r="S27" s="107" cm="1">
        <f t="array" ref="S27">_xlfn.IFS(E27="Heavy", 'vehicle E calcs'!$T$21,E27="Cars/vans",'vehicle E calcs'!$S$21)*O27</f>
        <v>24.362584419881831</v>
      </c>
      <c r="T27" s="109">
        <v>0.27</v>
      </c>
      <c r="U27" s="23">
        <f t="shared" si="4"/>
        <v>6.5778977933680949</v>
      </c>
      <c r="V27" s="23">
        <f t="shared" si="5"/>
        <v>15.49434500826235</v>
      </c>
      <c r="W27" s="106">
        <f t="shared" si="19"/>
        <v>168</v>
      </c>
      <c r="X27" s="23">
        <f t="shared" si="6"/>
        <v>4.0929141825401478</v>
      </c>
      <c r="Y27" s="96">
        <f t="shared" si="20"/>
        <v>0</v>
      </c>
      <c r="Z27" s="23">
        <f t="shared" si="8"/>
        <v>0</v>
      </c>
      <c r="AA27" s="107">
        <f t="shared" si="9"/>
        <v>97.827303656992726</v>
      </c>
      <c r="AB27" s="23">
        <f t="shared" si="10"/>
        <v>14.872122786040128</v>
      </c>
      <c r="AD27" s="107">
        <f t="shared" si="11"/>
        <v>15.277760970156002</v>
      </c>
      <c r="AE27" s="23">
        <f t="shared" si="12"/>
        <v>0</v>
      </c>
      <c r="AF27" s="108">
        <f t="shared" si="13"/>
        <v>0.2165840381063478</v>
      </c>
      <c r="AH27" s="104">
        <f t="shared" si="15"/>
        <v>1.350104821802935</v>
      </c>
      <c r="AJ27" s="104">
        <f t="shared" si="18"/>
        <v>107.33333333333331</v>
      </c>
      <c r="AK27" s="23">
        <f t="shared" si="14"/>
        <v>14.872122786040128</v>
      </c>
      <c r="AO27" s="104">
        <v>107.33333333333331</v>
      </c>
      <c r="AP27" s="23">
        <v>14.063421345610427</v>
      </c>
      <c r="AQ27" s="141">
        <v>30.333333333333346</v>
      </c>
      <c r="AR27" s="141">
        <v>14.063421345610427</v>
      </c>
      <c r="AS27" s="23">
        <v>9</v>
      </c>
      <c r="AT27" s="23">
        <v>14.063421345610427</v>
      </c>
      <c r="AU27" s="23">
        <f t="shared" si="16"/>
        <v>9.8999999999999991E-2</v>
      </c>
      <c r="AV27" s="23">
        <f t="shared" si="17"/>
        <v>14.063421345610427</v>
      </c>
    </row>
    <row r="28" spans="1:48" ht="14.5" customHeight="1" x14ac:dyDescent="0.35">
      <c r="A28" s="23">
        <v>14</v>
      </c>
      <c r="B28" s="118" t="s">
        <v>152</v>
      </c>
      <c r="C28" s="23" t="s">
        <v>139</v>
      </c>
      <c r="D28" s="23" t="s">
        <v>171</v>
      </c>
      <c r="E28" s="23" t="s">
        <v>188</v>
      </c>
      <c r="F28" s="23" t="s">
        <v>83</v>
      </c>
      <c r="G28" s="141">
        <f>'time-factors'!B$35*'time-factors'!B64</f>
        <v>0.87756813417190782</v>
      </c>
      <c r="H28" s="166">
        <f>'time-factors'!J64</f>
        <v>776</v>
      </c>
      <c r="I28" s="96" t="s">
        <v>98</v>
      </c>
      <c r="J28" s="96">
        <f>'time-factors'!O$43</f>
        <v>10</v>
      </c>
      <c r="K28" s="170">
        <f>'time-factors'!I$43</f>
        <v>0.05</v>
      </c>
      <c r="L28" s="173">
        <f t="shared" si="0"/>
        <v>100.49555017319437</v>
      </c>
      <c r="M28" s="170">
        <v>0</v>
      </c>
      <c r="N28" s="96">
        <f t="shared" si="1"/>
        <v>0</v>
      </c>
      <c r="O28" s="167" cm="1">
        <f t="array" ref="O28">IFERROR(_xlfn.IFS(E28="Heavy", 'vehicle E calcs'!$H$33,E28="Cars/vans",'vehicle E calcs'!$H$32),"")</f>
        <v>7.1233383316924828</v>
      </c>
      <c r="P28" s="106">
        <v>200</v>
      </c>
      <c r="Q28" s="108">
        <f t="shared" si="2"/>
        <v>1.4246676663384965</v>
      </c>
      <c r="R28" s="107">
        <f t="shared" si="3"/>
        <v>101.92021783953287</v>
      </c>
      <c r="S28" s="107" cm="1">
        <f t="array" ref="S28">_xlfn.IFS(E28="Heavy", 'vehicle E calcs'!$T$21,E28="Cars/vans",'vehicle E calcs'!$S$21)*O28</f>
        <v>24.362584419881831</v>
      </c>
      <c r="T28" s="109">
        <v>0.27</v>
      </c>
      <c r="U28" s="23">
        <f t="shared" si="4"/>
        <v>6.5778977933680949</v>
      </c>
      <c r="V28" s="23">
        <f t="shared" si="5"/>
        <v>15.49434500826235</v>
      </c>
      <c r="W28" s="106">
        <f t="shared" si="19"/>
        <v>168</v>
      </c>
      <c r="X28" s="23">
        <f t="shared" si="6"/>
        <v>4.0929141825401478</v>
      </c>
      <c r="Y28" s="96">
        <f t="shared" si="20"/>
        <v>0</v>
      </c>
      <c r="Z28" s="23">
        <f t="shared" si="8"/>
        <v>0</v>
      </c>
      <c r="AA28" s="107">
        <f t="shared" si="9"/>
        <v>97.827303656992726</v>
      </c>
      <c r="AB28" s="23">
        <f t="shared" si="10"/>
        <v>14.872122786040128</v>
      </c>
      <c r="AD28" s="107">
        <f t="shared" si="11"/>
        <v>15.277760970156002</v>
      </c>
      <c r="AE28" s="23">
        <f t="shared" si="12"/>
        <v>0</v>
      </c>
      <c r="AF28" s="108">
        <f t="shared" si="13"/>
        <v>0.2165840381063478</v>
      </c>
      <c r="AH28" s="104">
        <f t="shared" si="15"/>
        <v>0.87756813417190782</v>
      </c>
      <c r="AJ28" s="104">
        <f t="shared" si="18"/>
        <v>108.21090146750522</v>
      </c>
      <c r="AK28" s="23">
        <f t="shared" si="14"/>
        <v>14.872122786040128</v>
      </c>
      <c r="AO28" s="104">
        <v>108.21090146750522</v>
      </c>
      <c r="AP28" s="23">
        <v>14.063421345610427</v>
      </c>
      <c r="AQ28" s="141">
        <v>30.581341719077582</v>
      </c>
      <c r="AR28" s="141">
        <v>14.063421345610427</v>
      </c>
      <c r="AS28" s="23">
        <v>9.0735849056603772</v>
      </c>
      <c r="AT28" s="23">
        <v>14.063421345610427</v>
      </c>
      <c r="AU28" s="23">
        <f t="shared" si="16"/>
        <v>9.9809433962264146E-2</v>
      </c>
      <c r="AV28" s="23">
        <f t="shared" si="17"/>
        <v>14.063421345610427</v>
      </c>
    </row>
    <row r="29" spans="1:48" x14ac:dyDescent="0.35">
      <c r="B29" s="122"/>
      <c r="C29" s="24"/>
      <c r="D29" s="24"/>
      <c r="E29" s="24"/>
      <c r="F29" s="131" t="s">
        <v>50</v>
      </c>
      <c r="G29" s="104">
        <f>SUM(G4:G28)</f>
        <v>108.21090146750522</v>
      </c>
      <c r="H29" s="96"/>
      <c r="I29" s="96"/>
      <c r="J29" s="96"/>
      <c r="K29" s="96"/>
      <c r="L29" s="96"/>
      <c r="M29" s="96"/>
      <c r="N29" s="96"/>
      <c r="O29" s="96"/>
      <c r="P29" s="96"/>
    </row>
    <row r="30" spans="1:48" x14ac:dyDescent="0.35">
      <c r="B30" s="122"/>
      <c r="C30" s="24"/>
      <c r="D30" s="24"/>
      <c r="E30" s="24"/>
      <c r="F30" s="24"/>
      <c r="H30" s="96"/>
      <c r="I30" s="96"/>
      <c r="J30" s="96"/>
      <c r="K30" s="96"/>
      <c r="L30" s="96"/>
      <c r="M30" s="96"/>
      <c r="N30" s="96"/>
      <c r="O30" s="96"/>
      <c r="P30" s="96"/>
    </row>
    <row r="31" spans="1:48" x14ac:dyDescent="0.35">
      <c r="B31" s="123"/>
      <c r="C31" s="125"/>
      <c r="F31" s="24"/>
      <c r="G31" s="141">
        <f>SUM(G4:G28)</f>
        <v>108.21090146750522</v>
      </c>
      <c r="H31" s="141">
        <f t="shared" ref="H31:AK31" si="21">SUM(H4:H28)</f>
        <v>5514.3837800000001</v>
      </c>
      <c r="I31" s="141">
        <f t="shared" si="21"/>
        <v>0</v>
      </c>
      <c r="J31" s="141">
        <f t="shared" si="21"/>
        <v>305</v>
      </c>
      <c r="K31" s="141">
        <f t="shared" si="21"/>
        <v>1.2500000000000004</v>
      </c>
      <c r="L31" s="141">
        <f t="shared" si="21"/>
        <v>713.9533742799365</v>
      </c>
      <c r="M31" s="141">
        <f t="shared" si="21"/>
        <v>0.1</v>
      </c>
      <c r="N31" s="141">
        <f t="shared" si="21"/>
        <v>4.8000000000000001E-2</v>
      </c>
      <c r="O31" s="141">
        <f t="shared" si="21"/>
        <v>148.41753368970166</v>
      </c>
      <c r="P31" s="141">
        <f t="shared" si="21"/>
        <v>5100</v>
      </c>
      <c r="Q31" s="141">
        <f t="shared" si="21"/>
        <v>30.395840571109588</v>
      </c>
      <c r="R31" s="141">
        <f t="shared" si="21"/>
        <v>744.39721485104599</v>
      </c>
      <c r="S31" s="141">
        <f t="shared" si="21"/>
        <v>471.21352774662699</v>
      </c>
      <c r="T31" s="141">
        <f t="shared" si="21"/>
        <v>5.8099999999999987</v>
      </c>
      <c r="U31" s="141">
        <f t="shared" si="21"/>
        <v>122.29880249158926</v>
      </c>
      <c r="V31" s="141">
        <f t="shared" si="21"/>
        <v>122.29917740011558</v>
      </c>
      <c r="W31" s="141">
        <f t="shared" si="21"/>
        <v>4327</v>
      </c>
      <c r="X31" s="141">
        <f t="shared" si="21"/>
        <v>79.478187661433296</v>
      </c>
      <c r="Y31" s="141">
        <f t="shared" si="21"/>
        <v>0</v>
      </c>
      <c r="Z31" s="141">
        <f t="shared" si="21"/>
        <v>0</v>
      </c>
      <c r="AA31" s="141">
        <f t="shared" si="21"/>
        <v>664.91902718961273</v>
      </c>
      <c r="AB31" s="141">
        <f t="shared" si="21"/>
        <v>99.786214437152609</v>
      </c>
      <c r="AC31" s="141">
        <f t="shared" si="21"/>
        <v>0</v>
      </c>
      <c r="AD31" s="141">
        <f t="shared" si="21"/>
        <v>109.91431190406163</v>
      </c>
      <c r="AE31" s="141">
        <f t="shared" si="21"/>
        <v>9.5227272727272716E-2</v>
      </c>
      <c r="AF31" s="141">
        <f t="shared" si="21"/>
        <v>12.289638223326659</v>
      </c>
      <c r="AG31" s="141">
        <f t="shared" si="21"/>
        <v>0</v>
      </c>
      <c r="AH31" s="141">
        <f t="shared" si="21"/>
        <v>108.21090146750522</v>
      </c>
      <c r="AI31" s="141">
        <f t="shared" si="21"/>
        <v>0</v>
      </c>
      <c r="AJ31" s="141">
        <f t="shared" si="21"/>
        <v>2044.0587002096431</v>
      </c>
      <c r="AK31" s="141">
        <f t="shared" si="21"/>
        <v>99.786214437152609</v>
      </c>
    </row>
    <row r="32" spans="1:48" x14ac:dyDescent="0.35">
      <c r="B32" s="123"/>
      <c r="C32" s="125"/>
      <c r="G32" s="141">
        <f>SUM('2030'!G4:G28)</f>
        <v>113.91236060646096</v>
      </c>
      <c r="H32" s="141">
        <f>SUM('2030'!H4:H28)</f>
        <v>4687.2262129999999</v>
      </c>
      <c r="I32" s="141">
        <f>SUM('2030'!I4:I28)</f>
        <v>0</v>
      </c>
      <c r="J32" s="141">
        <f>SUM('2030'!J4:J28)</f>
        <v>305</v>
      </c>
      <c r="K32" s="141">
        <f>SUM('2030'!K4:K28)</f>
        <v>1.2500000000000004</v>
      </c>
      <c r="L32" s="141">
        <f>SUM('2030'!L4:L28)</f>
        <v>606.86036813794601</v>
      </c>
      <c r="M32" s="141">
        <f>SUM('2030'!M4:M28)</f>
        <v>0.1</v>
      </c>
      <c r="N32" s="141">
        <f>SUM('2030'!N4:N28)</f>
        <v>4.0800000000000003E-2</v>
      </c>
      <c r="O32" s="141">
        <f>SUM('2030'!O4:O28)</f>
        <v>148.41753368970166</v>
      </c>
      <c r="P32" s="141">
        <f>SUM('2030'!P4:P28)</f>
        <v>5100</v>
      </c>
      <c r="Q32" s="141">
        <f>SUM('2030'!Q4:Q28)</f>
        <v>30.395840571109588</v>
      </c>
      <c r="R32" s="141">
        <f>SUM('2030'!R4:R28)</f>
        <v>637.29700870905549</v>
      </c>
      <c r="S32" s="141">
        <f>SUM('2030'!S4:S28)</f>
        <v>471.21352774662699</v>
      </c>
      <c r="T32" s="141">
        <f>SUM('2030'!T4:T28)</f>
        <v>5.8099999999999987</v>
      </c>
      <c r="U32" s="141">
        <f>SUM('2030'!U4:U28)</f>
        <v>122.29880249158926</v>
      </c>
      <c r="V32" s="141">
        <f>SUM('2030'!V4:V28)</f>
        <v>105.79774652359723</v>
      </c>
      <c r="W32" s="141">
        <f>SUM('2030'!W4:W28)</f>
        <v>4327</v>
      </c>
      <c r="X32" s="141">
        <f>SUM('2030'!X4:X28)</f>
        <v>79.478187661433296</v>
      </c>
      <c r="Y32" s="141">
        <f>SUM('2030'!Y4:Y28)</f>
        <v>0</v>
      </c>
      <c r="Z32" s="141">
        <f>SUM('2030'!Z4:Z28)</f>
        <v>0</v>
      </c>
      <c r="AA32" s="141">
        <f>SUM('2030'!AA4:AA28)</f>
        <v>557.81882104762224</v>
      </c>
      <c r="AB32" s="141">
        <f>SUM('2030'!AB4:AB28)</f>
        <v>83.284783560634267</v>
      </c>
      <c r="AC32" s="141">
        <f>SUM('2030'!AC4:AC28)</f>
        <v>0</v>
      </c>
      <c r="AD32" s="141">
        <f>SUM('2030'!AD4:AD28)</f>
        <v>93.427165118452393</v>
      </c>
      <c r="AE32" s="141">
        <f>SUM('2030'!AE4:AE28)</f>
        <v>8.0943181818181817E-2</v>
      </c>
      <c r="AF32" s="141">
        <f>SUM('2030'!AF4:AF28)</f>
        <v>12.289638223326659</v>
      </c>
      <c r="AG32" s="141">
        <f>SUM('2030'!AG4:AG28)</f>
        <v>0</v>
      </c>
      <c r="AH32" s="141">
        <f>SUM('2030'!AH4:AH28)</f>
        <v>113.91236060646096</v>
      </c>
      <c r="AI32" s="141">
        <f>SUM('2030'!AI4:AI28)</f>
        <v>0</v>
      </c>
      <c r="AJ32" s="141">
        <f>SUM('2030'!AJ4:AJ28)</f>
        <v>2151.7568803266618</v>
      </c>
      <c r="AK32" s="141">
        <f>SUM('2030'!AK4:AK28)</f>
        <v>83.284783560634267</v>
      </c>
    </row>
    <row r="33" spans="1:39" x14ac:dyDescent="0.35">
      <c r="B33" s="96"/>
      <c r="C33" s="96"/>
      <c r="H33" s="96"/>
      <c r="I33" s="96"/>
      <c r="J33" s="96"/>
      <c r="K33" s="96"/>
      <c r="L33" s="96"/>
      <c r="M33" s="96"/>
      <c r="N33" s="96"/>
      <c r="O33" s="96"/>
      <c r="P33" s="96"/>
    </row>
    <row r="34" spans="1:39" x14ac:dyDescent="0.35">
      <c r="B34" s="96"/>
      <c r="C34" s="96"/>
      <c r="H34" s="96"/>
      <c r="I34" s="96"/>
      <c r="J34" s="96"/>
      <c r="K34" s="96"/>
      <c r="L34" s="96"/>
      <c r="M34" s="96"/>
      <c r="N34" s="96"/>
      <c r="O34" s="96"/>
      <c r="P34" s="96"/>
    </row>
    <row r="35" spans="1:39" x14ac:dyDescent="0.35">
      <c r="H35" s="96"/>
      <c r="I35" s="96"/>
      <c r="J35" s="96"/>
      <c r="K35" s="96"/>
      <c r="L35" s="96"/>
      <c r="M35" s="96"/>
      <c r="N35" s="96"/>
      <c r="O35" s="96"/>
      <c r="P35" s="96"/>
    </row>
    <row r="36" spans="1:39" x14ac:dyDescent="0.35">
      <c r="H36" s="96"/>
      <c r="I36" s="96"/>
      <c r="J36" s="96"/>
      <c r="K36" s="96"/>
      <c r="L36" s="96"/>
      <c r="M36" s="96"/>
      <c r="N36" s="96"/>
      <c r="O36" s="96"/>
      <c r="P36" s="96"/>
    </row>
    <row r="37" spans="1:39" x14ac:dyDescent="0.35">
      <c r="H37" s="96"/>
      <c r="I37" s="96"/>
      <c r="J37" s="96"/>
      <c r="K37" s="96"/>
      <c r="L37" s="96"/>
      <c r="M37" s="96"/>
      <c r="N37" s="96"/>
      <c r="O37" s="96"/>
      <c r="P37" s="96"/>
    </row>
    <row r="38" spans="1:39" x14ac:dyDescent="0.35">
      <c r="H38" s="96"/>
      <c r="I38" s="96"/>
      <c r="J38" s="96"/>
      <c r="K38" s="96"/>
      <c r="L38" s="96"/>
      <c r="M38" s="96"/>
      <c r="N38" s="96"/>
      <c r="O38" s="96"/>
      <c r="P38" s="96"/>
    </row>
    <row r="39" spans="1:39" x14ac:dyDescent="0.35">
      <c r="H39" s="96"/>
      <c r="I39" s="96"/>
      <c r="J39" s="96"/>
      <c r="K39" s="96"/>
      <c r="L39" s="96"/>
      <c r="M39" s="96"/>
      <c r="N39" s="96"/>
      <c r="O39" s="96"/>
      <c r="P39" s="96"/>
    </row>
    <row r="40" spans="1:39" x14ac:dyDescent="0.35">
      <c r="H40" s="96"/>
      <c r="I40" s="96"/>
      <c r="J40" s="96"/>
      <c r="K40" s="96"/>
      <c r="L40" s="96"/>
      <c r="M40" s="96"/>
      <c r="N40" s="96"/>
      <c r="O40" s="96"/>
      <c r="P40" s="96"/>
    </row>
    <row r="41" spans="1:39" x14ac:dyDescent="0.35">
      <c r="H41" s="96"/>
      <c r="I41" s="96"/>
      <c r="J41" s="96"/>
      <c r="K41" s="96"/>
      <c r="L41" s="96"/>
      <c r="M41" s="96"/>
      <c r="N41" s="96"/>
      <c r="O41" s="96"/>
      <c r="P41" s="96"/>
    </row>
    <row r="42" spans="1:39" x14ac:dyDescent="0.35">
      <c r="H42" s="96"/>
      <c r="I42" s="96"/>
      <c r="J42" s="96"/>
      <c r="K42" s="96"/>
      <c r="L42" s="96"/>
      <c r="M42" s="96"/>
      <c r="N42" s="96"/>
      <c r="O42" s="96"/>
      <c r="P42" s="96"/>
    </row>
    <row r="43" spans="1:39" x14ac:dyDescent="0.35">
      <c r="H43" s="96"/>
      <c r="I43" s="96"/>
      <c r="J43" s="96"/>
      <c r="K43" s="96"/>
      <c r="L43" s="96"/>
      <c r="M43" s="96"/>
      <c r="N43" s="96"/>
      <c r="O43" s="96"/>
      <c r="P43" s="96"/>
    </row>
    <row r="44" spans="1:39" x14ac:dyDescent="0.35">
      <c r="H44" s="96"/>
      <c r="I44" s="96"/>
      <c r="J44" s="96"/>
      <c r="K44" s="96"/>
      <c r="L44" s="96"/>
      <c r="M44" s="96"/>
      <c r="N44" s="96"/>
      <c r="O44" s="96"/>
      <c r="P44" s="96"/>
    </row>
    <row r="45" spans="1:39" s="132" customFormat="1" x14ac:dyDescent="0.35">
      <c r="H45" s="96"/>
      <c r="I45" s="96"/>
      <c r="J45" s="96"/>
      <c r="K45" s="96"/>
      <c r="L45" s="96"/>
      <c r="M45" s="96"/>
      <c r="N45" s="96"/>
      <c r="O45" s="96"/>
      <c r="P45" s="96"/>
      <c r="AL45" s="135"/>
      <c r="AM45" s="96"/>
    </row>
    <row r="46" spans="1:39" ht="21" x14ac:dyDescent="0.5">
      <c r="A46" s="96"/>
      <c r="B46" s="134" t="s">
        <v>254</v>
      </c>
      <c r="C46" s="136">
        <f>C1</f>
        <v>2019</v>
      </c>
      <c r="H46" s="96"/>
      <c r="I46" s="96"/>
      <c r="J46" s="96"/>
      <c r="K46" s="96"/>
      <c r="L46" s="96"/>
      <c r="M46" s="96"/>
      <c r="N46" s="96"/>
      <c r="O46" s="96"/>
      <c r="P46" s="96"/>
      <c r="W46" s="23" t="s">
        <v>202</v>
      </c>
      <c r="AB46" s="95"/>
    </row>
    <row r="47" spans="1:39" x14ac:dyDescent="0.35">
      <c r="A47" s="96"/>
      <c r="H47" s="96"/>
      <c r="I47" s="96"/>
      <c r="J47" s="96"/>
      <c r="K47" s="96"/>
      <c r="L47" s="96"/>
      <c r="M47" s="96"/>
      <c r="N47" s="96"/>
      <c r="O47" s="96"/>
      <c r="P47" s="96"/>
      <c r="T47" s="99" t="s">
        <v>138</v>
      </c>
      <c r="W47" s="99">
        <v>1.7</v>
      </c>
      <c r="X47" s="23" t="s">
        <v>174</v>
      </c>
      <c r="Z47" s="100">
        <v>0</v>
      </c>
      <c r="AA47" s="23" t="s">
        <v>175</v>
      </c>
      <c r="AC47" s="101">
        <v>0</v>
      </c>
    </row>
    <row r="48" spans="1:39" ht="72.5" x14ac:dyDescent="0.35">
      <c r="A48" s="96"/>
      <c r="B48" s="102" t="s">
        <v>173</v>
      </c>
      <c r="C48" s="103" t="s">
        <v>95</v>
      </c>
      <c r="D48" s="103" t="s">
        <v>172</v>
      </c>
      <c r="E48" s="103" t="s">
        <v>231</v>
      </c>
      <c r="F48" s="103" t="s">
        <v>96</v>
      </c>
      <c r="G48" s="103" t="s">
        <v>205</v>
      </c>
      <c r="H48" s="176" t="s">
        <v>99</v>
      </c>
      <c r="I48" s="176" t="s">
        <v>97</v>
      </c>
      <c r="J48" s="176" t="s">
        <v>100</v>
      </c>
      <c r="K48" s="176" t="s">
        <v>101</v>
      </c>
      <c r="L48" s="176" t="s">
        <v>102</v>
      </c>
      <c r="M48" s="176" t="s">
        <v>129</v>
      </c>
      <c r="N48" s="176" t="s">
        <v>130</v>
      </c>
      <c r="O48" s="176" t="s">
        <v>132</v>
      </c>
      <c r="P48" s="176" t="s">
        <v>133</v>
      </c>
      <c r="Q48" s="103" t="s">
        <v>131</v>
      </c>
      <c r="R48" s="117" t="s">
        <v>136</v>
      </c>
      <c r="S48" s="103" t="s">
        <v>135</v>
      </c>
      <c r="T48" s="103" t="s">
        <v>134</v>
      </c>
      <c r="U48" s="103" t="s">
        <v>103</v>
      </c>
      <c r="V48" s="117" t="s">
        <v>108</v>
      </c>
      <c r="W48" s="103" t="s">
        <v>199</v>
      </c>
      <c r="X48" s="103" t="s">
        <v>104</v>
      </c>
      <c r="Y48" s="103" t="s">
        <v>105</v>
      </c>
      <c r="Z48" s="103" t="s">
        <v>106</v>
      </c>
      <c r="AA48" s="103" t="s">
        <v>137</v>
      </c>
      <c r="AB48" s="117" t="s">
        <v>107</v>
      </c>
      <c r="AD48" s="103" t="s">
        <v>167</v>
      </c>
      <c r="AE48" s="103" t="s">
        <v>168</v>
      </c>
      <c r="AF48" s="103" t="s">
        <v>169</v>
      </c>
      <c r="AJ48" s="103" t="s">
        <v>177</v>
      </c>
      <c r="AK48" s="103" t="s">
        <v>176</v>
      </c>
    </row>
    <row r="49" spans="1:37" x14ac:dyDescent="0.35">
      <c r="A49" s="96">
        <v>20</v>
      </c>
      <c r="B49" s="120" t="s">
        <v>162</v>
      </c>
      <c r="C49" s="111" t="s">
        <v>157</v>
      </c>
      <c r="D49" s="111" t="s">
        <v>170</v>
      </c>
      <c r="E49" s="111"/>
      <c r="F49" s="111" t="s">
        <v>158</v>
      </c>
      <c r="G49" s="108">
        <f>'time-factors'!B$36*'time-factors'!B70</f>
        <v>2.2893081761006289</v>
      </c>
      <c r="H49" s="166">
        <f>'time-factors'!I70</f>
        <v>0.15</v>
      </c>
      <c r="I49" s="168" t="s">
        <v>166</v>
      </c>
      <c r="J49" s="96">
        <f>'time-factors'!O$46</f>
        <v>20</v>
      </c>
      <c r="K49" s="170">
        <f>'time-factors'!I$46</f>
        <v>0.05</v>
      </c>
      <c r="L49" s="172">
        <f t="shared" ref="L49:L73" si="22">PMT(K49,J49,-H49)</f>
        <v>1.2036388078603697E-2</v>
      </c>
      <c r="M49" s="171">
        <v>0.02</v>
      </c>
      <c r="N49" s="168">
        <f t="shared" ref="N49:N73" si="23">M49*H49</f>
        <v>3.0000000000000001E-3</v>
      </c>
      <c r="O49" s="168">
        <v>1.5</v>
      </c>
      <c r="P49" s="177">
        <v>200</v>
      </c>
      <c r="Q49" s="115">
        <f t="shared" ref="Q49:Q73" si="24">P49*O49*0.001</f>
        <v>0.3</v>
      </c>
      <c r="R49" s="114">
        <f t="shared" ref="R49:R73" si="25">L49+N49+Q49</f>
        <v>0.31503638807860368</v>
      </c>
      <c r="S49" s="114">
        <f>2*O49</f>
        <v>3</v>
      </c>
      <c r="T49" s="114">
        <v>0.1</v>
      </c>
      <c r="U49" s="111">
        <f t="shared" ref="U49:U73" si="26">T49*S49</f>
        <v>0.30000000000000004</v>
      </c>
      <c r="V49" s="111">
        <f t="shared" ref="V49:V73" si="27">R49/U49</f>
        <v>1.0501212935953455</v>
      </c>
      <c r="W49" s="111">
        <v>200</v>
      </c>
      <c r="X49" s="111">
        <f t="shared" ref="X49:X73" si="28">W49*S49*0.001</f>
        <v>0.6</v>
      </c>
      <c r="Y49" s="111">
        <f t="shared" ref="Y49:Y55" si="29">$AC$2</f>
        <v>0</v>
      </c>
      <c r="Z49" s="111">
        <f t="shared" ref="Z49:Z73" si="30">Y49*U49</f>
        <v>0</v>
      </c>
      <c r="AA49" s="114">
        <f t="shared" ref="AA49:AA73" si="31">R49-X49-Z49</f>
        <v>-0.2849636119213963</v>
      </c>
      <c r="AB49" s="111">
        <f t="shared" ref="AB49:AB73" si="32">AA49/U49</f>
        <v>-0.94987870640465422</v>
      </c>
      <c r="AD49" s="107">
        <f t="shared" ref="AD49:AD73" si="33">L49/U49</f>
        <v>4.012129359534565E-2</v>
      </c>
      <c r="AE49" s="23">
        <f t="shared" ref="AE49:AE73" si="34">N49/U49</f>
        <v>9.9999999999999985E-3</v>
      </c>
      <c r="AF49" s="108">
        <f t="shared" ref="AF49:AF73" si="35">Q49/U49</f>
        <v>0.99999999999999978</v>
      </c>
      <c r="AH49" s="104">
        <f>G49</f>
        <v>2.2893081761006289</v>
      </c>
      <c r="AJ49" s="104">
        <f>AH49</f>
        <v>2.2893081761006289</v>
      </c>
      <c r="AK49" s="23">
        <f t="shared" ref="AK49:AK73" si="36">AB49</f>
        <v>-0.94987870640465422</v>
      </c>
    </row>
    <row r="50" spans="1:37" x14ac:dyDescent="0.35">
      <c r="A50" s="96">
        <v>21</v>
      </c>
      <c r="B50" s="120" t="s">
        <v>160</v>
      </c>
      <c r="C50" s="48" t="s">
        <v>163</v>
      </c>
      <c r="D50" s="111" t="s">
        <v>170</v>
      </c>
      <c r="E50" s="111"/>
      <c r="F50" s="48" t="s">
        <v>158</v>
      </c>
      <c r="G50" s="108">
        <f>'time-factors'!B$36*'time-factors'!B71</f>
        <v>4.1970649895178198</v>
      </c>
      <c r="H50" s="166">
        <f>'time-factors'!I71</f>
        <v>0.25</v>
      </c>
      <c r="I50" s="168" t="s">
        <v>166</v>
      </c>
      <c r="J50" s="96">
        <f>'time-factors'!O$46</f>
        <v>20</v>
      </c>
      <c r="K50" s="170">
        <f>'time-factors'!I$46</f>
        <v>0.05</v>
      </c>
      <c r="L50" s="172">
        <f t="shared" si="22"/>
        <v>2.0060646797672832E-2</v>
      </c>
      <c r="M50" s="171">
        <v>0.02</v>
      </c>
      <c r="N50" s="168">
        <f t="shared" si="23"/>
        <v>5.0000000000000001E-3</v>
      </c>
      <c r="O50" s="168">
        <v>4.4000000000000004</v>
      </c>
      <c r="P50" s="177">
        <v>200</v>
      </c>
      <c r="Q50" s="115">
        <f t="shared" si="24"/>
        <v>0.88000000000000012</v>
      </c>
      <c r="R50" s="114">
        <f t="shared" si="25"/>
        <v>0.90506064679767295</v>
      </c>
      <c r="S50" s="114">
        <f>1.2*O50</f>
        <v>5.28</v>
      </c>
      <c r="T50" s="114">
        <v>0.1</v>
      </c>
      <c r="U50" s="111">
        <f t="shared" si="26"/>
        <v>0.52800000000000002</v>
      </c>
      <c r="V50" s="111">
        <f t="shared" si="27"/>
        <v>1.7141300128743806</v>
      </c>
      <c r="W50" s="111">
        <v>200</v>
      </c>
      <c r="X50" s="111">
        <f t="shared" si="28"/>
        <v>1.056</v>
      </c>
      <c r="Y50" s="111">
        <f t="shared" si="29"/>
        <v>0</v>
      </c>
      <c r="Z50" s="111">
        <f t="shared" si="30"/>
        <v>0</v>
      </c>
      <c r="AA50" s="114">
        <f t="shared" si="31"/>
        <v>-0.1509393532023271</v>
      </c>
      <c r="AB50" s="111">
        <f t="shared" si="32"/>
        <v>-0.28586998712561951</v>
      </c>
      <c r="AD50" s="107">
        <f t="shared" si="33"/>
        <v>3.7993649238016729E-2</v>
      </c>
      <c r="AE50" s="23">
        <f t="shared" si="34"/>
        <v>9.46969696969697E-3</v>
      </c>
      <c r="AF50" s="108">
        <f t="shared" si="35"/>
        <v>1.6666666666666667</v>
      </c>
      <c r="AH50" s="104">
        <f t="shared" ref="AH50:AH73" si="37">G50</f>
        <v>4.1970649895178198</v>
      </c>
      <c r="AJ50" s="104">
        <f>AJ49+AH50</f>
        <v>6.4863731656184491</v>
      </c>
      <c r="AK50" s="23">
        <f t="shared" si="36"/>
        <v>-0.28586998712561951</v>
      </c>
    </row>
    <row r="51" spans="1:37" ht="29" x14ac:dyDescent="0.35">
      <c r="A51" s="96">
        <v>22</v>
      </c>
      <c r="B51" s="120" t="s">
        <v>161</v>
      </c>
      <c r="C51" s="48" t="s">
        <v>163</v>
      </c>
      <c r="D51" s="111" t="s">
        <v>170</v>
      </c>
      <c r="E51" s="111"/>
      <c r="F51" s="48" t="s">
        <v>158</v>
      </c>
      <c r="G51" s="108">
        <f>'time-factors'!B$36*'time-factors'!B72</f>
        <v>2.2893081761006289</v>
      </c>
      <c r="H51" s="166">
        <f>'time-factors'!I72</f>
        <v>0.5</v>
      </c>
      <c r="I51" s="168" t="s">
        <v>166</v>
      </c>
      <c r="J51" s="96">
        <f>'time-factors'!O$46</f>
        <v>20</v>
      </c>
      <c r="K51" s="170">
        <f>'time-factors'!I$46</f>
        <v>0.05</v>
      </c>
      <c r="L51" s="172">
        <f t="shared" si="22"/>
        <v>4.0121293595345664E-2</v>
      </c>
      <c r="M51" s="171">
        <v>0.02</v>
      </c>
      <c r="N51" s="168">
        <f t="shared" si="23"/>
        <v>0.01</v>
      </c>
      <c r="O51" s="168">
        <v>4.4000000000000004</v>
      </c>
      <c r="P51" s="177">
        <v>200</v>
      </c>
      <c r="Q51" s="115">
        <f t="shared" si="24"/>
        <v>0.88000000000000012</v>
      </c>
      <c r="R51" s="114">
        <f t="shared" si="25"/>
        <v>0.93012129359534579</v>
      </c>
      <c r="S51" s="114">
        <f>1.2*O51</f>
        <v>5.28</v>
      </c>
      <c r="T51" s="114">
        <v>0.1</v>
      </c>
      <c r="U51" s="111">
        <f t="shared" si="26"/>
        <v>0.52800000000000002</v>
      </c>
      <c r="V51" s="111">
        <f t="shared" si="27"/>
        <v>1.7615933590820942</v>
      </c>
      <c r="W51" s="111">
        <v>200</v>
      </c>
      <c r="X51" s="111">
        <f t="shared" si="28"/>
        <v>1.056</v>
      </c>
      <c r="Y51" s="111">
        <f t="shared" si="29"/>
        <v>0</v>
      </c>
      <c r="Z51" s="111">
        <f t="shared" si="30"/>
        <v>0</v>
      </c>
      <c r="AA51" s="114">
        <f t="shared" si="31"/>
        <v>-0.12587870640465426</v>
      </c>
      <c r="AB51" s="111">
        <f t="shared" si="32"/>
        <v>-0.23840664091790578</v>
      </c>
      <c r="AD51" s="107">
        <f t="shared" si="33"/>
        <v>7.5987298476033457E-2</v>
      </c>
      <c r="AE51" s="23">
        <f t="shared" si="34"/>
        <v>1.893939393939394E-2</v>
      </c>
      <c r="AF51" s="108">
        <f t="shared" si="35"/>
        <v>1.6666666666666667</v>
      </c>
      <c r="AH51" s="104">
        <f t="shared" si="37"/>
        <v>2.2893081761006289</v>
      </c>
      <c r="AJ51" s="104">
        <f t="shared" ref="AJ51:AJ73" si="38">AJ50+AH51</f>
        <v>8.7756813417190784</v>
      </c>
      <c r="AK51" s="23">
        <f t="shared" si="36"/>
        <v>-0.23840664091790578</v>
      </c>
    </row>
    <row r="52" spans="1:37" x14ac:dyDescent="0.35">
      <c r="A52" s="96">
        <v>24</v>
      </c>
      <c r="B52" s="120" t="s">
        <v>165</v>
      </c>
      <c r="C52" s="120" t="s">
        <v>165</v>
      </c>
      <c r="D52" s="111" t="s">
        <v>170</v>
      </c>
      <c r="E52" s="111"/>
      <c r="F52" s="48" t="s">
        <v>158</v>
      </c>
      <c r="G52" s="108">
        <f>'time-factors'!B$36*'time-factors'!B74</f>
        <v>1.5262054507337526</v>
      </c>
      <c r="H52" s="166">
        <f>'time-factors'!I74</f>
        <v>0.5</v>
      </c>
      <c r="I52" s="168" t="s">
        <v>166</v>
      </c>
      <c r="J52" s="96">
        <f>'time-factors'!O$46</f>
        <v>20</v>
      </c>
      <c r="K52" s="170">
        <f>'time-factors'!I$47</f>
        <v>0.05</v>
      </c>
      <c r="L52" s="172">
        <f t="shared" si="22"/>
        <v>4.0121293595345664E-2</v>
      </c>
      <c r="M52" s="171">
        <v>0.02</v>
      </c>
      <c r="N52" s="168">
        <f t="shared" si="23"/>
        <v>0.01</v>
      </c>
      <c r="O52" s="168">
        <v>4.4000000000000004</v>
      </c>
      <c r="P52" s="177">
        <v>200</v>
      </c>
      <c r="Q52" s="115">
        <f t="shared" si="24"/>
        <v>0.88000000000000012</v>
      </c>
      <c r="R52" s="114">
        <f t="shared" si="25"/>
        <v>0.93012129359534579</v>
      </c>
      <c r="S52" s="114">
        <f>1.2*O52</f>
        <v>5.28</v>
      </c>
      <c r="T52" s="114">
        <v>0.1</v>
      </c>
      <c r="U52" s="111">
        <f t="shared" si="26"/>
        <v>0.52800000000000002</v>
      </c>
      <c r="V52" s="111">
        <f t="shared" si="27"/>
        <v>1.7615933590820942</v>
      </c>
      <c r="W52" s="111">
        <v>200</v>
      </c>
      <c r="X52" s="111">
        <f t="shared" si="28"/>
        <v>1.056</v>
      </c>
      <c r="Y52" s="111">
        <f t="shared" si="29"/>
        <v>0</v>
      </c>
      <c r="Z52" s="111">
        <f t="shared" si="30"/>
        <v>0</v>
      </c>
      <c r="AA52" s="114">
        <f t="shared" si="31"/>
        <v>-0.12587870640465426</v>
      </c>
      <c r="AB52" s="111">
        <f t="shared" si="32"/>
        <v>-0.23840664091790578</v>
      </c>
      <c r="AD52" s="107">
        <f t="shared" si="33"/>
        <v>7.5987298476033457E-2</v>
      </c>
      <c r="AE52" s="23">
        <f t="shared" si="34"/>
        <v>1.893939393939394E-2</v>
      </c>
      <c r="AF52" s="108">
        <f t="shared" si="35"/>
        <v>1.6666666666666667</v>
      </c>
      <c r="AH52" s="104">
        <f t="shared" si="37"/>
        <v>1.5262054507337526</v>
      </c>
      <c r="AJ52" s="104">
        <f t="shared" si="38"/>
        <v>10.30188679245283</v>
      </c>
      <c r="AK52" s="23">
        <f t="shared" si="36"/>
        <v>-0.23840664091790578</v>
      </c>
    </row>
    <row r="53" spans="1:37" x14ac:dyDescent="0.35">
      <c r="A53" s="96">
        <v>23</v>
      </c>
      <c r="B53" s="120" t="s">
        <v>164</v>
      </c>
      <c r="C53" s="48" t="s">
        <v>163</v>
      </c>
      <c r="D53" s="111" t="s">
        <v>170</v>
      </c>
      <c r="E53" s="111"/>
      <c r="F53" s="48" t="s">
        <v>158</v>
      </c>
      <c r="G53" s="108">
        <f>'time-factors'!B$36*'time-factors'!B73</f>
        <v>3.8155136268343814</v>
      </c>
      <c r="H53" s="166">
        <f>'time-factors'!I73</f>
        <v>1</v>
      </c>
      <c r="I53" s="168" t="s">
        <v>166</v>
      </c>
      <c r="J53" s="96">
        <f>'time-factors'!O$46</f>
        <v>20</v>
      </c>
      <c r="K53" s="170">
        <f>'time-factors'!I$46</f>
        <v>0.05</v>
      </c>
      <c r="L53" s="172">
        <f t="shared" si="22"/>
        <v>8.0242587190691328E-2</v>
      </c>
      <c r="M53" s="171">
        <v>0.02</v>
      </c>
      <c r="N53" s="168">
        <f t="shared" si="23"/>
        <v>0.02</v>
      </c>
      <c r="O53" s="168">
        <v>4.4000000000000004</v>
      </c>
      <c r="P53" s="177">
        <v>200</v>
      </c>
      <c r="Q53" s="115">
        <f t="shared" si="24"/>
        <v>0.88000000000000012</v>
      </c>
      <c r="R53" s="114">
        <f t="shared" si="25"/>
        <v>0.98024258719069146</v>
      </c>
      <c r="S53" s="114">
        <f>1.2*O53</f>
        <v>5.28</v>
      </c>
      <c r="T53" s="114">
        <v>0.1</v>
      </c>
      <c r="U53" s="111">
        <f t="shared" si="26"/>
        <v>0.52800000000000002</v>
      </c>
      <c r="V53" s="111">
        <f t="shared" si="27"/>
        <v>1.8565200514975215</v>
      </c>
      <c r="W53" s="111">
        <v>200</v>
      </c>
      <c r="X53" s="111">
        <f t="shared" si="28"/>
        <v>1.056</v>
      </c>
      <c r="Y53" s="111">
        <f t="shared" si="29"/>
        <v>0</v>
      </c>
      <c r="Z53" s="111">
        <f t="shared" si="30"/>
        <v>0</v>
      </c>
      <c r="AA53" s="114">
        <f t="shared" si="31"/>
        <v>-7.5757412809308589E-2</v>
      </c>
      <c r="AB53" s="111">
        <f t="shared" si="32"/>
        <v>-0.14347994850247839</v>
      </c>
      <c r="AD53" s="107">
        <f t="shared" si="33"/>
        <v>0.15197459695206691</v>
      </c>
      <c r="AE53" s="23">
        <f t="shared" si="34"/>
        <v>3.787878787878788E-2</v>
      </c>
      <c r="AF53" s="108">
        <f t="shared" si="35"/>
        <v>1.6666666666666667</v>
      </c>
      <c r="AH53" s="104">
        <f t="shared" si="37"/>
        <v>3.8155136268343814</v>
      </c>
      <c r="AJ53" s="104">
        <f t="shared" si="38"/>
        <v>14.117400419287211</v>
      </c>
      <c r="AK53" s="23">
        <f t="shared" si="36"/>
        <v>-0.14347994850247839</v>
      </c>
    </row>
    <row r="54" spans="1:37" x14ac:dyDescent="0.35">
      <c r="A54" s="96">
        <v>19</v>
      </c>
      <c r="B54" s="120" t="s">
        <v>140</v>
      </c>
      <c r="C54" s="111" t="s">
        <v>157</v>
      </c>
      <c r="D54" s="111" t="s">
        <v>170</v>
      </c>
      <c r="E54" s="111"/>
      <c r="F54" s="111" t="s">
        <v>159</v>
      </c>
      <c r="G54" s="108">
        <f>'time-factors'!B$36*'time-factors'!B69</f>
        <v>4.7693920335429771</v>
      </c>
      <c r="H54" s="166">
        <f>'time-factors'!I69</f>
        <v>2</v>
      </c>
      <c r="I54" s="168" t="s">
        <v>166</v>
      </c>
      <c r="J54" s="96">
        <f>'time-factors'!O$45</f>
        <v>15</v>
      </c>
      <c r="K54" s="170">
        <f>'time-factors'!I$45</f>
        <v>0.05</v>
      </c>
      <c r="L54" s="172">
        <f t="shared" si="22"/>
        <v>0.19268457521848875</v>
      </c>
      <c r="M54" s="171">
        <v>0</v>
      </c>
      <c r="N54" s="168">
        <f t="shared" si="23"/>
        <v>0</v>
      </c>
      <c r="O54" s="168">
        <v>2.63</v>
      </c>
      <c r="P54" s="177">
        <v>200</v>
      </c>
      <c r="Q54" s="115">
        <f t="shared" si="24"/>
        <v>0.52600000000000002</v>
      </c>
      <c r="R54" s="114">
        <f t="shared" si="25"/>
        <v>0.71868457521848872</v>
      </c>
      <c r="S54" s="114">
        <f>3.5*O54</f>
        <v>9.2050000000000001</v>
      </c>
      <c r="T54" s="114">
        <v>0.18</v>
      </c>
      <c r="U54" s="111">
        <f t="shared" si="26"/>
        <v>1.6569</v>
      </c>
      <c r="V54" s="111">
        <f t="shared" si="27"/>
        <v>0.43375253498611183</v>
      </c>
      <c r="W54" s="116">
        <v>103</v>
      </c>
      <c r="X54" s="111">
        <f t="shared" si="28"/>
        <v>0.94811500000000004</v>
      </c>
      <c r="Y54" s="111">
        <f t="shared" si="29"/>
        <v>0</v>
      </c>
      <c r="Z54" s="111">
        <f t="shared" si="30"/>
        <v>0</v>
      </c>
      <c r="AA54" s="114">
        <f t="shared" si="31"/>
        <v>-0.22943042478151132</v>
      </c>
      <c r="AB54" s="111">
        <f t="shared" si="32"/>
        <v>-0.13846968723611039</v>
      </c>
      <c r="AD54" s="107">
        <f t="shared" si="33"/>
        <v>0.1162922175257944</v>
      </c>
      <c r="AE54" s="23">
        <f t="shared" si="34"/>
        <v>0</v>
      </c>
      <c r="AF54" s="108">
        <f t="shared" si="35"/>
        <v>0.31746031746031744</v>
      </c>
      <c r="AH54" s="104">
        <f t="shared" si="37"/>
        <v>4.7693920335429771</v>
      </c>
      <c r="AJ54" s="104">
        <f t="shared" si="38"/>
        <v>18.886792452830189</v>
      </c>
      <c r="AK54" s="23">
        <f t="shared" si="36"/>
        <v>-0.13846968723611039</v>
      </c>
    </row>
    <row r="55" spans="1:37" ht="29" x14ac:dyDescent="0.35">
      <c r="A55" s="96">
        <v>25</v>
      </c>
      <c r="B55" s="121" t="s">
        <v>204</v>
      </c>
      <c r="C55" s="24" t="s">
        <v>41</v>
      </c>
      <c r="D55" s="24" t="s">
        <v>198</v>
      </c>
      <c r="E55" s="24"/>
      <c r="F55" s="24" t="s">
        <v>203</v>
      </c>
      <c r="G55" s="108">
        <f>'time-factors'!B$36*'time-factors'!B75</f>
        <v>4.7693920335429771</v>
      </c>
      <c r="H55" s="166">
        <f>'time-factors'!I75</f>
        <v>4.0999999999999996</v>
      </c>
      <c r="I55" s="53" t="s">
        <v>166</v>
      </c>
      <c r="J55" s="96">
        <f>'time-factors'!O$47</f>
        <v>10</v>
      </c>
      <c r="K55" s="170">
        <f>'time-factors'!I$46</f>
        <v>0.05</v>
      </c>
      <c r="L55" s="55">
        <f t="shared" si="22"/>
        <v>0.53096875735837223</v>
      </c>
      <c r="M55" s="54">
        <v>0</v>
      </c>
      <c r="N55" s="53">
        <f t="shared" si="23"/>
        <v>0</v>
      </c>
      <c r="O55" s="53">
        <v>2.2000000000000002</v>
      </c>
      <c r="P55" s="178">
        <v>200</v>
      </c>
      <c r="Q55" s="56">
        <f t="shared" si="24"/>
        <v>0.44000000000000006</v>
      </c>
      <c r="R55" s="55">
        <f t="shared" si="25"/>
        <v>0.97096875735837229</v>
      </c>
      <c r="S55" s="59">
        <f>2*O55</f>
        <v>4.4000000000000004</v>
      </c>
      <c r="T55" s="59">
        <v>0.27</v>
      </c>
      <c r="U55" s="53">
        <f t="shared" si="26"/>
        <v>1.1880000000000002</v>
      </c>
      <c r="V55" s="53">
        <f t="shared" si="27"/>
        <v>0.81731376882017859</v>
      </c>
      <c r="W55" s="53">
        <v>200</v>
      </c>
      <c r="X55" s="57">
        <f t="shared" si="28"/>
        <v>0.88000000000000012</v>
      </c>
      <c r="Y55" s="53">
        <f t="shared" si="29"/>
        <v>0</v>
      </c>
      <c r="Z55" s="53">
        <f t="shared" si="30"/>
        <v>0</v>
      </c>
      <c r="AA55" s="55">
        <f t="shared" si="31"/>
        <v>9.0968757358372176E-2</v>
      </c>
      <c r="AB55" s="53">
        <f t="shared" si="32"/>
        <v>7.6573028079437847E-2</v>
      </c>
      <c r="AD55" s="107">
        <f t="shared" si="33"/>
        <v>0.44694339844980824</v>
      </c>
      <c r="AE55" s="23">
        <f t="shared" si="34"/>
        <v>0</v>
      </c>
      <c r="AF55" s="108">
        <f t="shared" si="35"/>
        <v>0.37037037037037035</v>
      </c>
      <c r="AH55" s="104">
        <f t="shared" si="37"/>
        <v>4.7693920335429771</v>
      </c>
      <c r="AJ55" s="104">
        <f t="shared" si="38"/>
        <v>23.656184486373167</v>
      </c>
      <c r="AK55" s="23">
        <f t="shared" si="36"/>
        <v>7.6573028079437847E-2</v>
      </c>
    </row>
    <row r="56" spans="1:37" x14ac:dyDescent="0.35">
      <c r="A56" s="96">
        <v>12</v>
      </c>
      <c r="B56" s="118" t="s">
        <v>151</v>
      </c>
      <c r="C56" s="23" t="s">
        <v>139</v>
      </c>
      <c r="D56" s="23" t="s">
        <v>171</v>
      </c>
      <c r="E56" s="23" t="s">
        <v>128</v>
      </c>
      <c r="F56" s="23" t="s">
        <v>83</v>
      </c>
      <c r="G56" s="108">
        <f>'time-factors'!B$36*'time-factors'!B62</f>
        <v>0.38155136268343814</v>
      </c>
      <c r="H56" s="166">
        <f>'time-factors'!I62</f>
        <v>45</v>
      </c>
      <c r="I56" s="96" t="s">
        <v>98</v>
      </c>
      <c r="J56" s="96">
        <f>'time-factors'!O$43</f>
        <v>10</v>
      </c>
      <c r="K56" s="170">
        <f>'time-factors'!I$43</f>
        <v>0.05</v>
      </c>
      <c r="L56" s="173">
        <f t="shared" si="22"/>
        <v>5.8277058734455496</v>
      </c>
      <c r="M56" s="170">
        <v>0</v>
      </c>
      <c r="N56" s="96">
        <f t="shared" si="23"/>
        <v>0</v>
      </c>
      <c r="O56" s="167" cm="1">
        <f t="array" ref="O56">IFERROR(_xlfn.IFS(E56="Heavy", 'vehicle E calcs'!$H$33,E56="Cars/vans",'vehicle E calcs'!$H$32),"")</f>
        <v>6.3768270755398833</v>
      </c>
      <c r="P56" s="106">
        <v>200</v>
      </c>
      <c r="Q56" s="108">
        <f t="shared" si="24"/>
        <v>1.2753654151079765</v>
      </c>
      <c r="R56" s="107">
        <f t="shared" si="25"/>
        <v>7.1030712885535259</v>
      </c>
      <c r="S56" s="107" cm="1">
        <f t="array" ref="S56">_xlfn.IFS(E56="Heavy", 'vehicle E calcs'!$T$21,E56="Cars/vans",'vehicle E calcs'!$S$21)*O56</f>
        <v>23.354986057632608</v>
      </c>
      <c r="T56" s="109">
        <v>0.27</v>
      </c>
      <c r="U56" s="23">
        <f t="shared" si="26"/>
        <v>6.3058462355608045</v>
      </c>
      <c r="V56" s="23">
        <f t="shared" si="27"/>
        <v>1.1264263388626412</v>
      </c>
      <c r="W56" s="106">
        <f t="shared" ref="W56:W73" si="39">W$2*105</f>
        <v>168</v>
      </c>
      <c r="X56" s="23">
        <f t="shared" si="28"/>
        <v>3.9236376576822782</v>
      </c>
      <c r="Y56" s="96">
        <f t="shared" ref="Y56:Y73" si="40">$Z$2</f>
        <v>0</v>
      </c>
      <c r="Z56" s="23">
        <f t="shared" si="30"/>
        <v>0</v>
      </c>
      <c r="AA56" s="107">
        <f t="shared" si="31"/>
        <v>3.1794336308712476</v>
      </c>
      <c r="AB56" s="23">
        <f t="shared" si="32"/>
        <v>0.50420411664041909</v>
      </c>
      <c r="AD56" s="107">
        <f t="shared" si="33"/>
        <v>0.92417506798391957</v>
      </c>
      <c r="AE56" s="23">
        <f t="shared" si="34"/>
        <v>0</v>
      </c>
      <c r="AF56" s="108">
        <f t="shared" si="35"/>
        <v>0.20225127087872183</v>
      </c>
      <c r="AH56" s="104">
        <f t="shared" si="37"/>
        <v>0.38155136268343814</v>
      </c>
      <c r="AJ56" s="104">
        <f t="shared" si="38"/>
        <v>24.037735849056606</v>
      </c>
      <c r="AK56" s="23">
        <f t="shared" si="36"/>
        <v>0.50420411664041909</v>
      </c>
    </row>
    <row r="57" spans="1:37" x14ac:dyDescent="0.35">
      <c r="A57" s="96">
        <v>16</v>
      </c>
      <c r="B57" s="118" t="s">
        <v>154</v>
      </c>
      <c r="C57" s="23" t="s">
        <v>139</v>
      </c>
      <c r="D57" s="23" t="s">
        <v>171</v>
      </c>
      <c r="E57" s="23" t="s">
        <v>128</v>
      </c>
      <c r="F57" s="23" t="s">
        <v>83</v>
      </c>
      <c r="G57" s="108">
        <f>'time-factors'!B$36*'time-factors'!B66</f>
        <v>0.38155136268343814</v>
      </c>
      <c r="H57" s="166">
        <f>'time-factors'!I66</f>
        <v>45</v>
      </c>
      <c r="I57" s="96" t="s">
        <v>98</v>
      </c>
      <c r="J57" s="96">
        <f>'time-factors'!O$43</f>
        <v>10</v>
      </c>
      <c r="K57" s="170">
        <f>'time-factors'!I$43</f>
        <v>0.05</v>
      </c>
      <c r="L57" s="173">
        <f t="shared" si="22"/>
        <v>5.8277058734455496</v>
      </c>
      <c r="M57" s="170">
        <v>0</v>
      </c>
      <c r="N57" s="96">
        <f t="shared" si="23"/>
        <v>0</v>
      </c>
      <c r="O57" s="167" cm="1">
        <f t="array" ref="O57">IFERROR(_xlfn.IFS(E57="Heavy", 'vehicle E calcs'!$H$33,E57="Cars/vans",'vehicle E calcs'!$H$32),"")</f>
        <v>6.3768270755398833</v>
      </c>
      <c r="P57" s="106">
        <v>200</v>
      </c>
      <c r="Q57" s="108">
        <f t="shared" si="24"/>
        <v>1.2753654151079765</v>
      </c>
      <c r="R57" s="107">
        <f t="shared" si="25"/>
        <v>7.1030712885535259</v>
      </c>
      <c r="S57" s="107" cm="1">
        <f t="array" ref="S57">_xlfn.IFS(E57="Heavy", 'vehicle E calcs'!$T$21,E57="Cars/vans",'vehicle E calcs'!$S$21)*O57</f>
        <v>23.354986057632608</v>
      </c>
      <c r="T57" s="109">
        <v>0.27</v>
      </c>
      <c r="U57" s="23">
        <f t="shared" si="26"/>
        <v>6.3058462355608045</v>
      </c>
      <c r="V57" s="23">
        <f t="shared" si="27"/>
        <v>1.1264263388626412</v>
      </c>
      <c r="W57" s="106">
        <f t="shared" si="39"/>
        <v>168</v>
      </c>
      <c r="X57" s="23">
        <f t="shared" si="28"/>
        <v>3.9236376576822782</v>
      </c>
      <c r="Y57" s="96">
        <f t="shared" si="40"/>
        <v>0</v>
      </c>
      <c r="Z57" s="23">
        <f t="shared" si="30"/>
        <v>0</v>
      </c>
      <c r="AA57" s="107">
        <f t="shared" si="31"/>
        <v>3.1794336308712476</v>
      </c>
      <c r="AB57" s="23">
        <f t="shared" si="32"/>
        <v>0.50420411664041909</v>
      </c>
      <c r="AD57" s="107">
        <f t="shared" si="33"/>
        <v>0.92417506798391957</v>
      </c>
      <c r="AE57" s="23">
        <f t="shared" si="34"/>
        <v>0</v>
      </c>
      <c r="AF57" s="108">
        <f t="shared" si="35"/>
        <v>0.20225127087872183</v>
      </c>
      <c r="AH57" s="104">
        <f t="shared" si="37"/>
        <v>0.38155136268343814</v>
      </c>
      <c r="AJ57" s="104">
        <f t="shared" si="38"/>
        <v>24.419287211740045</v>
      </c>
      <c r="AK57" s="23">
        <f t="shared" si="36"/>
        <v>0.50420411664041909</v>
      </c>
    </row>
    <row r="58" spans="1:37" ht="45.5" x14ac:dyDescent="0.35">
      <c r="A58" s="96">
        <v>13</v>
      </c>
      <c r="B58" s="118" t="s">
        <v>232</v>
      </c>
      <c r="C58" s="23" t="s">
        <v>139</v>
      </c>
      <c r="D58" s="23" t="s">
        <v>171</v>
      </c>
      <c r="E58" s="23" t="s">
        <v>188</v>
      </c>
      <c r="F58" s="23" t="s">
        <v>83</v>
      </c>
      <c r="G58" s="108">
        <f>'time-factors'!B$36*'time-factors'!B63</f>
        <v>0.41970649895178197</v>
      </c>
      <c r="H58" s="166">
        <f>'time-factors'!I63</f>
        <v>77.5</v>
      </c>
      <c r="I58" s="96" t="s">
        <v>98</v>
      </c>
      <c r="J58" s="96">
        <f>'time-factors'!O$43</f>
        <v>10</v>
      </c>
      <c r="K58" s="170">
        <f>'time-factors'!I$43</f>
        <v>0.05</v>
      </c>
      <c r="L58" s="173">
        <f t="shared" si="22"/>
        <v>10.036604559822891</v>
      </c>
      <c r="M58" s="170">
        <v>0</v>
      </c>
      <c r="N58" s="96">
        <f t="shared" si="23"/>
        <v>0</v>
      </c>
      <c r="O58" s="167" cm="1">
        <f t="array" ref="O58">IFERROR(_xlfn.IFS(E58="Heavy", 'vehicle E calcs'!$H$33,E58="Cars/vans",'vehicle E calcs'!$H$32),"")</f>
        <v>7.1233383316924828</v>
      </c>
      <c r="P58" s="106">
        <v>200</v>
      </c>
      <c r="Q58" s="108">
        <f t="shared" si="24"/>
        <v>1.4246676663384965</v>
      </c>
      <c r="R58" s="107">
        <f t="shared" si="25"/>
        <v>11.461272226161388</v>
      </c>
      <c r="S58" s="107" cm="1">
        <f t="array" ref="S58">_xlfn.IFS(E58="Heavy", 'vehicle E calcs'!$T$21,E58="Cars/vans",'vehicle E calcs'!$S$21)*O58</f>
        <v>24.362584419881831</v>
      </c>
      <c r="T58" s="109">
        <v>0.27</v>
      </c>
      <c r="U58" s="23">
        <f t="shared" si="26"/>
        <v>6.5778977933680949</v>
      </c>
      <c r="V58" s="23">
        <f t="shared" si="27"/>
        <v>1.7423913514917733</v>
      </c>
      <c r="W58" s="106">
        <f t="shared" si="39"/>
        <v>168</v>
      </c>
      <c r="X58" s="23">
        <f t="shared" si="28"/>
        <v>4.0929141825401478</v>
      </c>
      <c r="Y58" s="96">
        <f t="shared" si="40"/>
        <v>0</v>
      </c>
      <c r="Z58" s="23">
        <f t="shared" si="30"/>
        <v>0</v>
      </c>
      <c r="AA58" s="107">
        <f t="shared" si="31"/>
        <v>7.3683580436212397</v>
      </c>
      <c r="AB58" s="23">
        <f t="shared" si="32"/>
        <v>1.120169129269551</v>
      </c>
      <c r="AD58" s="107">
        <f t="shared" si="33"/>
        <v>1.5258073133854253</v>
      </c>
      <c r="AE58" s="23">
        <f t="shared" si="34"/>
        <v>0</v>
      </c>
      <c r="AF58" s="108">
        <f t="shared" si="35"/>
        <v>0.2165840381063478</v>
      </c>
      <c r="AH58" s="104">
        <f t="shared" si="37"/>
        <v>0.41970649895178197</v>
      </c>
      <c r="AJ58" s="104">
        <f t="shared" si="38"/>
        <v>24.838993710691827</v>
      </c>
      <c r="AK58" s="23">
        <f t="shared" si="36"/>
        <v>1.120169129269551</v>
      </c>
    </row>
    <row r="59" spans="1:37" x14ac:dyDescent="0.35">
      <c r="A59" s="96">
        <v>11</v>
      </c>
      <c r="B59" s="118" t="s">
        <v>150</v>
      </c>
      <c r="C59" s="23" t="s">
        <v>139</v>
      </c>
      <c r="D59" s="23" t="s">
        <v>171</v>
      </c>
      <c r="E59" s="23" t="s">
        <v>128</v>
      </c>
      <c r="F59" s="23" t="s">
        <v>83</v>
      </c>
      <c r="G59" s="108">
        <f>'time-factors'!B$36*'time-factors'!B61</f>
        <v>0.19077568134171907</v>
      </c>
      <c r="H59" s="166">
        <f>'time-factors'!I61</f>
        <v>77.5</v>
      </c>
      <c r="I59" s="96" t="s">
        <v>98</v>
      </c>
      <c r="J59" s="96">
        <f>'time-factors'!O$43</f>
        <v>10</v>
      </c>
      <c r="K59" s="170">
        <f>'time-factors'!I$43</f>
        <v>0.05</v>
      </c>
      <c r="L59" s="173">
        <f t="shared" si="22"/>
        <v>10.036604559822891</v>
      </c>
      <c r="M59" s="170">
        <v>0</v>
      </c>
      <c r="N59" s="96">
        <f t="shared" si="23"/>
        <v>0</v>
      </c>
      <c r="O59" s="167" cm="1">
        <f t="array" ref="O59">IFERROR(_xlfn.IFS(E59="Heavy", 'vehicle E calcs'!$H$33,E59="Cars/vans",'vehicle E calcs'!$H$32),"")</f>
        <v>6.3768270755398833</v>
      </c>
      <c r="P59" s="106">
        <v>200</v>
      </c>
      <c r="Q59" s="108">
        <f t="shared" si="24"/>
        <v>1.2753654151079765</v>
      </c>
      <c r="R59" s="107">
        <f t="shared" si="25"/>
        <v>11.311969974930868</v>
      </c>
      <c r="S59" s="107" cm="1">
        <f t="array" ref="S59">_xlfn.IFS(E59="Heavy", 'vehicle E calcs'!$T$21,E59="Cars/vans",'vehicle E calcs'!$S$21)*O59</f>
        <v>23.354986057632608</v>
      </c>
      <c r="T59" s="109">
        <v>0.27</v>
      </c>
      <c r="U59" s="23">
        <f t="shared" si="26"/>
        <v>6.3058462355608045</v>
      </c>
      <c r="V59" s="23">
        <f t="shared" si="27"/>
        <v>1.7938861101843611</v>
      </c>
      <c r="W59" s="106">
        <f t="shared" si="39"/>
        <v>168</v>
      </c>
      <c r="X59" s="23">
        <f t="shared" si="28"/>
        <v>3.9236376576822782</v>
      </c>
      <c r="Y59" s="96">
        <f t="shared" si="40"/>
        <v>0</v>
      </c>
      <c r="Z59" s="23">
        <f t="shared" si="30"/>
        <v>0</v>
      </c>
      <c r="AA59" s="107">
        <f t="shared" si="31"/>
        <v>7.3883323172485902</v>
      </c>
      <c r="AB59" s="23">
        <f t="shared" si="32"/>
        <v>1.1716638879621391</v>
      </c>
      <c r="AD59" s="107">
        <f t="shared" si="33"/>
        <v>1.5916348393056392</v>
      </c>
      <c r="AE59" s="23">
        <f t="shared" si="34"/>
        <v>0</v>
      </c>
      <c r="AF59" s="108">
        <f t="shared" si="35"/>
        <v>0.20225127087872183</v>
      </c>
      <c r="AH59" s="104">
        <f t="shared" si="37"/>
        <v>0.19077568134171907</v>
      </c>
      <c r="AJ59" s="104">
        <f t="shared" si="38"/>
        <v>25.029769392033547</v>
      </c>
      <c r="AK59" s="23">
        <f t="shared" si="36"/>
        <v>1.1716638879621391</v>
      </c>
    </row>
    <row r="60" spans="1:37" x14ac:dyDescent="0.35">
      <c r="A60" s="96">
        <v>6</v>
      </c>
      <c r="B60" s="118" t="s">
        <v>146</v>
      </c>
      <c r="C60" s="23" t="s">
        <v>139</v>
      </c>
      <c r="D60" s="23" t="s">
        <v>171</v>
      </c>
      <c r="E60" s="23" t="s">
        <v>188</v>
      </c>
      <c r="F60" s="23" t="s">
        <v>83</v>
      </c>
      <c r="G60" s="108">
        <f>'time-factors'!B$36*'time-factors'!B56</f>
        <v>0.55324947589098528</v>
      </c>
      <c r="H60" s="166">
        <f>'time-factors'!I56</f>
        <v>148.64528000000001</v>
      </c>
      <c r="I60" s="96" t="s">
        <v>98</v>
      </c>
      <c r="J60" s="96">
        <f>'time-factors'!O$43</f>
        <v>10</v>
      </c>
      <c r="K60" s="170">
        <f>'time-factors'!I$43</f>
        <v>0.05</v>
      </c>
      <c r="L60" s="173">
        <f t="shared" si="22"/>
        <v>19.250243807021299</v>
      </c>
      <c r="M60" s="170">
        <v>0</v>
      </c>
      <c r="N60" s="96">
        <f t="shared" si="23"/>
        <v>0</v>
      </c>
      <c r="O60" s="167" cm="1">
        <f t="array" ref="O60">IFERROR(_xlfn.IFS(E60="Heavy", 'vehicle E calcs'!$H$33,E60="Cars/vans",'vehicle E calcs'!$H$32),"")</f>
        <v>7.1233383316924828</v>
      </c>
      <c r="P60" s="106">
        <v>200</v>
      </c>
      <c r="Q60" s="108">
        <f t="shared" si="24"/>
        <v>1.4246676663384965</v>
      </c>
      <c r="R60" s="107">
        <f t="shared" si="25"/>
        <v>20.674911473359796</v>
      </c>
      <c r="S60" s="107" cm="1">
        <f t="array" ref="S60">_xlfn.IFS(E60="Heavy", 'vehicle E calcs'!$T$21,E60="Cars/vans",'vehicle E calcs'!$S$21)*O60</f>
        <v>24.362584419881831</v>
      </c>
      <c r="T60" s="109">
        <v>0.27</v>
      </c>
      <c r="U60" s="23">
        <f t="shared" si="26"/>
        <v>6.5778977933680949</v>
      </c>
      <c r="V60" s="23">
        <f t="shared" si="27"/>
        <v>3.1430879777737588</v>
      </c>
      <c r="W60" s="106">
        <f t="shared" si="39"/>
        <v>168</v>
      </c>
      <c r="X60" s="23">
        <f t="shared" si="28"/>
        <v>4.0929141825401478</v>
      </c>
      <c r="Y60" s="96">
        <f t="shared" si="40"/>
        <v>0</v>
      </c>
      <c r="Z60" s="23">
        <f t="shared" si="30"/>
        <v>0</v>
      </c>
      <c r="AA60" s="107">
        <f t="shared" si="31"/>
        <v>16.581997290819647</v>
      </c>
      <c r="AB60" s="23">
        <f t="shared" si="32"/>
        <v>2.5208657555515366</v>
      </c>
      <c r="AD60" s="107">
        <f t="shared" si="33"/>
        <v>2.9265039396674108</v>
      </c>
      <c r="AE60" s="23">
        <f t="shared" si="34"/>
        <v>0</v>
      </c>
      <c r="AF60" s="108">
        <f t="shared" si="35"/>
        <v>0.2165840381063478</v>
      </c>
      <c r="AH60" s="104">
        <f t="shared" si="37"/>
        <v>0.55324947589098528</v>
      </c>
      <c r="AJ60" s="104">
        <f t="shared" si="38"/>
        <v>25.583018867924533</v>
      </c>
      <c r="AK60" s="23">
        <f t="shared" si="36"/>
        <v>2.5208657555515366</v>
      </c>
    </row>
    <row r="61" spans="1:37" x14ac:dyDescent="0.35">
      <c r="A61" s="96">
        <v>1</v>
      </c>
      <c r="B61" s="118" t="s">
        <v>141</v>
      </c>
      <c r="C61" s="23" t="s">
        <v>139</v>
      </c>
      <c r="D61" s="23" t="s">
        <v>171</v>
      </c>
      <c r="E61" s="23" t="s">
        <v>128</v>
      </c>
      <c r="F61" s="23" t="s">
        <v>83</v>
      </c>
      <c r="G61" s="108">
        <f>'time-factors'!B$36*'time-factors'!B51</f>
        <v>0.66771488469601681</v>
      </c>
      <c r="H61" s="166">
        <f>'time-factors'!I51</f>
        <v>199.07849999999999</v>
      </c>
      <c r="I61" s="96" t="s">
        <v>98</v>
      </c>
      <c r="J61" s="96">
        <f>'time-factors'!O$43</f>
        <v>10</v>
      </c>
      <c r="K61" s="170">
        <f>'time-factors'!I$43</f>
        <v>0.05</v>
      </c>
      <c r="L61" s="173">
        <f t="shared" si="22"/>
        <v>25.781576527260661</v>
      </c>
      <c r="M61" s="170">
        <v>0</v>
      </c>
      <c r="N61" s="96">
        <f t="shared" si="23"/>
        <v>0</v>
      </c>
      <c r="O61" s="167" cm="1">
        <f t="array" ref="O61">IFERROR(_xlfn.IFS(E61="Heavy", 'vehicle E calcs'!$H$33,E61="Cars/vans",'vehicle E calcs'!$H$32),"")</f>
        <v>6.3768270755398833</v>
      </c>
      <c r="P61" s="106">
        <v>200</v>
      </c>
      <c r="Q61" s="108">
        <f t="shared" si="24"/>
        <v>1.2753654151079765</v>
      </c>
      <c r="R61" s="107">
        <f t="shared" si="25"/>
        <v>27.056941942368638</v>
      </c>
      <c r="S61" s="107" cm="1">
        <f t="array" ref="S61">_xlfn.IFS(E61="Heavy", 'vehicle E calcs'!$T$21,E61="Cars/vans",'vehicle E calcs'!$S$21)*O61</f>
        <v>23.354986057632608</v>
      </c>
      <c r="T61" s="109">
        <v>0.27</v>
      </c>
      <c r="U61" s="23">
        <f t="shared" si="26"/>
        <v>6.3058462355608045</v>
      </c>
      <c r="V61" s="23">
        <f t="shared" si="27"/>
        <v>4.2907709658039819</v>
      </c>
      <c r="W61" s="106">
        <f t="shared" si="39"/>
        <v>168</v>
      </c>
      <c r="X61" s="23">
        <f t="shared" si="28"/>
        <v>3.9236376576822782</v>
      </c>
      <c r="Y61" s="96">
        <f t="shared" si="40"/>
        <v>0</v>
      </c>
      <c r="Z61" s="23">
        <f t="shared" si="30"/>
        <v>0</v>
      </c>
      <c r="AA61" s="107">
        <f t="shared" si="31"/>
        <v>23.133304284686361</v>
      </c>
      <c r="AB61" s="23">
        <f t="shared" si="32"/>
        <v>3.6685487435817601</v>
      </c>
      <c r="AD61" s="107">
        <f t="shared" si="33"/>
        <v>4.0885196949252602</v>
      </c>
      <c r="AE61" s="23">
        <f t="shared" si="34"/>
        <v>0</v>
      </c>
      <c r="AF61" s="108">
        <f t="shared" si="35"/>
        <v>0.20225127087872183</v>
      </c>
      <c r="AH61" s="104">
        <f t="shared" si="37"/>
        <v>0.66771488469601681</v>
      </c>
      <c r="AJ61" s="104">
        <f t="shared" si="38"/>
        <v>26.250733752620551</v>
      </c>
      <c r="AK61" s="23">
        <f t="shared" si="36"/>
        <v>3.6685487435817601</v>
      </c>
    </row>
    <row r="62" spans="1:37" x14ac:dyDescent="0.35">
      <c r="A62" s="96">
        <v>4</v>
      </c>
      <c r="B62" s="118" t="s">
        <v>144</v>
      </c>
      <c r="C62" s="23" t="s">
        <v>139</v>
      </c>
      <c r="D62" s="23" t="s">
        <v>171</v>
      </c>
      <c r="E62" s="23" t="s">
        <v>188</v>
      </c>
      <c r="F62" s="23" t="s">
        <v>83</v>
      </c>
      <c r="G62" s="108">
        <f>'time-factors'!B$36*'time-factors'!B54</f>
        <v>0.28616352201257861</v>
      </c>
      <c r="H62" s="166">
        <f>'time-factors'!I54</f>
        <v>288</v>
      </c>
      <c r="I62" s="96" t="s">
        <v>98</v>
      </c>
      <c r="J62" s="96">
        <f>'time-factors'!O$43</f>
        <v>10</v>
      </c>
      <c r="K62" s="170">
        <f>'time-factors'!I$43</f>
        <v>0.05</v>
      </c>
      <c r="L62" s="173">
        <f t="shared" si="22"/>
        <v>37.29731759005152</v>
      </c>
      <c r="M62" s="170">
        <v>0</v>
      </c>
      <c r="N62" s="96">
        <f t="shared" si="23"/>
        <v>0</v>
      </c>
      <c r="O62" s="167" cm="1">
        <f t="array" ref="O62">IFERROR(_xlfn.IFS(E62="Heavy", 'vehicle E calcs'!$H$33,E62="Cars/vans",'vehicle E calcs'!$H$32),"")</f>
        <v>7.1233383316924828</v>
      </c>
      <c r="P62" s="106">
        <v>200</v>
      </c>
      <c r="Q62" s="108">
        <f t="shared" si="24"/>
        <v>1.4246676663384965</v>
      </c>
      <c r="R62" s="107">
        <f t="shared" si="25"/>
        <v>38.721985256390013</v>
      </c>
      <c r="S62" s="107" cm="1">
        <f t="array" ref="S62">_xlfn.IFS(E62="Heavy", 'vehicle E calcs'!$T$21,E62="Cars/vans",'vehicle E calcs'!$S$21)*O62</f>
        <v>24.362584419881831</v>
      </c>
      <c r="T62" s="109">
        <v>0.27</v>
      </c>
      <c r="U62" s="23">
        <f t="shared" si="26"/>
        <v>6.5778977933680949</v>
      </c>
      <c r="V62" s="23">
        <f t="shared" si="27"/>
        <v>5.886680893009606</v>
      </c>
      <c r="W62" s="106">
        <f t="shared" si="39"/>
        <v>168</v>
      </c>
      <c r="X62" s="23">
        <f t="shared" si="28"/>
        <v>4.0929141825401478</v>
      </c>
      <c r="Y62" s="96">
        <f t="shared" si="40"/>
        <v>0</v>
      </c>
      <c r="Z62" s="23">
        <f t="shared" si="30"/>
        <v>0</v>
      </c>
      <c r="AA62" s="107">
        <f t="shared" si="31"/>
        <v>34.629071073849865</v>
      </c>
      <c r="AB62" s="23">
        <f t="shared" si="32"/>
        <v>5.2644586707873833</v>
      </c>
      <c r="AD62" s="107">
        <f t="shared" si="33"/>
        <v>5.6700968549032584</v>
      </c>
      <c r="AE62" s="23">
        <f t="shared" si="34"/>
        <v>0</v>
      </c>
      <c r="AF62" s="108">
        <f t="shared" si="35"/>
        <v>0.2165840381063478</v>
      </c>
      <c r="AH62" s="104">
        <f t="shared" si="37"/>
        <v>0.28616352201257861</v>
      </c>
      <c r="AJ62" s="104">
        <f t="shared" si="38"/>
        <v>26.53689727463313</v>
      </c>
      <c r="AK62" s="23">
        <f t="shared" si="36"/>
        <v>5.2644586707873833</v>
      </c>
    </row>
    <row r="63" spans="1:37" ht="29" x14ac:dyDescent="0.35">
      <c r="A63" s="96">
        <v>7</v>
      </c>
      <c r="B63" s="118" t="s">
        <v>147</v>
      </c>
      <c r="C63" s="23" t="s">
        <v>139</v>
      </c>
      <c r="D63" s="23" t="s">
        <v>171</v>
      </c>
      <c r="E63" s="23" t="s">
        <v>188</v>
      </c>
      <c r="F63" s="23" t="s">
        <v>83</v>
      </c>
      <c r="G63" s="108">
        <f>'time-factors'!B$36*'time-factors'!B57</f>
        <v>0.47693920335429768</v>
      </c>
      <c r="H63" s="166">
        <f>'time-factors'!I57</f>
        <v>288</v>
      </c>
      <c r="I63" s="96" t="s">
        <v>98</v>
      </c>
      <c r="J63" s="96">
        <f>'time-factors'!O$43</f>
        <v>10</v>
      </c>
      <c r="K63" s="170">
        <f>'time-factors'!I$43</f>
        <v>0.05</v>
      </c>
      <c r="L63" s="173">
        <f t="shared" si="22"/>
        <v>37.29731759005152</v>
      </c>
      <c r="M63" s="170">
        <v>0</v>
      </c>
      <c r="N63" s="96">
        <f t="shared" si="23"/>
        <v>0</v>
      </c>
      <c r="O63" s="167" cm="1">
        <f t="array" ref="O63">IFERROR(_xlfn.IFS(E63="Heavy", 'vehicle E calcs'!$H$33,E63="Cars/vans",'vehicle E calcs'!$H$32),"")</f>
        <v>7.1233383316924828</v>
      </c>
      <c r="P63" s="106">
        <v>200</v>
      </c>
      <c r="Q63" s="108">
        <f t="shared" si="24"/>
        <v>1.4246676663384965</v>
      </c>
      <c r="R63" s="107">
        <f t="shared" si="25"/>
        <v>38.721985256390013</v>
      </c>
      <c r="S63" s="107" cm="1">
        <f t="array" ref="S63">_xlfn.IFS(E63="Heavy", 'vehicle E calcs'!$T$21,E63="Cars/vans",'vehicle E calcs'!$S$21)*O63</f>
        <v>24.362584419881831</v>
      </c>
      <c r="T63" s="109">
        <v>0.27</v>
      </c>
      <c r="U63" s="23">
        <f t="shared" si="26"/>
        <v>6.5778977933680949</v>
      </c>
      <c r="V63" s="23">
        <f t="shared" si="27"/>
        <v>5.886680893009606</v>
      </c>
      <c r="W63" s="106">
        <f t="shared" si="39"/>
        <v>168</v>
      </c>
      <c r="X63" s="23">
        <f t="shared" si="28"/>
        <v>4.0929141825401478</v>
      </c>
      <c r="Y63" s="96">
        <f t="shared" si="40"/>
        <v>0</v>
      </c>
      <c r="Z63" s="23">
        <f t="shared" si="30"/>
        <v>0</v>
      </c>
      <c r="AA63" s="107">
        <f t="shared" si="31"/>
        <v>34.629071073849865</v>
      </c>
      <c r="AB63" s="23">
        <f t="shared" si="32"/>
        <v>5.2644586707873833</v>
      </c>
      <c r="AD63" s="107">
        <f t="shared" si="33"/>
        <v>5.6700968549032584</v>
      </c>
      <c r="AE63" s="23">
        <f t="shared" si="34"/>
        <v>0</v>
      </c>
      <c r="AF63" s="108">
        <f t="shared" si="35"/>
        <v>0.2165840381063478</v>
      </c>
      <c r="AH63" s="104">
        <f t="shared" si="37"/>
        <v>0.47693920335429768</v>
      </c>
      <c r="AJ63" s="104">
        <f t="shared" si="38"/>
        <v>27.013836477987429</v>
      </c>
      <c r="AK63" s="23">
        <f t="shared" si="36"/>
        <v>5.2644586707873833</v>
      </c>
    </row>
    <row r="64" spans="1:37" x14ac:dyDescent="0.35">
      <c r="A64" s="96">
        <v>9</v>
      </c>
      <c r="B64" s="118" t="s">
        <v>149</v>
      </c>
      <c r="C64" s="23" t="s">
        <v>139</v>
      </c>
      <c r="D64" s="23" t="s">
        <v>171</v>
      </c>
      <c r="E64" s="23" t="s">
        <v>188</v>
      </c>
      <c r="F64" s="23" t="s">
        <v>83</v>
      </c>
      <c r="G64" s="108">
        <f>'time-factors'!B$36*'time-factors'!B59</f>
        <v>0.19077568134171907</v>
      </c>
      <c r="H64" s="166">
        <f>'time-factors'!I59</f>
        <v>288</v>
      </c>
      <c r="I64" s="96" t="s">
        <v>98</v>
      </c>
      <c r="J64" s="96">
        <f>'time-factors'!O$43</f>
        <v>10</v>
      </c>
      <c r="K64" s="170">
        <f>'time-factors'!I$43</f>
        <v>0.05</v>
      </c>
      <c r="L64" s="173">
        <f t="shared" si="22"/>
        <v>37.29731759005152</v>
      </c>
      <c r="M64" s="170">
        <v>0</v>
      </c>
      <c r="N64" s="96">
        <f t="shared" si="23"/>
        <v>0</v>
      </c>
      <c r="O64" s="167" cm="1">
        <f t="array" ref="O64">IFERROR(_xlfn.IFS(E64="Heavy", 'vehicle E calcs'!$H$33,E64="Cars/vans",'vehicle E calcs'!$H$32),"")</f>
        <v>7.1233383316924828</v>
      </c>
      <c r="P64" s="106">
        <v>200</v>
      </c>
      <c r="Q64" s="108">
        <f t="shared" si="24"/>
        <v>1.4246676663384965</v>
      </c>
      <c r="R64" s="107">
        <f t="shared" si="25"/>
        <v>38.721985256390013</v>
      </c>
      <c r="S64" s="107" cm="1">
        <f t="array" ref="S64">_xlfn.IFS(E64="Heavy", 'vehicle E calcs'!$T$21,E64="Cars/vans",'vehicle E calcs'!$S$21)*O64</f>
        <v>24.362584419881831</v>
      </c>
      <c r="T64" s="109">
        <v>0.27</v>
      </c>
      <c r="U64" s="23">
        <f t="shared" si="26"/>
        <v>6.5778977933680949</v>
      </c>
      <c r="V64" s="23">
        <f t="shared" si="27"/>
        <v>5.886680893009606</v>
      </c>
      <c r="W64" s="106">
        <f t="shared" si="39"/>
        <v>168</v>
      </c>
      <c r="X64" s="23">
        <f t="shared" si="28"/>
        <v>4.0929141825401478</v>
      </c>
      <c r="Y64" s="96">
        <f t="shared" si="40"/>
        <v>0</v>
      </c>
      <c r="Z64" s="23">
        <f t="shared" si="30"/>
        <v>0</v>
      </c>
      <c r="AA64" s="107">
        <f t="shared" si="31"/>
        <v>34.629071073849865</v>
      </c>
      <c r="AB64" s="23">
        <f t="shared" si="32"/>
        <v>5.2644586707873833</v>
      </c>
      <c r="AD64" s="107">
        <f t="shared" si="33"/>
        <v>5.6700968549032584</v>
      </c>
      <c r="AE64" s="23">
        <f t="shared" si="34"/>
        <v>0</v>
      </c>
      <c r="AF64" s="108">
        <f t="shared" si="35"/>
        <v>0.2165840381063478</v>
      </c>
      <c r="AH64" s="104">
        <f t="shared" si="37"/>
        <v>0.19077568134171907</v>
      </c>
      <c r="AJ64" s="104">
        <f t="shared" si="38"/>
        <v>27.204612159329148</v>
      </c>
      <c r="AK64" s="23">
        <f t="shared" si="36"/>
        <v>5.2644586707873833</v>
      </c>
    </row>
    <row r="65" spans="1:37" x14ac:dyDescent="0.35">
      <c r="A65" s="96">
        <v>15</v>
      </c>
      <c r="B65" s="118" t="s">
        <v>153</v>
      </c>
      <c r="C65" s="23" t="s">
        <v>139</v>
      </c>
      <c r="D65" s="23" t="s">
        <v>171</v>
      </c>
      <c r="E65" s="23" t="s">
        <v>188</v>
      </c>
      <c r="F65" s="23" t="s">
        <v>83</v>
      </c>
      <c r="G65" s="108">
        <f>'time-factors'!B$36*'time-factors'!B65</f>
        <v>0.30524109014675055</v>
      </c>
      <c r="H65" s="166">
        <f>'time-factors'!I65</f>
        <v>288</v>
      </c>
      <c r="I65" s="96" t="s">
        <v>98</v>
      </c>
      <c r="J65" s="96">
        <f>'time-factors'!O$43</f>
        <v>10</v>
      </c>
      <c r="K65" s="170">
        <f>'time-factors'!I$43</f>
        <v>0.05</v>
      </c>
      <c r="L65" s="173">
        <f t="shared" si="22"/>
        <v>37.29731759005152</v>
      </c>
      <c r="M65" s="170">
        <v>0</v>
      </c>
      <c r="N65" s="96">
        <f t="shared" si="23"/>
        <v>0</v>
      </c>
      <c r="O65" s="167" cm="1">
        <f t="array" ref="O65">IFERROR(_xlfn.IFS(E65="Heavy", 'vehicle E calcs'!$H$33,E65="Cars/vans",'vehicle E calcs'!$H$32),"")</f>
        <v>7.1233383316924828</v>
      </c>
      <c r="P65" s="106">
        <v>200</v>
      </c>
      <c r="Q65" s="108">
        <f t="shared" si="24"/>
        <v>1.4246676663384965</v>
      </c>
      <c r="R65" s="107">
        <f t="shared" si="25"/>
        <v>38.721985256390013</v>
      </c>
      <c r="S65" s="107" cm="1">
        <f t="array" ref="S65">_xlfn.IFS(E65="Heavy", 'vehicle E calcs'!$T$21,E65="Cars/vans",'vehicle E calcs'!$S$21)*O65</f>
        <v>24.362584419881831</v>
      </c>
      <c r="T65" s="109">
        <v>0.27</v>
      </c>
      <c r="U65" s="23">
        <f t="shared" si="26"/>
        <v>6.5778977933680949</v>
      </c>
      <c r="V65" s="23">
        <f t="shared" si="27"/>
        <v>5.886680893009606</v>
      </c>
      <c r="W65" s="106">
        <f t="shared" si="39"/>
        <v>168</v>
      </c>
      <c r="X65" s="23">
        <f t="shared" si="28"/>
        <v>4.0929141825401478</v>
      </c>
      <c r="Y65" s="96">
        <f t="shared" si="40"/>
        <v>0</v>
      </c>
      <c r="Z65" s="23">
        <f t="shared" si="30"/>
        <v>0</v>
      </c>
      <c r="AA65" s="107">
        <f t="shared" si="31"/>
        <v>34.629071073849865</v>
      </c>
      <c r="AB65" s="23">
        <f t="shared" si="32"/>
        <v>5.2644586707873833</v>
      </c>
      <c r="AD65" s="107">
        <f t="shared" si="33"/>
        <v>5.6700968549032584</v>
      </c>
      <c r="AE65" s="23">
        <f t="shared" si="34"/>
        <v>0</v>
      </c>
      <c r="AF65" s="108">
        <f t="shared" si="35"/>
        <v>0.2165840381063478</v>
      </c>
      <c r="AH65" s="104">
        <f t="shared" si="37"/>
        <v>0.30524109014675055</v>
      </c>
      <c r="AJ65" s="104">
        <f t="shared" si="38"/>
        <v>27.509853249475899</v>
      </c>
      <c r="AK65" s="23">
        <f t="shared" si="36"/>
        <v>5.2644586707873833</v>
      </c>
    </row>
    <row r="66" spans="1:37" x14ac:dyDescent="0.35">
      <c r="A66" s="96">
        <v>3</v>
      </c>
      <c r="B66" s="118" t="s">
        <v>143</v>
      </c>
      <c r="C66" s="23" t="s">
        <v>139</v>
      </c>
      <c r="D66" s="23" t="s">
        <v>171</v>
      </c>
      <c r="E66" s="23" t="s">
        <v>188</v>
      </c>
      <c r="F66" s="23" t="s">
        <v>83</v>
      </c>
      <c r="G66" s="108">
        <f>'time-factors'!B$36*'time-factors'!B53</f>
        <v>0.41970649895178197</v>
      </c>
      <c r="H66" s="166">
        <f>'time-factors'!I53</f>
        <v>304.58</v>
      </c>
      <c r="I66" s="96" t="s">
        <v>98</v>
      </c>
      <c r="J66" s="96">
        <f>'time-factors'!O$43</f>
        <v>10</v>
      </c>
      <c r="K66" s="170">
        <f>'time-factors'!I$43</f>
        <v>0.05</v>
      </c>
      <c r="L66" s="173">
        <f t="shared" si="22"/>
        <v>39.444503442978792</v>
      </c>
      <c r="M66" s="170">
        <v>0</v>
      </c>
      <c r="N66" s="96">
        <f t="shared" si="23"/>
        <v>0</v>
      </c>
      <c r="O66" s="167" cm="1">
        <f t="array" ref="O66">IFERROR(_xlfn.IFS(E66="Heavy", 'vehicle E calcs'!$H$33,E66="Cars/vans",'vehicle E calcs'!$H$32),"")</f>
        <v>7.1233383316924828</v>
      </c>
      <c r="P66" s="106">
        <v>200</v>
      </c>
      <c r="Q66" s="108">
        <f t="shared" si="24"/>
        <v>1.4246676663384965</v>
      </c>
      <c r="R66" s="107">
        <f t="shared" si="25"/>
        <v>40.869171109317286</v>
      </c>
      <c r="S66" s="107" cm="1">
        <f t="array" ref="S66">_xlfn.IFS(E66="Heavy", 'vehicle E calcs'!$T$21,E66="Cars/vans",'vehicle E calcs'!$S$21)*O66</f>
        <v>24.362584419881831</v>
      </c>
      <c r="T66" s="109">
        <v>0.27</v>
      </c>
      <c r="U66" s="23">
        <f t="shared" si="26"/>
        <v>6.5778977933680949</v>
      </c>
      <c r="V66" s="23">
        <f t="shared" si="27"/>
        <v>6.2131052188925784</v>
      </c>
      <c r="W66" s="106">
        <f t="shared" si="39"/>
        <v>168</v>
      </c>
      <c r="X66" s="23">
        <f t="shared" si="28"/>
        <v>4.0929141825401478</v>
      </c>
      <c r="Y66" s="96">
        <f t="shared" si="40"/>
        <v>0</v>
      </c>
      <c r="Z66" s="23">
        <f t="shared" si="30"/>
        <v>0</v>
      </c>
      <c r="AA66" s="107">
        <f t="shared" si="31"/>
        <v>36.776256926777137</v>
      </c>
      <c r="AB66" s="23">
        <f t="shared" si="32"/>
        <v>5.5908829966703557</v>
      </c>
      <c r="AD66" s="107">
        <f t="shared" si="33"/>
        <v>5.9965211807862309</v>
      </c>
      <c r="AE66" s="23">
        <f t="shared" si="34"/>
        <v>0</v>
      </c>
      <c r="AF66" s="108">
        <f t="shared" si="35"/>
        <v>0.2165840381063478</v>
      </c>
      <c r="AH66" s="104">
        <f t="shared" si="37"/>
        <v>0.41970649895178197</v>
      </c>
      <c r="AJ66" s="104">
        <f t="shared" si="38"/>
        <v>27.929559748427682</v>
      </c>
      <c r="AK66" s="23">
        <f t="shared" si="36"/>
        <v>5.5908829966703557</v>
      </c>
    </row>
    <row r="67" spans="1:37" x14ac:dyDescent="0.35">
      <c r="A67" s="96">
        <v>17</v>
      </c>
      <c r="B67" s="118" t="s">
        <v>143</v>
      </c>
      <c r="C67" s="23" t="s">
        <v>156</v>
      </c>
      <c r="D67" s="23" t="s">
        <v>171</v>
      </c>
      <c r="E67" s="23" t="s">
        <v>188</v>
      </c>
      <c r="F67" s="23" t="s">
        <v>83</v>
      </c>
      <c r="G67" s="108">
        <f>'time-factors'!B$36*'time-factors'!B67</f>
        <v>0.38155136268343814</v>
      </c>
      <c r="H67" s="166">
        <f>'time-factors'!I67</f>
        <v>308</v>
      </c>
      <c r="I67" s="96" t="s">
        <v>98</v>
      </c>
      <c r="J67" s="96">
        <f>'time-factors'!O$44</f>
        <v>10</v>
      </c>
      <c r="K67" s="170">
        <f>'time-factors'!I$44</f>
        <v>0.05</v>
      </c>
      <c r="L67" s="173">
        <f t="shared" si="22"/>
        <v>39.887409089360659</v>
      </c>
      <c r="M67" s="170">
        <v>0</v>
      </c>
      <c r="N67" s="96">
        <f t="shared" si="23"/>
        <v>0</v>
      </c>
      <c r="O67" s="167" cm="1">
        <f t="array" ref="O67">IFERROR(_xlfn.IFS(E67="Heavy", 'vehicle E calcs'!$H$33,E67="Cars/vans",'vehicle E calcs'!$H$32),"")</f>
        <v>7.1233383316924828</v>
      </c>
      <c r="P67" s="106">
        <v>300</v>
      </c>
      <c r="Q67" s="108">
        <f t="shared" si="24"/>
        <v>2.1370014995077451</v>
      </c>
      <c r="R67" s="107">
        <f t="shared" si="25"/>
        <v>42.024410588868406</v>
      </c>
      <c r="S67" s="107" cm="1">
        <f t="array" ref="S67">_xlfn.IFS(E67="Heavy", 'vehicle E calcs'!$T$21,E67="Cars/vans",'vehicle E calcs'!$S$21)*O67</f>
        <v>24.362584419881831</v>
      </c>
      <c r="T67" s="109">
        <v>0.27</v>
      </c>
      <c r="U67" s="23">
        <f t="shared" si="26"/>
        <v>6.5778977933680949</v>
      </c>
      <c r="V67" s="23">
        <f t="shared" si="27"/>
        <v>6.3887296380977299</v>
      </c>
      <c r="W67" s="106">
        <f t="shared" si="39"/>
        <v>168</v>
      </c>
      <c r="X67" s="23">
        <f t="shared" si="28"/>
        <v>4.0929141825401478</v>
      </c>
      <c r="Y67" s="96">
        <f t="shared" si="40"/>
        <v>0</v>
      </c>
      <c r="Z67" s="23">
        <f t="shared" si="30"/>
        <v>0</v>
      </c>
      <c r="AA67" s="107">
        <f t="shared" si="31"/>
        <v>37.931496406328257</v>
      </c>
      <c r="AB67" s="23">
        <f t="shared" si="32"/>
        <v>5.7665074158755081</v>
      </c>
      <c r="AC67" s="111"/>
      <c r="AD67" s="107">
        <f t="shared" si="33"/>
        <v>6.0638535809382077</v>
      </c>
      <c r="AE67" s="23">
        <f t="shared" si="34"/>
        <v>0</v>
      </c>
      <c r="AF67" s="108">
        <f t="shared" si="35"/>
        <v>0.32487605715952173</v>
      </c>
      <c r="AH67" s="104">
        <f t="shared" si="37"/>
        <v>0.38155136268343814</v>
      </c>
      <c r="AJ67" s="104">
        <f t="shared" si="38"/>
        <v>28.311111111111121</v>
      </c>
      <c r="AK67" s="23">
        <f t="shared" si="36"/>
        <v>5.7665074158755081</v>
      </c>
    </row>
    <row r="68" spans="1:37" x14ac:dyDescent="0.35">
      <c r="A68" s="96">
        <v>18</v>
      </c>
      <c r="B68" s="119" t="s">
        <v>148</v>
      </c>
      <c r="C68" s="23" t="s">
        <v>156</v>
      </c>
      <c r="D68" s="23" t="s">
        <v>171</v>
      </c>
      <c r="E68" s="23" t="s">
        <v>188</v>
      </c>
      <c r="F68" s="23" t="s">
        <v>83</v>
      </c>
      <c r="G68" s="108">
        <f>'time-factors'!B$36*'time-factors'!B68</f>
        <v>0.38155136268343814</v>
      </c>
      <c r="H68" s="166">
        <f>'time-factors'!I68</f>
        <v>308</v>
      </c>
      <c r="I68" s="96" t="s">
        <v>98</v>
      </c>
      <c r="J68" s="96">
        <f>'time-factors'!O$44</f>
        <v>10</v>
      </c>
      <c r="K68" s="170">
        <f>'time-factors'!I$44</f>
        <v>0.05</v>
      </c>
      <c r="L68" s="173">
        <f t="shared" si="22"/>
        <v>39.887409089360659</v>
      </c>
      <c r="M68" s="170">
        <v>0</v>
      </c>
      <c r="N68" s="96">
        <f t="shared" si="23"/>
        <v>0</v>
      </c>
      <c r="O68" s="167" cm="1">
        <f t="array" ref="O68">IFERROR(_xlfn.IFS(E68="Heavy", 'vehicle E calcs'!$H$33,E68="Cars/vans",'vehicle E calcs'!$H$32),"")</f>
        <v>7.1233383316924828</v>
      </c>
      <c r="P68" s="106">
        <v>300</v>
      </c>
      <c r="Q68" s="108">
        <f t="shared" si="24"/>
        <v>2.1370014995077451</v>
      </c>
      <c r="R68" s="107">
        <f t="shared" si="25"/>
        <v>42.024410588868406</v>
      </c>
      <c r="S68" s="107" cm="1">
        <f t="array" ref="S68">_xlfn.IFS(E68="Heavy", 'vehicle E calcs'!$T$21,E68="Cars/vans",'vehicle E calcs'!$S$21)*O68</f>
        <v>24.362584419881831</v>
      </c>
      <c r="T68" s="109">
        <v>0.27</v>
      </c>
      <c r="U68" s="23">
        <f t="shared" si="26"/>
        <v>6.5778977933680949</v>
      </c>
      <c r="V68" s="23">
        <f t="shared" si="27"/>
        <v>6.3887296380977299</v>
      </c>
      <c r="W68" s="106">
        <f t="shared" si="39"/>
        <v>168</v>
      </c>
      <c r="X68" s="23">
        <f t="shared" si="28"/>
        <v>4.0929141825401478</v>
      </c>
      <c r="Y68" s="96">
        <f t="shared" si="40"/>
        <v>0</v>
      </c>
      <c r="Z68" s="23">
        <f t="shared" si="30"/>
        <v>0</v>
      </c>
      <c r="AA68" s="107">
        <f t="shared" si="31"/>
        <v>37.931496406328257</v>
      </c>
      <c r="AB68" s="23">
        <f t="shared" si="32"/>
        <v>5.7665074158755081</v>
      </c>
      <c r="AC68" s="111"/>
      <c r="AD68" s="107">
        <f t="shared" si="33"/>
        <v>6.0638535809382077</v>
      </c>
      <c r="AE68" s="23">
        <f t="shared" si="34"/>
        <v>0</v>
      </c>
      <c r="AF68" s="108">
        <f t="shared" si="35"/>
        <v>0.32487605715952173</v>
      </c>
      <c r="AH68" s="104">
        <f t="shared" si="37"/>
        <v>0.38155136268343814</v>
      </c>
      <c r="AJ68" s="104">
        <f t="shared" si="38"/>
        <v>28.692662473794559</v>
      </c>
      <c r="AK68" s="23">
        <f t="shared" si="36"/>
        <v>5.7665074158755081</v>
      </c>
    </row>
    <row r="69" spans="1:37" x14ac:dyDescent="0.35">
      <c r="A69" s="96">
        <v>2</v>
      </c>
      <c r="B69" s="118" t="s">
        <v>142</v>
      </c>
      <c r="C69" s="23" t="s">
        <v>139</v>
      </c>
      <c r="D69" s="23" t="s">
        <v>171</v>
      </c>
      <c r="E69" s="23" t="s">
        <v>128</v>
      </c>
      <c r="F69" s="23" t="s">
        <v>83</v>
      </c>
      <c r="G69" s="108">
        <f>'time-factors'!B$36*'time-factors'!B52</f>
        <v>0.57232704402515722</v>
      </c>
      <c r="H69" s="166">
        <f>'time-factors'!I52</f>
        <v>304.58</v>
      </c>
      <c r="I69" s="96" t="s">
        <v>98</v>
      </c>
      <c r="J69" s="96">
        <f>'time-factors'!O$43</f>
        <v>10</v>
      </c>
      <c r="K69" s="170">
        <f>'time-factors'!I$43</f>
        <v>0.05</v>
      </c>
      <c r="L69" s="173">
        <f t="shared" si="22"/>
        <v>39.444503442978792</v>
      </c>
      <c r="M69" s="170">
        <v>0</v>
      </c>
      <c r="N69" s="96">
        <f t="shared" si="23"/>
        <v>0</v>
      </c>
      <c r="O69" s="167" cm="1">
        <f t="array" ref="O69">IFERROR(_xlfn.IFS(E69="Heavy", 'vehicle E calcs'!$H$33,E69="Cars/vans",'vehicle E calcs'!$H$32),"")</f>
        <v>6.3768270755398833</v>
      </c>
      <c r="P69" s="106">
        <v>200</v>
      </c>
      <c r="Q69" s="108">
        <f t="shared" si="24"/>
        <v>1.2753654151079765</v>
      </c>
      <c r="R69" s="107">
        <f t="shared" si="25"/>
        <v>40.71986885808677</v>
      </c>
      <c r="S69" s="107" cm="1">
        <f t="array" ref="S69">_xlfn.IFS(E69="Heavy", 'vehicle E calcs'!$T$21,E69="Cars/vans",'vehicle E calcs'!$S$21)*O69</f>
        <v>23.354986057632608</v>
      </c>
      <c r="T69" s="109">
        <v>0.27</v>
      </c>
      <c r="U69" s="23">
        <f t="shared" si="26"/>
        <v>6.3058462355608045</v>
      </c>
      <c r="V69" s="23">
        <f t="shared" si="27"/>
        <v>6.4574788754685493</v>
      </c>
      <c r="W69" s="106">
        <f t="shared" si="39"/>
        <v>168</v>
      </c>
      <c r="X69" s="23">
        <f t="shared" si="28"/>
        <v>3.9236376576822782</v>
      </c>
      <c r="Y69" s="96">
        <f t="shared" si="40"/>
        <v>0</v>
      </c>
      <c r="Z69" s="23">
        <f t="shared" si="30"/>
        <v>0</v>
      </c>
      <c r="AA69" s="107">
        <f t="shared" si="31"/>
        <v>36.796231200404492</v>
      </c>
      <c r="AB69" s="23">
        <f t="shared" si="32"/>
        <v>5.8352566532463275</v>
      </c>
      <c r="AC69" s="111"/>
      <c r="AD69" s="107">
        <f t="shared" si="33"/>
        <v>6.2552276045898276</v>
      </c>
      <c r="AE69" s="23">
        <f t="shared" si="34"/>
        <v>0</v>
      </c>
      <c r="AF69" s="108">
        <f t="shared" si="35"/>
        <v>0.20225127087872183</v>
      </c>
      <c r="AH69" s="104">
        <f t="shared" si="37"/>
        <v>0.57232704402515722</v>
      </c>
      <c r="AJ69" s="104">
        <f t="shared" si="38"/>
        <v>29.264989517819718</v>
      </c>
      <c r="AK69" s="23">
        <f t="shared" si="36"/>
        <v>5.8352566532463275</v>
      </c>
    </row>
    <row r="70" spans="1:37" x14ac:dyDescent="0.35">
      <c r="A70" s="96">
        <v>5</v>
      </c>
      <c r="B70" s="118" t="s">
        <v>145</v>
      </c>
      <c r="C70" s="23" t="s">
        <v>139</v>
      </c>
      <c r="D70" s="23" t="s">
        <v>171</v>
      </c>
      <c r="E70" s="23" t="s">
        <v>188</v>
      </c>
      <c r="F70" s="23" t="s">
        <v>83</v>
      </c>
      <c r="G70" s="108">
        <f>'time-factors'!B$36*'time-factors'!B55</f>
        <v>0.40062893081761008</v>
      </c>
      <c r="H70" s="166">
        <f>'time-factors'!I55</f>
        <v>492</v>
      </c>
      <c r="I70" s="96" t="s">
        <v>98</v>
      </c>
      <c r="J70" s="96">
        <f>'time-factors'!O$43</f>
        <v>10</v>
      </c>
      <c r="K70" s="170">
        <f>'time-factors'!I$43</f>
        <v>0.05</v>
      </c>
      <c r="L70" s="173">
        <f t="shared" si="22"/>
        <v>63.716250883004676</v>
      </c>
      <c r="M70" s="170">
        <v>0</v>
      </c>
      <c r="N70" s="96">
        <f t="shared" si="23"/>
        <v>0</v>
      </c>
      <c r="O70" s="167" cm="1">
        <f t="array" ref="O70">IFERROR(_xlfn.IFS(E70="Heavy", 'vehicle E calcs'!$H$33,E70="Cars/vans",'vehicle E calcs'!$H$32),"")</f>
        <v>7.1233383316924828</v>
      </c>
      <c r="P70" s="106">
        <v>200</v>
      </c>
      <c r="Q70" s="108">
        <f t="shared" si="24"/>
        <v>1.4246676663384965</v>
      </c>
      <c r="R70" s="107">
        <f t="shared" si="25"/>
        <v>65.140918549343169</v>
      </c>
      <c r="S70" s="107" cm="1">
        <f t="array" ref="S70">_xlfn.IFS(E70="Heavy", 'vehicle E calcs'!$T$21,E70="Cars/vans",'vehicle E calcs'!$S$21)*O70</f>
        <v>24.362584419881831</v>
      </c>
      <c r="T70" s="109">
        <v>0.27</v>
      </c>
      <c r="U70" s="23">
        <f t="shared" si="26"/>
        <v>6.5778977933680949</v>
      </c>
      <c r="V70" s="23">
        <f t="shared" si="27"/>
        <v>9.9029994985660803</v>
      </c>
      <c r="W70" s="106">
        <f t="shared" si="39"/>
        <v>168</v>
      </c>
      <c r="X70" s="23">
        <f t="shared" si="28"/>
        <v>4.0929141825401478</v>
      </c>
      <c r="Y70" s="96">
        <f t="shared" si="40"/>
        <v>0</v>
      </c>
      <c r="Z70" s="23">
        <f t="shared" si="30"/>
        <v>0</v>
      </c>
      <c r="AA70" s="107">
        <f t="shared" si="31"/>
        <v>61.048004366803021</v>
      </c>
      <c r="AB70" s="23">
        <f t="shared" si="32"/>
        <v>9.2807772763438585</v>
      </c>
      <c r="AC70" s="111"/>
      <c r="AD70" s="107">
        <f t="shared" si="33"/>
        <v>9.6864154604597328</v>
      </c>
      <c r="AE70" s="23">
        <f t="shared" si="34"/>
        <v>0</v>
      </c>
      <c r="AF70" s="108">
        <f t="shared" si="35"/>
        <v>0.2165840381063478</v>
      </c>
      <c r="AH70" s="104">
        <f t="shared" si="37"/>
        <v>0.40062893081761008</v>
      </c>
      <c r="AJ70" s="104">
        <f t="shared" si="38"/>
        <v>29.665618448637328</v>
      </c>
      <c r="AK70" s="23">
        <f t="shared" si="36"/>
        <v>9.2807772763438585</v>
      </c>
    </row>
    <row r="71" spans="1:37" x14ac:dyDescent="0.35">
      <c r="A71" s="96">
        <v>8</v>
      </c>
      <c r="B71" s="119" t="s">
        <v>148</v>
      </c>
      <c r="C71" s="23" t="s">
        <v>139</v>
      </c>
      <c r="D71" s="23" t="s">
        <v>171</v>
      </c>
      <c r="E71" s="23" t="s">
        <v>188</v>
      </c>
      <c r="F71" s="23" t="s">
        <v>83</v>
      </c>
      <c r="G71" s="108">
        <f>'time-factors'!B$36*'time-factors'!B58</f>
        <v>0.28616352201257861</v>
      </c>
      <c r="H71" s="166">
        <f>'time-factors'!I58</f>
        <v>492</v>
      </c>
      <c r="I71" s="96" t="s">
        <v>98</v>
      </c>
      <c r="J71" s="96">
        <f>'time-factors'!O$43</f>
        <v>10</v>
      </c>
      <c r="K71" s="170">
        <f>'time-factors'!I$43</f>
        <v>0.05</v>
      </c>
      <c r="L71" s="173">
        <f t="shared" si="22"/>
        <v>63.716250883004676</v>
      </c>
      <c r="M71" s="170">
        <v>0</v>
      </c>
      <c r="N71" s="96">
        <f t="shared" si="23"/>
        <v>0</v>
      </c>
      <c r="O71" s="167" cm="1">
        <f t="array" ref="O71">IFERROR(_xlfn.IFS(E71="Heavy", 'vehicle E calcs'!$H$33,E71="Cars/vans",'vehicle E calcs'!$H$32),"")</f>
        <v>7.1233383316924828</v>
      </c>
      <c r="P71" s="106">
        <v>200</v>
      </c>
      <c r="Q71" s="108">
        <f t="shared" si="24"/>
        <v>1.4246676663384965</v>
      </c>
      <c r="R71" s="107">
        <f t="shared" si="25"/>
        <v>65.140918549343169</v>
      </c>
      <c r="S71" s="107" cm="1">
        <f t="array" ref="S71">_xlfn.IFS(E71="Heavy", 'vehicle E calcs'!$T$21,E71="Cars/vans",'vehicle E calcs'!$S$21)*O71</f>
        <v>24.362584419881831</v>
      </c>
      <c r="T71" s="109">
        <v>0.27</v>
      </c>
      <c r="U71" s="23">
        <f t="shared" si="26"/>
        <v>6.5778977933680949</v>
      </c>
      <c r="V71" s="23">
        <f t="shared" si="27"/>
        <v>9.9029994985660803</v>
      </c>
      <c r="W71" s="106">
        <f t="shared" si="39"/>
        <v>168</v>
      </c>
      <c r="X71" s="23">
        <f t="shared" si="28"/>
        <v>4.0929141825401478</v>
      </c>
      <c r="Y71" s="96">
        <f t="shared" si="40"/>
        <v>0</v>
      </c>
      <c r="Z71" s="23">
        <f t="shared" si="30"/>
        <v>0</v>
      </c>
      <c r="AA71" s="107">
        <f t="shared" si="31"/>
        <v>61.048004366803021</v>
      </c>
      <c r="AB71" s="23">
        <f t="shared" si="32"/>
        <v>9.2807772763438585</v>
      </c>
      <c r="AC71" s="111"/>
      <c r="AD71" s="107">
        <f t="shared" si="33"/>
        <v>9.6864154604597328</v>
      </c>
      <c r="AE71" s="23">
        <f t="shared" si="34"/>
        <v>0</v>
      </c>
      <c r="AF71" s="108">
        <f t="shared" si="35"/>
        <v>0.2165840381063478</v>
      </c>
      <c r="AH71" s="104">
        <f t="shared" si="37"/>
        <v>0.28616352201257861</v>
      </c>
      <c r="AJ71" s="104">
        <f t="shared" si="38"/>
        <v>29.951781970649908</v>
      </c>
      <c r="AK71" s="23">
        <f t="shared" si="36"/>
        <v>9.2807772763438585</v>
      </c>
    </row>
    <row r="72" spans="1:37" x14ac:dyDescent="0.35">
      <c r="A72" s="96">
        <v>10</v>
      </c>
      <c r="B72" s="118" t="s">
        <v>58</v>
      </c>
      <c r="C72" s="23" t="s">
        <v>139</v>
      </c>
      <c r="D72" s="23" t="s">
        <v>171</v>
      </c>
      <c r="E72" s="23" t="s">
        <v>188</v>
      </c>
      <c r="F72" s="23" t="s">
        <v>83</v>
      </c>
      <c r="G72" s="108">
        <f>'time-factors'!B$36*'time-factors'!B60</f>
        <v>0.38155136268343814</v>
      </c>
      <c r="H72" s="166">
        <f>'time-factors'!I60</f>
        <v>776</v>
      </c>
      <c r="I72" s="96" t="s">
        <v>98</v>
      </c>
      <c r="J72" s="96">
        <f>'time-factors'!O$43</f>
        <v>10</v>
      </c>
      <c r="K72" s="170">
        <f>'time-factors'!I$43</f>
        <v>0.05</v>
      </c>
      <c r="L72" s="173">
        <f t="shared" si="22"/>
        <v>100.49555017319437</v>
      </c>
      <c r="M72" s="170">
        <v>0</v>
      </c>
      <c r="N72" s="96">
        <f t="shared" si="23"/>
        <v>0</v>
      </c>
      <c r="O72" s="167" cm="1">
        <f t="array" ref="O72">IFERROR(_xlfn.IFS(E72="Heavy", 'vehicle E calcs'!$H$33,E72="Cars/vans",'vehicle E calcs'!$H$32),"")</f>
        <v>7.1233383316924828</v>
      </c>
      <c r="P72" s="106">
        <v>200</v>
      </c>
      <c r="Q72" s="108">
        <f t="shared" si="24"/>
        <v>1.4246676663384965</v>
      </c>
      <c r="R72" s="107">
        <f t="shared" si="25"/>
        <v>101.92021783953287</v>
      </c>
      <c r="S72" s="107" cm="1">
        <f t="array" ref="S72">_xlfn.IFS(E72="Heavy", 'vehicle E calcs'!$T$21,E72="Cars/vans",'vehicle E calcs'!$S$21)*O72</f>
        <v>24.362584419881831</v>
      </c>
      <c r="T72" s="109">
        <v>0.27</v>
      </c>
      <c r="U72" s="23">
        <f t="shared" si="26"/>
        <v>6.5778977933680949</v>
      </c>
      <c r="V72" s="23">
        <f t="shared" si="27"/>
        <v>15.49434500826235</v>
      </c>
      <c r="W72" s="106">
        <f t="shared" si="39"/>
        <v>168</v>
      </c>
      <c r="X72" s="23">
        <f t="shared" si="28"/>
        <v>4.0929141825401478</v>
      </c>
      <c r="Y72" s="96">
        <f t="shared" si="40"/>
        <v>0</v>
      </c>
      <c r="Z72" s="23">
        <f t="shared" si="30"/>
        <v>0</v>
      </c>
      <c r="AA72" s="107">
        <f t="shared" si="31"/>
        <v>97.827303656992726</v>
      </c>
      <c r="AB72" s="23">
        <f t="shared" si="32"/>
        <v>14.872122786040128</v>
      </c>
      <c r="AC72" s="111"/>
      <c r="AD72" s="107">
        <f t="shared" si="33"/>
        <v>15.277760970156002</v>
      </c>
      <c r="AE72" s="23">
        <f t="shared" si="34"/>
        <v>0</v>
      </c>
      <c r="AF72" s="108">
        <f t="shared" si="35"/>
        <v>0.2165840381063478</v>
      </c>
      <c r="AH72" s="104">
        <f t="shared" si="37"/>
        <v>0.38155136268343814</v>
      </c>
      <c r="AJ72" s="104">
        <f t="shared" si="38"/>
        <v>30.333333333333346</v>
      </c>
      <c r="AK72" s="23">
        <f t="shared" si="36"/>
        <v>14.872122786040128</v>
      </c>
    </row>
    <row r="73" spans="1:37" x14ac:dyDescent="0.35">
      <c r="A73" s="96">
        <v>14</v>
      </c>
      <c r="B73" s="118" t="s">
        <v>152</v>
      </c>
      <c r="C73" s="23" t="s">
        <v>139</v>
      </c>
      <c r="D73" s="23" t="s">
        <v>171</v>
      </c>
      <c r="E73" s="23" t="s">
        <v>188</v>
      </c>
      <c r="F73" s="23" t="s">
        <v>83</v>
      </c>
      <c r="G73" s="108">
        <f>'time-factors'!B$36*'time-factors'!B64</f>
        <v>0.24800838574423481</v>
      </c>
      <c r="H73" s="166">
        <f>'time-factors'!I64</f>
        <v>776</v>
      </c>
      <c r="I73" s="96" t="s">
        <v>98</v>
      </c>
      <c r="J73" s="96">
        <f>'time-factors'!O$43</f>
        <v>10</v>
      </c>
      <c r="K73" s="170">
        <f>'time-factors'!I$43</f>
        <v>0.05</v>
      </c>
      <c r="L73" s="173">
        <f t="shared" si="22"/>
        <v>100.49555017319437</v>
      </c>
      <c r="M73" s="170">
        <v>0</v>
      </c>
      <c r="N73" s="96">
        <f t="shared" si="23"/>
        <v>0</v>
      </c>
      <c r="O73" s="167" cm="1">
        <f t="array" ref="O73">IFERROR(_xlfn.IFS(E73="Heavy", 'vehicle E calcs'!$H$33,E73="Cars/vans",'vehicle E calcs'!$H$32),"")</f>
        <v>7.1233383316924828</v>
      </c>
      <c r="P73" s="106">
        <v>200</v>
      </c>
      <c r="Q73" s="108">
        <f t="shared" si="24"/>
        <v>1.4246676663384965</v>
      </c>
      <c r="R73" s="107">
        <f t="shared" si="25"/>
        <v>101.92021783953287</v>
      </c>
      <c r="S73" s="107" cm="1">
        <f t="array" ref="S73">_xlfn.IFS(E73="Heavy", 'vehicle E calcs'!$T$21,E73="Cars/vans",'vehicle E calcs'!$S$21)*O73</f>
        <v>24.362584419881831</v>
      </c>
      <c r="T73" s="109">
        <v>0.27</v>
      </c>
      <c r="U73" s="23">
        <f t="shared" si="26"/>
        <v>6.5778977933680949</v>
      </c>
      <c r="V73" s="23">
        <f t="shared" si="27"/>
        <v>15.49434500826235</v>
      </c>
      <c r="W73" s="106">
        <f t="shared" si="39"/>
        <v>168</v>
      </c>
      <c r="X73" s="23">
        <f t="shared" si="28"/>
        <v>4.0929141825401478</v>
      </c>
      <c r="Y73" s="96">
        <f t="shared" si="40"/>
        <v>0</v>
      </c>
      <c r="Z73" s="23">
        <f t="shared" si="30"/>
        <v>0</v>
      </c>
      <c r="AA73" s="107">
        <f t="shared" si="31"/>
        <v>97.827303656992726</v>
      </c>
      <c r="AB73" s="23">
        <f t="shared" si="32"/>
        <v>14.872122786040128</v>
      </c>
      <c r="AC73" s="53"/>
      <c r="AD73" s="107">
        <f t="shared" si="33"/>
        <v>15.277760970156002</v>
      </c>
      <c r="AE73" s="23">
        <f t="shared" si="34"/>
        <v>0</v>
      </c>
      <c r="AF73" s="108">
        <f t="shared" si="35"/>
        <v>0.2165840381063478</v>
      </c>
      <c r="AH73" s="104">
        <f t="shared" si="37"/>
        <v>0.24800838574423481</v>
      </c>
      <c r="AJ73" s="104">
        <f t="shared" si="38"/>
        <v>30.581341719077582</v>
      </c>
      <c r="AK73" s="23">
        <f t="shared" si="36"/>
        <v>14.872122786040128</v>
      </c>
    </row>
    <row r="74" spans="1:37" x14ac:dyDescent="0.35">
      <c r="A74" s="96"/>
      <c r="B74" s="122"/>
      <c r="C74" s="24"/>
      <c r="D74" s="24"/>
      <c r="E74" s="24"/>
      <c r="F74" s="131" t="s">
        <v>50</v>
      </c>
      <c r="G74" s="104">
        <f>SUM(G49:G73)</f>
        <v>30.581341719077582</v>
      </c>
      <c r="H74" s="96"/>
      <c r="I74" s="96"/>
      <c r="J74" s="96"/>
      <c r="K74" s="96"/>
      <c r="L74" s="96"/>
      <c r="M74" s="96"/>
      <c r="N74" s="96"/>
      <c r="O74" s="96"/>
      <c r="P74" s="96"/>
    </row>
    <row r="75" spans="1:37" x14ac:dyDescent="0.35">
      <c r="A75" s="96"/>
      <c r="B75" s="122"/>
      <c r="C75" s="24"/>
      <c r="D75" s="24"/>
      <c r="E75" s="24"/>
      <c r="F75" s="24"/>
      <c r="H75" s="96"/>
      <c r="I75" s="96"/>
      <c r="J75" s="96"/>
      <c r="K75" s="96"/>
      <c r="L75" s="96"/>
      <c r="M75" s="96"/>
      <c r="N75" s="96"/>
      <c r="O75" s="96"/>
      <c r="P75" s="96"/>
    </row>
    <row r="76" spans="1:37" x14ac:dyDescent="0.35">
      <c r="A76" s="96"/>
      <c r="B76" s="123"/>
      <c r="C76" s="125"/>
      <c r="F76" s="24"/>
      <c r="H76" s="96"/>
      <c r="I76" s="96"/>
      <c r="J76" s="96"/>
      <c r="K76" s="96"/>
      <c r="L76" s="96"/>
      <c r="M76" s="96"/>
      <c r="N76" s="96"/>
      <c r="O76" s="96"/>
      <c r="P76" s="96"/>
    </row>
    <row r="77" spans="1:37" x14ac:dyDescent="0.35">
      <c r="A77" s="96"/>
      <c r="B77" s="123"/>
      <c r="C77" s="125"/>
      <c r="H77" s="96"/>
      <c r="I77" s="96"/>
      <c r="J77" s="96"/>
      <c r="K77" s="96"/>
      <c r="L77" s="96"/>
      <c r="M77" s="96"/>
      <c r="N77" s="96"/>
      <c r="O77" s="96"/>
      <c r="P77" s="96"/>
    </row>
    <row r="78" spans="1:37" x14ac:dyDescent="0.35">
      <c r="A78" s="96"/>
      <c r="B78" s="96"/>
      <c r="C78" s="96"/>
      <c r="H78" s="96"/>
      <c r="I78" s="96"/>
      <c r="J78" s="96"/>
      <c r="K78" s="96"/>
      <c r="L78" s="96"/>
      <c r="M78" s="96"/>
      <c r="N78" s="96"/>
      <c r="O78" s="96"/>
      <c r="P78" s="96"/>
    </row>
    <row r="79" spans="1:37" x14ac:dyDescent="0.35">
      <c r="A79" s="96"/>
      <c r="B79" s="96"/>
      <c r="C79" s="96"/>
      <c r="H79" s="96"/>
      <c r="I79" s="96"/>
      <c r="J79" s="96"/>
      <c r="K79" s="96"/>
      <c r="L79" s="96"/>
      <c r="M79" s="96"/>
      <c r="N79" s="96"/>
      <c r="O79" s="96"/>
      <c r="P79" s="96"/>
    </row>
    <row r="80" spans="1:37" x14ac:dyDescent="0.35">
      <c r="A80" s="96"/>
      <c r="H80" s="96"/>
      <c r="I80" s="96"/>
      <c r="J80" s="96"/>
      <c r="K80" s="96"/>
      <c r="L80" s="96"/>
      <c r="M80" s="96"/>
      <c r="N80" s="96"/>
      <c r="O80" s="96"/>
      <c r="P80" s="96"/>
    </row>
    <row r="81" spans="1:37" x14ac:dyDescent="0.35">
      <c r="A81" s="96"/>
      <c r="H81" s="96"/>
      <c r="I81" s="96"/>
      <c r="J81" s="96"/>
      <c r="K81" s="96"/>
      <c r="L81" s="96"/>
      <c r="M81" s="96"/>
      <c r="N81" s="96"/>
      <c r="O81" s="96"/>
      <c r="P81" s="96"/>
    </row>
    <row r="82" spans="1:37" x14ac:dyDescent="0.35">
      <c r="A82" s="96"/>
      <c r="H82" s="96"/>
      <c r="I82" s="96"/>
      <c r="J82" s="96"/>
      <c r="K82" s="96"/>
      <c r="L82" s="96"/>
      <c r="M82" s="96"/>
      <c r="N82" s="96"/>
      <c r="O82" s="96"/>
      <c r="P82" s="96"/>
    </row>
    <row r="83" spans="1:37" x14ac:dyDescent="0.35">
      <c r="A83" s="96"/>
      <c r="H83" s="96"/>
      <c r="I83" s="96"/>
      <c r="J83" s="96"/>
      <c r="K83" s="96"/>
      <c r="L83" s="96"/>
      <c r="M83" s="96"/>
      <c r="N83" s="96"/>
      <c r="O83" s="96"/>
      <c r="P83" s="96"/>
    </row>
    <row r="84" spans="1:37" x14ac:dyDescent="0.35">
      <c r="A84" s="96"/>
      <c r="H84" s="96"/>
      <c r="I84" s="96"/>
      <c r="J84" s="96"/>
      <c r="K84" s="96"/>
      <c r="L84" s="96"/>
      <c r="M84" s="96"/>
      <c r="N84" s="96"/>
      <c r="O84" s="96"/>
      <c r="P84" s="96"/>
    </row>
    <row r="85" spans="1:37" x14ac:dyDescent="0.35">
      <c r="A85" s="96"/>
      <c r="H85" s="96"/>
      <c r="I85" s="96"/>
      <c r="J85" s="96"/>
      <c r="K85" s="96"/>
      <c r="L85" s="96"/>
      <c r="M85" s="96"/>
      <c r="N85" s="96"/>
      <c r="O85" s="96"/>
      <c r="P85" s="96"/>
    </row>
    <row r="86" spans="1:37" x14ac:dyDescent="0.35">
      <c r="A86" s="96"/>
      <c r="H86" s="96"/>
      <c r="I86" s="96"/>
      <c r="J86" s="96"/>
      <c r="K86" s="96"/>
      <c r="L86" s="96"/>
      <c r="M86" s="96"/>
      <c r="N86" s="96"/>
      <c r="O86" s="96"/>
      <c r="P86" s="96"/>
    </row>
    <row r="87" spans="1:37" x14ac:dyDescent="0.35">
      <c r="A87" s="96"/>
      <c r="H87" s="96"/>
      <c r="I87" s="96"/>
      <c r="J87" s="96"/>
      <c r="K87" s="96"/>
      <c r="L87" s="96"/>
      <c r="M87" s="96"/>
      <c r="N87" s="96"/>
      <c r="O87" s="96"/>
      <c r="P87" s="96"/>
    </row>
    <row r="88" spans="1:37" x14ac:dyDescent="0.35">
      <c r="A88" s="96"/>
      <c r="H88" s="96"/>
      <c r="I88" s="96"/>
      <c r="J88" s="96"/>
      <c r="K88" s="96"/>
      <c r="L88" s="96"/>
      <c r="M88" s="96"/>
      <c r="N88" s="96"/>
      <c r="O88" s="96"/>
      <c r="P88" s="96"/>
    </row>
    <row r="89" spans="1:37" x14ac:dyDescent="0.35">
      <c r="A89" s="96"/>
      <c r="H89" s="96"/>
      <c r="I89" s="96"/>
      <c r="J89" s="96"/>
      <c r="K89" s="96"/>
      <c r="L89" s="96"/>
      <c r="M89" s="96"/>
      <c r="N89" s="96"/>
      <c r="O89" s="96"/>
      <c r="P89" s="96"/>
    </row>
    <row r="90" spans="1:37" x14ac:dyDescent="0.35">
      <c r="A90" s="132"/>
      <c r="H90" s="96"/>
      <c r="I90" s="96"/>
      <c r="J90" s="96"/>
      <c r="K90" s="96"/>
      <c r="L90" s="96"/>
      <c r="M90" s="96"/>
      <c r="N90" s="96"/>
      <c r="O90" s="96"/>
      <c r="P90" s="96"/>
    </row>
    <row r="91" spans="1:37" ht="21" x14ac:dyDescent="0.5">
      <c r="B91" s="134" t="s">
        <v>255</v>
      </c>
      <c r="C91" s="136">
        <f>C46</f>
        <v>2019</v>
      </c>
      <c r="H91" s="96"/>
      <c r="I91" s="96"/>
      <c r="J91" s="96"/>
      <c r="K91" s="96"/>
      <c r="L91" s="96"/>
      <c r="M91" s="96"/>
      <c r="N91" s="96"/>
      <c r="O91" s="96"/>
      <c r="P91" s="96"/>
      <c r="W91" s="23" t="s">
        <v>202</v>
      </c>
      <c r="AB91" s="95"/>
    </row>
    <row r="92" spans="1:37" x14ac:dyDescent="0.35">
      <c r="H92" s="96"/>
      <c r="I92" s="96"/>
      <c r="J92" s="96"/>
      <c r="K92" s="96"/>
      <c r="L92" s="96"/>
      <c r="M92" s="96"/>
      <c r="N92" s="96"/>
      <c r="O92" s="96"/>
      <c r="P92" s="96"/>
      <c r="T92" s="99" t="s">
        <v>138</v>
      </c>
      <c r="W92" s="99">
        <v>1.7</v>
      </c>
      <c r="X92" s="23" t="s">
        <v>174</v>
      </c>
      <c r="Z92" s="100">
        <v>0</v>
      </c>
      <c r="AA92" s="23" t="s">
        <v>175</v>
      </c>
      <c r="AC92" s="101">
        <v>0</v>
      </c>
    </row>
    <row r="93" spans="1:37" ht="72.5" x14ac:dyDescent="0.35">
      <c r="B93" s="102" t="s">
        <v>173</v>
      </c>
      <c r="C93" s="103" t="s">
        <v>95</v>
      </c>
      <c r="D93" s="103" t="s">
        <v>172</v>
      </c>
      <c r="E93" s="103" t="s">
        <v>231</v>
      </c>
      <c r="F93" s="103" t="s">
        <v>96</v>
      </c>
      <c r="G93" s="103" t="s">
        <v>205</v>
      </c>
      <c r="H93" s="176" t="s">
        <v>99</v>
      </c>
      <c r="I93" s="176" t="s">
        <v>97</v>
      </c>
      <c r="J93" s="176" t="s">
        <v>100</v>
      </c>
      <c r="K93" s="176" t="s">
        <v>101</v>
      </c>
      <c r="L93" s="176" t="s">
        <v>102</v>
      </c>
      <c r="M93" s="176" t="s">
        <v>129</v>
      </c>
      <c r="N93" s="176" t="s">
        <v>130</v>
      </c>
      <c r="O93" s="176" t="s">
        <v>132</v>
      </c>
      <c r="P93" s="176" t="s">
        <v>133</v>
      </c>
      <c r="Q93" s="103" t="s">
        <v>131</v>
      </c>
      <c r="R93" s="117" t="s">
        <v>136</v>
      </c>
      <c r="S93" s="103" t="s">
        <v>135</v>
      </c>
      <c r="T93" s="103" t="s">
        <v>134</v>
      </c>
      <c r="U93" s="103" t="s">
        <v>103</v>
      </c>
      <c r="V93" s="117" t="s">
        <v>108</v>
      </c>
      <c r="W93" s="103" t="s">
        <v>199</v>
      </c>
      <c r="X93" s="103" t="s">
        <v>104</v>
      </c>
      <c r="Y93" s="103" t="s">
        <v>105</v>
      </c>
      <c r="Z93" s="103" t="s">
        <v>106</v>
      </c>
      <c r="AA93" s="103" t="s">
        <v>137</v>
      </c>
      <c r="AB93" s="117" t="s">
        <v>107</v>
      </c>
      <c r="AD93" s="103" t="s">
        <v>167</v>
      </c>
      <c r="AE93" s="103" t="s">
        <v>168</v>
      </c>
      <c r="AF93" s="103" t="s">
        <v>169</v>
      </c>
      <c r="AJ93" s="103" t="s">
        <v>177</v>
      </c>
      <c r="AK93" s="103" t="s">
        <v>176</v>
      </c>
    </row>
    <row r="94" spans="1:37" x14ac:dyDescent="0.35">
      <c r="A94" s="23">
        <v>20</v>
      </c>
      <c r="B94" s="120" t="s">
        <v>162</v>
      </c>
      <c r="C94" s="111" t="s">
        <v>157</v>
      </c>
      <c r="D94" s="111" t="s">
        <v>170</v>
      </c>
      <c r="E94" s="111"/>
      <c r="F94" s="111" t="s">
        <v>158</v>
      </c>
      <c r="G94" s="108">
        <f>'time-factors'!B$37*'time-factors'!B70</f>
        <v>0.679245283018868</v>
      </c>
      <c r="H94" s="166">
        <f>'time-factors'!I70</f>
        <v>0.15</v>
      </c>
      <c r="I94" s="168" t="s">
        <v>166</v>
      </c>
      <c r="J94" s="96">
        <f>'time-factors'!O$46</f>
        <v>20</v>
      </c>
      <c r="K94" s="170">
        <f>'time-factors'!I$46</f>
        <v>0.05</v>
      </c>
      <c r="L94" s="172">
        <f t="shared" ref="L94:L118" si="41">PMT(K94,J94,-H94)</f>
        <v>1.2036388078603697E-2</v>
      </c>
      <c r="M94" s="171">
        <v>0.02</v>
      </c>
      <c r="N94" s="168">
        <f t="shared" ref="N94:N118" si="42">M94*H94</f>
        <v>3.0000000000000001E-3</v>
      </c>
      <c r="O94" s="168">
        <v>1.5</v>
      </c>
      <c r="P94" s="177">
        <v>200</v>
      </c>
      <c r="Q94" s="115">
        <f t="shared" ref="Q94:Q118" si="43">P94*O94*0.001</f>
        <v>0.3</v>
      </c>
      <c r="R94" s="114">
        <f t="shared" ref="R94:R118" si="44">L94+N94+Q94</f>
        <v>0.31503638807860368</v>
      </c>
      <c r="S94" s="114">
        <f>2*O94</f>
        <v>3</v>
      </c>
      <c r="T94" s="114">
        <v>0.1</v>
      </c>
      <c r="U94" s="111">
        <f t="shared" ref="U94:U118" si="45">T94*S94</f>
        <v>0.30000000000000004</v>
      </c>
      <c r="V94" s="111">
        <f t="shared" ref="V94:V118" si="46">R94/U94</f>
        <v>1.0501212935953455</v>
      </c>
      <c r="W94" s="111">
        <v>200</v>
      </c>
      <c r="X94" s="111">
        <f t="shared" ref="X94:X118" si="47">W94*S94*0.001</f>
        <v>0.6</v>
      </c>
      <c r="Y94" s="111">
        <f t="shared" ref="Y94:Y100" si="48">$AC$2</f>
        <v>0</v>
      </c>
      <c r="Z94" s="111">
        <f t="shared" ref="Z94:Z118" si="49">Y94*U94</f>
        <v>0</v>
      </c>
      <c r="AA94" s="114">
        <f t="shared" ref="AA94:AA118" si="50">R94-X94-Z94</f>
        <v>-0.2849636119213963</v>
      </c>
      <c r="AB94" s="111">
        <f t="shared" ref="AB94:AB118" si="51">AA94/U94</f>
        <v>-0.94987870640465422</v>
      </c>
      <c r="AC94" s="111"/>
      <c r="AD94" s="107">
        <f t="shared" ref="AD94:AD118" si="52">L94/U94</f>
        <v>4.012129359534565E-2</v>
      </c>
      <c r="AE94" s="23">
        <f t="shared" ref="AE94:AE118" si="53">N94/U94</f>
        <v>9.9999999999999985E-3</v>
      </c>
      <c r="AF94" s="108">
        <f t="shared" ref="AF94:AF118" si="54">Q94/U94</f>
        <v>0.99999999999999978</v>
      </c>
      <c r="AH94" s="104">
        <f>G94</f>
        <v>0.679245283018868</v>
      </c>
      <c r="AJ94" s="104">
        <f>AH94</f>
        <v>0.679245283018868</v>
      </c>
      <c r="AK94" s="23">
        <f t="shared" ref="AK94:AK118" si="55">AB94</f>
        <v>-0.94987870640465422</v>
      </c>
    </row>
    <row r="95" spans="1:37" x14ac:dyDescent="0.35">
      <c r="A95" s="23">
        <v>21</v>
      </c>
      <c r="B95" s="120" t="s">
        <v>160</v>
      </c>
      <c r="C95" s="48" t="s">
        <v>163</v>
      </c>
      <c r="D95" s="111" t="s">
        <v>170</v>
      </c>
      <c r="E95" s="111"/>
      <c r="F95" s="48" t="s">
        <v>158</v>
      </c>
      <c r="G95" s="108">
        <f>'time-factors'!B$37*'time-factors'!B71</f>
        <v>1.2452830188679245</v>
      </c>
      <c r="H95" s="166">
        <f>'time-factors'!I71</f>
        <v>0.25</v>
      </c>
      <c r="I95" s="168" t="s">
        <v>166</v>
      </c>
      <c r="J95" s="96">
        <f>'time-factors'!O$46</f>
        <v>20</v>
      </c>
      <c r="K95" s="170">
        <f>'time-factors'!I$46</f>
        <v>0.05</v>
      </c>
      <c r="L95" s="172">
        <f t="shared" si="41"/>
        <v>2.0060646797672832E-2</v>
      </c>
      <c r="M95" s="171">
        <v>0.02</v>
      </c>
      <c r="N95" s="168">
        <f t="shared" si="42"/>
        <v>5.0000000000000001E-3</v>
      </c>
      <c r="O95" s="168">
        <v>4.4000000000000004</v>
      </c>
      <c r="P95" s="177">
        <v>200</v>
      </c>
      <c r="Q95" s="115">
        <f t="shared" si="43"/>
        <v>0.88000000000000012</v>
      </c>
      <c r="R95" s="114">
        <f t="shared" si="44"/>
        <v>0.90506064679767295</v>
      </c>
      <c r="S95" s="114">
        <f>1.2*O95</f>
        <v>5.28</v>
      </c>
      <c r="T95" s="114">
        <v>0.1</v>
      </c>
      <c r="U95" s="111">
        <f t="shared" si="45"/>
        <v>0.52800000000000002</v>
      </c>
      <c r="V95" s="111">
        <f t="shared" si="46"/>
        <v>1.7141300128743806</v>
      </c>
      <c r="W95" s="111">
        <v>200</v>
      </c>
      <c r="X95" s="111">
        <f t="shared" si="47"/>
        <v>1.056</v>
      </c>
      <c r="Y95" s="111">
        <f t="shared" si="48"/>
        <v>0</v>
      </c>
      <c r="Z95" s="111">
        <f t="shared" si="49"/>
        <v>0</v>
      </c>
      <c r="AA95" s="114">
        <f t="shared" si="50"/>
        <v>-0.1509393532023271</v>
      </c>
      <c r="AB95" s="111">
        <f t="shared" si="51"/>
        <v>-0.28586998712561951</v>
      </c>
      <c r="AC95" s="111"/>
      <c r="AD95" s="107">
        <f t="shared" si="52"/>
        <v>3.7993649238016729E-2</v>
      </c>
      <c r="AE95" s="23">
        <f t="shared" si="53"/>
        <v>9.46969696969697E-3</v>
      </c>
      <c r="AF95" s="108">
        <f t="shared" si="54"/>
        <v>1.6666666666666667</v>
      </c>
      <c r="AH95" s="104">
        <f t="shared" ref="AH95:AH118" si="56">G95</f>
        <v>1.2452830188679245</v>
      </c>
      <c r="AJ95" s="104">
        <f>AJ94+AH95</f>
        <v>1.9245283018867925</v>
      </c>
      <c r="AK95" s="23">
        <f t="shared" si="55"/>
        <v>-0.28586998712561951</v>
      </c>
    </row>
    <row r="96" spans="1:37" ht="29" x14ac:dyDescent="0.35">
      <c r="A96" s="23">
        <v>22</v>
      </c>
      <c r="B96" s="120" t="s">
        <v>161</v>
      </c>
      <c r="C96" s="48" t="s">
        <v>163</v>
      </c>
      <c r="D96" s="111" t="s">
        <v>170</v>
      </c>
      <c r="E96" s="111"/>
      <c r="F96" s="48" t="s">
        <v>158</v>
      </c>
      <c r="G96" s="108">
        <f>'time-factors'!B$37*'time-factors'!B72</f>
        <v>0.679245283018868</v>
      </c>
      <c r="H96" s="166">
        <f>'time-factors'!I72</f>
        <v>0.5</v>
      </c>
      <c r="I96" s="168" t="s">
        <v>166</v>
      </c>
      <c r="J96" s="96">
        <f>'time-factors'!O$46</f>
        <v>20</v>
      </c>
      <c r="K96" s="170">
        <f>'time-factors'!I$46</f>
        <v>0.05</v>
      </c>
      <c r="L96" s="172">
        <f t="shared" si="41"/>
        <v>4.0121293595345664E-2</v>
      </c>
      <c r="M96" s="171">
        <v>0.02</v>
      </c>
      <c r="N96" s="168">
        <f t="shared" si="42"/>
        <v>0.01</v>
      </c>
      <c r="O96" s="168">
        <v>4.4000000000000004</v>
      </c>
      <c r="P96" s="177">
        <v>200</v>
      </c>
      <c r="Q96" s="115">
        <f t="shared" si="43"/>
        <v>0.88000000000000012</v>
      </c>
      <c r="R96" s="114">
        <f t="shared" si="44"/>
        <v>0.93012129359534579</v>
      </c>
      <c r="S96" s="114">
        <f>1.2*O96</f>
        <v>5.28</v>
      </c>
      <c r="T96" s="114">
        <v>0.1</v>
      </c>
      <c r="U96" s="111">
        <f t="shared" si="45"/>
        <v>0.52800000000000002</v>
      </c>
      <c r="V96" s="111">
        <f t="shared" si="46"/>
        <v>1.7615933590820942</v>
      </c>
      <c r="W96" s="111">
        <v>200</v>
      </c>
      <c r="X96" s="111">
        <f t="shared" si="47"/>
        <v>1.056</v>
      </c>
      <c r="Y96" s="111">
        <f t="shared" si="48"/>
        <v>0</v>
      </c>
      <c r="Z96" s="111">
        <f t="shared" si="49"/>
        <v>0</v>
      </c>
      <c r="AA96" s="114">
        <f t="shared" si="50"/>
        <v>-0.12587870640465426</v>
      </c>
      <c r="AB96" s="111">
        <f t="shared" si="51"/>
        <v>-0.23840664091790578</v>
      </c>
      <c r="AC96" s="111"/>
      <c r="AD96" s="107">
        <f t="shared" si="52"/>
        <v>7.5987298476033457E-2</v>
      </c>
      <c r="AE96" s="23">
        <f t="shared" si="53"/>
        <v>1.893939393939394E-2</v>
      </c>
      <c r="AF96" s="108">
        <f t="shared" si="54"/>
        <v>1.6666666666666667</v>
      </c>
      <c r="AH96" s="104">
        <f t="shared" si="56"/>
        <v>0.679245283018868</v>
      </c>
      <c r="AJ96" s="104">
        <f t="shared" ref="AJ96:AJ118" si="57">AJ95+AH96</f>
        <v>2.6037735849056602</v>
      </c>
      <c r="AK96" s="23">
        <f t="shared" si="55"/>
        <v>-0.23840664091790578</v>
      </c>
    </row>
    <row r="97" spans="1:37" x14ac:dyDescent="0.35">
      <c r="A97" s="23">
        <v>24</v>
      </c>
      <c r="B97" s="120" t="s">
        <v>165</v>
      </c>
      <c r="C97" s="120" t="s">
        <v>165</v>
      </c>
      <c r="D97" s="111" t="s">
        <v>170</v>
      </c>
      <c r="E97" s="111"/>
      <c r="F97" s="48" t="s">
        <v>158</v>
      </c>
      <c r="G97" s="108">
        <f>'time-factors'!B$37*'time-factors'!B74</f>
        <v>0.45283018867924529</v>
      </c>
      <c r="H97" s="166">
        <f>'time-factors'!I74</f>
        <v>0.5</v>
      </c>
      <c r="I97" s="168" t="s">
        <v>166</v>
      </c>
      <c r="J97" s="96">
        <f>'time-factors'!O$46</f>
        <v>20</v>
      </c>
      <c r="K97" s="170">
        <f>'time-factors'!I$47</f>
        <v>0.05</v>
      </c>
      <c r="L97" s="172">
        <f t="shared" si="41"/>
        <v>4.0121293595345664E-2</v>
      </c>
      <c r="M97" s="171">
        <v>0.02</v>
      </c>
      <c r="N97" s="168">
        <f t="shared" si="42"/>
        <v>0.01</v>
      </c>
      <c r="O97" s="168">
        <v>4.4000000000000004</v>
      </c>
      <c r="P97" s="177">
        <v>200</v>
      </c>
      <c r="Q97" s="115">
        <f t="shared" si="43"/>
        <v>0.88000000000000012</v>
      </c>
      <c r="R97" s="114">
        <f t="shared" si="44"/>
        <v>0.93012129359534579</v>
      </c>
      <c r="S97" s="114">
        <f>1.2*O97</f>
        <v>5.28</v>
      </c>
      <c r="T97" s="114">
        <v>0.1</v>
      </c>
      <c r="U97" s="111">
        <f t="shared" si="45"/>
        <v>0.52800000000000002</v>
      </c>
      <c r="V97" s="111">
        <f t="shared" si="46"/>
        <v>1.7615933590820942</v>
      </c>
      <c r="W97" s="111">
        <v>200</v>
      </c>
      <c r="X97" s="111">
        <f t="shared" si="47"/>
        <v>1.056</v>
      </c>
      <c r="Y97" s="111">
        <f t="shared" si="48"/>
        <v>0</v>
      </c>
      <c r="Z97" s="111">
        <f t="shared" si="49"/>
        <v>0</v>
      </c>
      <c r="AA97" s="114">
        <f t="shared" si="50"/>
        <v>-0.12587870640465426</v>
      </c>
      <c r="AB97" s="111">
        <f t="shared" si="51"/>
        <v>-0.23840664091790578</v>
      </c>
      <c r="AC97" s="111"/>
      <c r="AD97" s="107">
        <f t="shared" si="52"/>
        <v>7.5987298476033457E-2</v>
      </c>
      <c r="AE97" s="23">
        <f t="shared" si="53"/>
        <v>1.893939393939394E-2</v>
      </c>
      <c r="AF97" s="108">
        <f t="shared" si="54"/>
        <v>1.6666666666666667</v>
      </c>
      <c r="AH97" s="104">
        <f t="shared" si="56"/>
        <v>0.45283018867924529</v>
      </c>
      <c r="AJ97" s="104">
        <f t="shared" si="57"/>
        <v>3.0566037735849054</v>
      </c>
      <c r="AK97" s="23">
        <f t="shared" si="55"/>
        <v>-0.23840664091790578</v>
      </c>
    </row>
    <row r="98" spans="1:37" x14ac:dyDescent="0.35">
      <c r="A98" s="23">
        <v>23</v>
      </c>
      <c r="B98" s="120" t="s">
        <v>164</v>
      </c>
      <c r="C98" s="48" t="s">
        <v>163</v>
      </c>
      <c r="D98" s="111" t="s">
        <v>170</v>
      </c>
      <c r="E98" s="111"/>
      <c r="F98" s="48" t="s">
        <v>158</v>
      </c>
      <c r="G98" s="108">
        <f>'time-factors'!B$37*'time-factors'!B73</f>
        <v>1.1320754716981132</v>
      </c>
      <c r="H98" s="166">
        <f>'time-factors'!I73</f>
        <v>1</v>
      </c>
      <c r="I98" s="168" t="s">
        <v>166</v>
      </c>
      <c r="J98" s="96">
        <f>'time-factors'!O$46</f>
        <v>20</v>
      </c>
      <c r="K98" s="170">
        <f>'time-factors'!I$46</f>
        <v>0.05</v>
      </c>
      <c r="L98" s="172">
        <f t="shared" si="41"/>
        <v>8.0242587190691328E-2</v>
      </c>
      <c r="M98" s="171">
        <v>0.02</v>
      </c>
      <c r="N98" s="168">
        <f t="shared" si="42"/>
        <v>0.02</v>
      </c>
      <c r="O98" s="168">
        <v>4.4000000000000004</v>
      </c>
      <c r="P98" s="177">
        <v>200</v>
      </c>
      <c r="Q98" s="115">
        <f t="shared" si="43"/>
        <v>0.88000000000000012</v>
      </c>
      <c r="R98" s="114">
        <f t="shared" si="44"/>
        <v>0.98024258719069146</v>
      </c>
      <c r="S98" s="114">
        <f>1.2*O98</f>
        <v>5.28</v>
      </c>
      <c r="T98" s="114">
        <v>0.1</v>
      </c>
      <c r="U98" s="111">
        <f t="shared" si="45"/>
        <v>0.52800000000000002</v>
      </c>
      <c r="V98" s="111">
        <f t="shared" si="46"/>
        <v>1.8565200514975215</v>
      </c>
      <c r="W98" s="111">
        <v>200</v>
      </c>
      <c r="X98" s="111">
        <f t="shared" si="47"/>
        <v>1.056</v>
      </c>
      <c r="Y98" s="111">
        <f t="shared" si="48"/>
        <v>0</v>
      </c>
      <c r="Z98" s="111">
        <f t="shared" si="49"/>
        <v>0</v>
      </c>
      <c r="AA98" s="114">
        <f t="shared" si="50"/>
        <v>-7.5757412809308589E-2</v>
      </c>
      <c r="AB98" s="111">
        <f t="shared" si="51"/>
        <v>-0.14347994850247839</v>
      </c>
      <c r="AC98" s="111"/>
      <c r="AD98" s="107">
        <f t="shared" si="52"/>
        <v>0.15197459695206691</v>
      </c>
      <c r="AE98" s="23">
        <f t="shared" si="53"/>
        <v>3.787878787878788E-2</v>
      </c>
      <c r="AF98" s="108">
        <f t="shared" si="54"/>
        <v>1.6666666666666667</v>
      </c>
      <c r="AH98" s="104">
        <f t="shared" si="56"/>
        <v>1.1320754716981132</v>
      </c>
      <c r="AJ98" s="104">
        <f t="shared" si="57"/>
        <v>4.1886792452830184</v>
      </c>
      <c r="AK98" s="23">
        <f t="shared" si="55"/>
        <v>-0.14347994850247839</v>
      </c>
    </row>
    <row r="99" spans="1:37" x14ac:dyDescent="0.35">
      <c r="A99" s="23">
        <v>19</v>
      </c>
      <c r="B99" s="120" t="s">
        <v>140</v>
      </c>
      <c r="C99" s="111" t="s">
        <v>157</v>
      </c>
      <c r="D99" s="111" t="s">
        <v>170</v>
      </c>
      <c r="E99" s="111"/>
      <c r="F99" s="111" t="s">
        <v>159</v>
      </c>
      <c r="G99" s="108">
        <f>'time-factors'!B$37*'time-factors'!B69</f>
        <v>1.4150943396226416</v>
      </c>
      <c r="H99" s="166">
        <f>'time-factors'!I69</f>
        <v>2</v>
      </c>
      <c r="I99" s="168" t="s">
        <v>166</v>
      </c>
      <c r="J99" s="96">
        <f>'time-factors'!O$45</f>
        <v>15</v>
      </c>
      <c r="K99" s="170">
        <f>'time-factors'!I$45</f>
        <v>0.05</v>
      </c>
      <c r="L99" s="172">
        <f t="shared" si="41"/>
        <v>0.19268457521848875</v>
      </c>
      <c r="M99" s="171">
        <v>0</v>
      </c>
      <c r="N99" s="168">
        <f t="shared" si="42"/>
        <v>0</v>
      </c>
      <c r="O99" s="168">
        <v>2.63</v>
      </c>
      <c r="P99" s="177">
        <v>200</v>
      </c>
      <c r="Q99" s="115">
        <f t="shared" si="43"/>
        <v>0.52600000000000002</v>
      </c>
      <c r="R99" s="114">
        <f t="shared" si="44"/>
        <v>0.71868457521848872</v>
      </c>
      <c r="S99" s="114">
        <f>3.5*O99</f>
        <v>9.2050000000000001</v>
      </c>
      <c r="T99" s="114">
        <v>0.18</v>
      </c>
      <c r="U99" s="111">
        <f t="shared" si="45"/>
        <v>1.6569</v>
      </c>
      <c r="V99" s="111">
        <f t="shared" si="46"/>
        <v>0.43375253498611183</v>
      </c>
      <c r="W99" s="116">
        <v>103</v>
      </c>
      <c r="X99" s="111">
        <f t="shared" si="47"/>
        <v>0.94811500000000004</v>
      </c>
      <c r="Y99" s="111">
        <f t="shared" si="48"/>
        <v>0</v>
      </c>
      <c r="Z99" s="111">
        <f t="shared" si="49"/>
        <v>0</v>
      </c>
      <c r="AA99" s="114">
        <f t="shared" si="50"/>
        <v>-0.22943042478151132</v>
      </c>
      <c r="AB99" s="111">
        <f t="shared" si="51"/>
        <v>-0.13846968723611039</v>
      </c>
      <c r="AC99" s="111"/>
      <c r="AD99" s="107">
        <f t="shared" si="52"/>
        <v>0.1162922175257944</v>
      </c>
      <c r="AE99" s="23">
        <f t="shared" si="53"/>
        <v>0</v>
      </c>
      <c r="AF99" s="108">
        <f t="shared" si="54"/>
        <v>0.31746031746031744</v>
      </c>
      <c r="AH99" s="104">
        <f t="shared" si="56"/>
        <v>1.4150943396226416</v>
      </c>
      <c r="AJ99" s="104">
        <f t="shared" si="57"/>
        <v>5.6037735849056602</v>
      </c>
      <c r="AK99" s="23">
        <f t="shared" si="55"/>
        <v>-0.13846968723611039</v>
      </c>
    </row>
    <row r="100" spans="1:37" ht="29" x14ac:dyDescent="0.35">
      <c r="A100" s="23">
        <v>25</v>
      </c>
      <c r="B100" s="121" t="s">
        <v>204</v>
      </c>
      <c r="C100" s="24" t="s">
        <v>41</v>
      </c>
      <c r="D100" s="24" t="s">
        <v>198</v>
      </c>
      <c r="E100" s="24"/>
      <c r="F100" s="24" t="s">
        <v>203</v>
      </c>
      <c r="G100" s="108">
        <f>'time-factors'!B$37*'time-factors'!B75</f>
        <v>1.4150943396226416</v>
      </c>
      <c r="H100" s="166">
        <f>'time-factors'!I75</f>
        <v>4.0999999999999996</v>
      </c>
      <c r="I100" s="53" t="s">
        <v>166</v>
      </c>
      <c r="J100" s="96">
        <f>'time-factors'!O$47</f>
        <v>10</v>
      </c>
      <c r="K100" s="170">
        <f>'time-factors'!I$46</f>
        <v>0.05</v>
      </c>
      <c r="L100" s="55">
        <f t="shared" si="41"/>
        <v>0.53096875735837223</v>
      </c>
      <c r="M100" s="54">
        <v>0</v>
      </c>
      <c r="N100" s="53">
        <f t="shared" si="42"/>
        <v>0</v>
      </c>
      <c r="O100" s="53">
        <v>2.2000000000000002</v>
      </c>
      <c r="P100" s="178">
        <v>200</v>
      </c>
      <c r="Q100" s="56">
        <f t="shared" si="43"/>
        <v>0.44000000000000006</v>
      </c>
      <c r="R100" s="55">
        <f t="shared" si="44"/>
        <v>0.97096875735837229</v>
      </c>
      <c r="S100" s="59">
        <f>2*O100</f>
        <v>4.4000000000000004</v>
      </c>
      <c r="T100" s="59">
        <v>0.27</v>
      </c>
      <c r="U100" s="53">
        <f t="shared" si="45"/>
        <v>1.1880000000000002</v>
      </c>
      <c r="V100" s="53">
        <f t="shared" si="46"/>
        <v>0.81731376882017859</v>
      </c>
      <c r="W100" s="53">
        <v>200</v>
      </c>
      <c r="X100" s="57">
        <f t="shared" si="47"/>
        <v>0.88000000000000012</v>
      </c>
      <c r="Y100" s="53">
        <f t="shared" si="48"/>
        <v>0</v>
      </c>
      <c r="Z100" s="53">
        <f t="shared" si="49"/>
        <v>0</v>
      </c>
      <c r="AA100" s="55">
        <f t="shared" si="50"/>
        <v>9.0968757358372176E-2</v>
      </c>
      <c r="AB100" s="53">
        <f t="shared" si="51"/>
        <v>7.6573028079437847E-2</v>
      </c>
      <c r="AC100" s="53"/>
      <c r="AD100" s="107">
        <f t="shared" si="52"/>
        <v>0.44694339844980824</v>
      </c>
      <c r="AE100" s="23">
        <f t="shared" si="53"/>
        <v>0</v>
      </c>
      <c r="AF100" s="108">
        <f t="shared" si="54"/>
        <v>0.37037037037037035</v>
      </c>
      <c r="AH100" s="104">
        <f t="shared" si="56"/>
        <v>1.4150943396226416</v>
      </c>
      <c r="AJ100" s="104">
        <f t="shared" si="57"/>
        <v>7.0188679245283021</v>
      </c>
      <c r="AK100" s="23">
        <f t="shared" si="55"/>
        <v>7.6573028079437847E-2</v>
      </c>
    </row>
    <row r="101" spans="1:37" x14ac:dyDescent="0.35">
      <c r="A101" s="23">
        <v>12</v>
      </c>
      <c r="B101" s="118" t="s">
        <v>151</v>
      </c>
      <c r="C101" s="23" t="s">
        <v>139</v>
      </c>
      <c r="D101" s="23" t="s">
        <v>171</v>
      </c>
      <c r="E101" s="23" t="s">
        <v>128</v>
      </c>
      <c r="F101" s="23" t="s">
        <v>83</v>
      </c>
      <c r="G101" s="108">
        <f>'time-factors'!B$37*'time-factors'!B62</f>
        <v>0.11320754716981132</v>
      </c>
      <c r="H101" s="166">
        <f>'time-factors'!I62</f>
        <v>45</v>
      </c>
      <c r="I101" s="96" t="s">
        <v>98</v>
      </c>
      <c r="J101" s="96">
        <f>'time-factors'!O$43</f>
        <v>10</v>
      </c>
      <c r="K101" s="170">
        <f>'time-factors'!I$43</f>
        <v>0.05</v>
      </c>
      <c r="L101" s="173">
        <f t="shared" si="41"/>
        <v>5.8277058734455496</v>
      </c>
      <c r="M101" s="170">
        <v>0</v>
      </c>
      <c r="N101" s="96">
        <f t="shared" si="42"/>
        <v>0</v>
      </c>
      <c r="O101" s="167" cm="1">
        <f t="array" ref="O101">IFERROR(_xlfn.IFS(E101="Heavy", 'vehicle E calcs'!$H$33,E101="Cars/vans",'vehicle E calcs'!$H$32),"")</f>
        <v>6.3768270755398833</v>
      </c>
      <c r="P101" s="106">
        <v>200</v>
      </c>
      <c r="Q101" s="108">
        <f t="shared" si="43"/>
        <v>1.2753654151079765</v>
      </c>
      <c r="R101" s="107">
        <f t="shared" si="44"/>
        <v>7.1030712885535259</v>
      </c>
      <c r="S101" s="107" cm="1">
        <f t="array" ref="S101">_xlfn.IFS(E101="Heavy", 'vehicle E calcs'!$T$21,E101="Cars/vans",'vehicle E calcs'!$S$21)*O101</f>
        <v>23.354986057632608</v>
      </c>
      <c r="T101" s="109">
        <v>0.27</v>
      </c>
      <c r="U101" s="23">
        <f t="shared" si="45"/>
        <v>6.3058462355608045</v>
      </c>
      <c r="V101" s="23">
        <f t="shared" si="46"/>
        <v>1.1264263388626412</v>
      </c>
      <c r="W101" s="106">
        <f t="shared" ref="W101:W118" si="58">W$2*105</f>
        <v>168</v>
      </c>
      <c r="X101" s="23">
        <f t="shared" si="47"/>
        <v>3.9236376576822782</v>
      </c>
      <c r="Y101" s="96">
        <f t="shared" ref="Y101:Y118" si="59">$Z$2</f>
        <v>0</v>
      </c>
      <c r="Z101" s="23">
        <f t="shared" si="49"/>
        <v>0</v>
      </c>
      <c r="AA101" s="107">
        <f t="shared" si="50"/>
        <v>3.1794336308712476</v>
      </c>
      <c r="AB101" s="23">
        <f t="shared" si="51"/>
        <v>0.50420411664041909</v>
      </c>
      <c r="AD101" s="107">
        <f t="shared" si="52"/>
        <v>0.92417506798391957</v>
      </c>
      <c r="AE101" s="23">
        <f t="shared" si="53"/>
        <v>0</v>
      </c>
      <c r="AF101" s="108">
        <f t="shared" si="54"/>
        <v>0.20225127087872183</v>
      </c>
      <c r="AH101" s="104">
        <f t="shared" si="56"/>
        <v>0.11320754716981132</v>
      </c>
      <c r="AJ101" s="104">
        <f t="shared" si="57"/>
        <v>7.1320754716981138</v>
      </c>
      <c r="AK101" s="23">
        <f t="shared" si="55"/>
        <v>0.50420411664041909</v>
      </c>
    </row>
    <row r="102" spans="1:37" x14ac:dyDescent="0.35">
      <c r="A102" s="23">
        <v>16</v>
      </c>
      <c r="B102" s="118" t="s">
        <v>154</v>
      </c>
      <c r="C102" s="23" t="s">
        <v>139</v>
      </c>
      <c r="D102" s="23" t="s">
        <v>171</v>
      </c>
      <c r="E102" s="23" t="s">
        <v>128</v>
      </c>
      <c r="F102" s="23" t="s">
        <v>83</v>
      </c>
      <c r="G102" s="108">
        <f>'time-factors'!B$37*'time-factors'!B66</f>
        <v>0.11320754716981132</v>
      </c>
      <c r="H102" s="166">
        <f>'time-factors'!I66</f>
        <v>45</v>
      </c>
      <c r="I102" s="96" t="s">
        <v>98</v>
      </c>
      <c r="J102" s="96">
        <f>'time-factors'!O$43</f>
        <v>10</v>
      </c>
      <c r="K102" s="170">
        <f>'time-factors'!I$43</f>
        <v>0.05</v>
      </c>
      <c r="L102" s="173">
        <f t="shared" si="41"/>
        <v>5.8277058734455496</v>
      </c>
      <c r="M102" s="170">
        <v>0</v>
      </c>
      <c r="N102" s="96">
        <f t="shared" si="42"/>
        <v>0</v>
      </c>
      <c r="O102" s="167" cm="1">
        <f t="array" ref="O102">IFERROR(_xlfn.IFS(E102="Heavy", 'vehicle E calcs'!$H$33,E102="Cars/vans",'vehicle E calcs'!$H$32),"")</f>
        <v>6.3768270755398833</v>
      </c>
      <c r="P102" s="106">
        <v>200</v>
      </c>
      <c r="Q102" s="108">
        <f t="shared" si="43"/>
        <v>1.2753654151079765</v>
      </c>
      <c r="R102" s="107">
        <f t="shared" si="44"/>
        <v>7.1030712885535259</v>
      </c>
      <c r="S102" s="107" cm="1">
        <f t="array" ref="S102">_xlfn.IFS(E102="Heavy", 'vehicle E calcs'!$T$21,E102="Cars/vans",'vehicle E calcs'!$S$21)*O102</f>
        <v>23.354986057632608</v>
      </c>
      <c r="T102" s="109">
        <v>0.27</v>
      </c>
      <c r="U102" s="23">
        <f t="shared" si="45"/>
        <v>6.3058462355608045</v>
      </c>
      <c r="V102" s="23">
        <f t="shared" si="46"/>
        <v>1.1264263388626412</v>
      </c>
      <c r="W102" s="106">
        <f t="shared" si="58"/>
        <v>168</v>
      </c>
      <c r="X102" s="23">
        <f t="shared" si="47"/>
        <v>3.9236376576822782</v>
      </c>
      <c r="Y102" s="96">
        <f t="shared" si="59"/>
        <v>0</v>
      </c>
      <c r="Z102" s="23">
        <f t="shared" si="49"/>
        <v>0</v>
      </c>
      <c r="AA102" s="107">
        <f t="shared" si="50"/>
        <v>3.1794336308712476</v>
      </c>
      <c r="AB102" s="23">
        <f t="shared" si="51"/>
        <v>0.50420411664041909</v>
      </c>
      <c r="AD102" s="107">
        <f t="shared" si="52"/>
        <v>0.92417506798391957</v>
      </c>
      <c r="AE102" s="23">
        <f t="shared" si="53"/>
        <v>0</v>
      </c>
      <c r="AF102" s="108">
        <f t="shared" si="54"/>
        <v>0.20225127087872183</v>
      </c>
      <c r="AH102" s="104">
        <f t="shared" si="56"/>
        <v>0.11320754716981132</v>
      </c>
      <c r="AJ102" s="104">
        <f t="shared" si="57"/>
        <v>7.2452830188679256</v>
      </c>
      <c r="AK102" s="23">
        <f t="shared" si="55"/>
        <v>0.50420411664041909</v>
      </c>
    </row>
    <row r="103" spans="1:37" ht="45.5" x14ac:dyDescent="0.35">
      <c r="A103" s="23">
        <v>13</v>
      </c>
      <c r="B103" s="118" t="s">
        <v>232</v>
      </c>
      <c r="C103" s="23" t="s">
        <v>139</v>
      </c>
      <c r="D103" s="23" t="s">
        <v>171</v>
      </c>
      <c r="E103" s="23" t="s">
        <v>188</v>
      </c>
      <c r="F103" s="23" t="s">
        <v>83</v>
      </c>
      <c r="G103" s="108">
        <f>'time-factors'!B$37*'time-factors'!B63</f>
        <v>0.12452830188679247</v>
      </c>
      <c r="H103" s="166">
        <f>'time-factors'!I63</f>
        <v>77.5</v>
      </c>
      <c r="I103" s="96" t="s">
        <v>98</v>
      </c>
      <c r="J103" s="96">
        <f>'time-factors'!O$43</f>
        <v>10</v>
      </c>
      <c r="K103" s="170">
        <f>'time-factors'!I$43</f>
        <v>0.05</v>
      </c>
      <c r="L103" s="173">
        <f t="shared" si="41"/>
        <v>10.036604559822891</v>
      </c>
      <c r="M103" s="170">
        <v>0</v>
      </c>
      <c r="N103" s="96">
        <f t="shared" si="42"/>
        <v>0</v>
      </c>
      <c r="O103" s="167" cm="1">
        <f t="array" ref="O103">IFERROR(_xlfn.IFS(E103="Heavy", 'vehicle E calcs'!$H$33,E103="Cars/vans",'vehicle E calcs'!$H$32),"")</f>
        <v>7.1233383316924828</v>
      </c>
      <c r="P103" s="106">
        <v>200</v>
      </c>
      <c r="Q103" s="108">
        <f t="shared" si="43"/>
        <v>1.4246676663384965</v>
      </c>
      <c r="R103" s="107">
        <f t="shared" si="44"/>
        <v>11.461272226161388</v>
      </c>
      <c r="S103" s="107" cm="1">
        <f t="array" ref="S103">_xlfn.IFS(E103="Heavy", 'vehicle E calcs'!$T$21,E103="Cars/vans",'vehicle E calcs'!$S$21)*O103</f>
        <v>24.362584419881831</v>
      </c>
      <c r="T103" s="109">
        <v>0.27</v>
      </c>
      <c r="U103" s="23">
        <f t="shared" si="45"/>
        <v>6.5778977933680949</v>
      </c>
      <c r="V103" s="23">
        <f t="shared" si="46"/>
        <v>1.7423913514917733</v>
      </c>
      <c r="W103" s="106">
        <f t="shared" si="58"/>
        <v>168</v>
      </c>
      <c r="X103" s="23">
        <f t="shared" si="47"/>
        <v>4.0929141825401478</v>
      </c>
      <c r="Y103" s="96">
        <f t="shared" si="59"/>
        <v>0</v>
      </c>
      <c r="Z103" s="23">
        <f t="shared" si="49"/>
        <v>0</v>
      </c>
      <c r="AA103" s="107">
        <f t="shared" si="50"/>
        <v>7.3683580436212397</v>
      </c>
      <c r="AB103" s="23">
        <f t="shared" si="51"/>
        <v>1.120169129269551</v>
      </c>
      <c r="AD103" s="107">
        <f t="shared" si="52"/>
        <v>1.5258073133854253</v>
      </c>
      <c r="AE103" s="23">
        <f t="shared" si="53"/>
        <v>0</v>
      </c>
      <c r="AF103" s="108">
        <f t="shared" si="54"/>
        <v>0.2165840381063478</v>
      </c>
      <c r="AH103" s="104">
        <f t="shared" si="56"/>
        <v>0.12452830188679247</v>
      </c>
      <c r="AJ103" s="104">
        <f t="shared" si="57"/>
        <v>7.3698113207547182</v>
      </c>
      <c r="AK103" s="23">
        <f t="shared" si="55"/>
        <v>1.120169129269551</v>
      </c>
    </row>
    <row r="104" spans="1:37" x14ac:dyDescent="0.35">
      <c r="A104" s="23">
        <v>11</v>
      </c>
      <c r="B104" s="118" t="s">
        <v>150</v>
      </c>
      <c r="C104" s="23" t="s">
        <v>139</v>
      </c>
      <c r="D104" s="23" t="s">
        <v>171</v>
      </c>
      <c r="E104" s="23" t="s">
        <v>128</v>
      </c>
      <c r="F104" s="23" t="s">
        <v>83</v>
      </c>
      <c r="G104" s="108">
        <f>'time-factors'!B$37*'time-factors'!B61</f>
        <v>5.6603773584905662E-2</v>
      </c>
      <c r="H104" s="166">
        <f>'time-factors'!I61</f>
        <v>77.5</v>
      </c>
      <c r="I104" s="96" t="s">
        <v>98</v>
      </c>
      <c r="J104" s="96">
        <f>'time-factors'!O$43</f>
        <v>10</v>
      </c>
      <c r="K104" s="170">
        <f>'time-factors'!I$43</f>
        <v>0.05</v>
      </c>
      <c r="L104" s="173">
        <f t="shared" si="41"/>
        <v>10.036604559822891</v>
      </c>
      <c r="M104" s="170">
        <v>0</v>
      </c>
      <c r="N104" s="96">
        <f t="shared" si="42"/>
        <v>0</v>
      </c>
      <c r="O104" s="167" cm="1">
        <f t="array" ref="O104">IFERROR(_xlfn.IFS(E104="Heavy", 'vehicle E calcs'!$H$33,E104="Cars/vans",'vehicle E calcs'!$H$32),"")</f>
        <v>6.3768270755398833</v>
      </c>
      <c r="P104" s="106">
        <v>200</v>
      </c>
      <c r="Q104" s="108">
        <f t="shared" si="43"/>
        <v>1.2753654151079765</v>
      </c>
      <c r="R104" s="107">
        <f t="shared" si="44"/>
        <v>11.311969974930868</v>
      </c>
      <c r="S104" s="107" cm="1">
        <f t="array" ref="S104">_xlfn.IFS(E104="Heavy", 'vehicle E calcs'!$T$21,E104="Cars/vans",'vehicle E calcs'!$S$21)*O104</f>
        <v>23.354986057632608</v>
      </c>
      <c r="T104" s="109">
        <v>0.27</v>
      </c>
      <c r="U104" s="23">
        <f t="shared" si="45"/>
        <v>6.3058462355608045</v>
      </c>
      <c r="V104" s="23">
        <f t="shared" si="46"/>
        <v>1.7938861101843611</v>
      </c>
      <c r="W104" s="106">
        <f t="shared" si="58"/>
        <v>168</v>
      </c>
      <c r="X104" s="23">
        <f t="shared" si="47"/>
        <v>3.9236376576822782</v>
      </c>
      <c r="Y104" s="96">
        <f t="shared" si="59"/>
        <v>0</v>
      </c>
      <c r="Z104" s="23">
        <f t="shared" si="49"/>
        <v>0</v>
      </c>
      <c r="AA104" s="107">
        <f t="shared" si="50"/>
        <v>7.3883323172485902</v>
      </c>
      <c r="AB104" s="23">
        <f t="shared" si="51"/>
        <v>1.1716638879621391</v>
      </c>
      <c r="AD104" s="107">
        <f t="shared" si="52"/>
        <v>1.5916348393056392</v>
      </c>
      <c r="AE104" s="23">
        <f t="shared" si="53"/>
        <v>0</v>
      </c>
      <c r="AF104" s="108">
        <f t="shared" si="54"/>
        <v>0.20225127087872183</v>
      </c>
      <c r="AH104" s="104">
        <f t="shared" si="56"/>
        <v>5.6603773584905662E-2</v>
      </c>
      <c r="AJ104" s="104">
        <f t="shared" si="57"/>
        <v>7.4264150943396237</v>
      </c>
      <c r="AK104" s="23">
        <f t="shared" si="55"/>
        <v>1.1716638879621391</v>
      </c>
    </row>
    <row r="105" spans="1:37" x14ac:dyDescent="0.35">
      <c r="A105" s="23">
        <v>6</v>
      </c>
      <c r="B105" s="118" t="s">
        <v>146</v>
      </c>
      <c r="C105" s="23" t="s">
        <v>139</v>
      </c>
      <c r="D105" s="23" t="s">
        <v>171</v>
      </c>
      <c r="E105" s="23" t="s">
        <v>188</v>
      </c>
      <c r="F105" s="23" t="s">
        <v>83</v>
      </c>
      <c r="G105" s="108">
        <f>'time-factors'!B$37*'time-factors'!B56</f>
        <v>0.16415094339622641</v>
      </c>
      <c r="H105" s="166">
        <f>'time-factors'!I56</f>
        <v>148.64528000000001</v>
      </c>
      <c r="I105" s="96" t="s">
        <v>98</v>
      </c>
      <c r="J105" s="96">
        <f>'time-factors'!O$43</f>
        <v>10</v>
      </c>
      <c r="K105" s="170">
        <f>'time-factors'!I$43</f>
        <v>0.05</v>
      </c>
      <c r="L105" s="173">
        <f t="shared" si="41"/>
        <v>19.250243807021299</v>
      </c>
      <c r="M105" s="170">
        <v>0</v>
      </c>
      <c r="N105" s="96">
        <f t="shared" si="42"/>
        <v>0</v>
      </c>
      <c r="O105" s="167" cm="1">
        <f t="array" ref="O105">IFERROR(_xlfn.IFS(E105="Heavy", 'vehicle E calcs'!$H$33,E105="Cars/vans",'vehicle E calcs'!$H$32),"")</f>
        <v>7.1233383316924828</v>
      </c>
      <c r="P105" s="106">
        <v>200</v>
      </c>
      <c r="Q105" s="108">
        <f t="shared" si="43"/>
        <v>1.4246676663384965</v>
      </c>
      <c r="R105" s="107">
        <f t="shared" si="44"/>
        <v>20.674911473359796</v>
      </c>
      <c r="S105" s="107" cm="1">
        <f t="array" ref="S105">_xlfn.IFS(E105="Heavy", 'vehicle E calcs'!$T$21,E105="Cars/vans",'vehicle E calcs'!$S$21)*O105</f>
        <v>24.362584419881831</v>
      </c>
      <c r="T105" s="109">
        <v>0.27</v>
      </c>
      <c r="U105" s="23">
        <f t="shared" si="45"/>
        <v>6.5778977933680949</v>
      </c>
      <c r="V105" s="23">
        <f t="shared" si="46"/>
        <v>3.1430879777737588</v>
      </c>
      <c r="W105" s="106">
        <f t="shared" si="58"/>
        <v>168</v>
      </c>
      <c r="X105" s="23">
        <f t="shared" si="47"/>
        <v>4.0929141825401478</v>
      </c>
      <c r="Y105" s="96">
        <f t="shared" si="59"/>
        <v>0</v>
      </c>
      <c r="Z105" s="23">
        <f t="shared" si="49"/>
        <v>0</v>
      </c>
      <c r="AA105" s="107">
        <f t="shared" si="50"/>
        <v>16.581997290819647</v>
      </c>
      <c r="AB105" s="23">
        <f t="shared" si="51"/>
        <v>2.5208657555515366</v>
      </c>
      <c r="AD105" s="107">
        <f t="shared" si="52"/>
        <v>2.9265039396674108</v>
      </c>
      <c r="AE105" s="23">
        <f t="shared" si="53"/>
        <v>0</v>
      </c>
      <c r="AF105" s="108">
        <f t="shared" si="54"/>
        <v>0.2165840381063478</v>
      </c>
      <c r="AH105" s="104">
        <f t="shared" si="56"/>
        <v>0.16415094339622641</v>
      </c>
      <c r="AJ105" s="104">
        <f t="shared" si="57"/>
        <v>7.5905660377358499</v>
      </c>
      <c r="AK105" s="23">
        <f t="shared" si="55"/>
        <v>2.5208657555515366</v>
      </c>
    </row>
    <row r="106" spans="1:37" x14ac:dyDescent="0.35">
      <c r="A106" s="23">
        <v>1</v>
      </c>
      <c r="B106" s="118" t="s">
        <v>141</v>
      </c>
      <c r="C106" s="23" t="s">
        <v>139</v>
      </c>
      <c r="D106" s="23" t="s">
        <v>171</v>
      </c>
      <c r="E106" s="23" t="s">
        <v>128</v>
      </c>
      <c r="F106" s="23" t="s">
        <v>83</v>
      </c>
      <c r="G106" s="108">
        <f>'time-factors'!B$37*'time-factors'!B51</f>
        <v>0.19811320754716982</v>
      </c>
      <c r="H106" s="166">
        <f>'time-factors'!I51</f>
        <v>199.07849999999999</v>
      </c>
      <c r="I106" s="96" t="s">
        <v>98</v>
      </c>
      <c r="J106" s="96">
        <f>'time-factors'!O$43</f>
        <v>10</v>
      </c>
      <c r="K106" s="170">
        <f>'time-factors'!I$43</f>
        <v>0.05</v>
      </c>
      <c r="L106" s="173">
        <f t="shared" si="41"/>
        <v>25.781576527260661</v>
      </c>
      <c r="M106" s="170">
        <v>0</v>
      </c>
      <c r="N106" s="96">
        <f t="shared" si="42"/>
        <v>0</v>
      </c>
      <c r="O106" s="167" cm="1">
        <f t="array" ref="O106">IFERROR(_xlfn.IFS(E106="Heavy", 'vehicle E calcs'!$H$33,E106="Cars/vans",'vehicle E calcs'!$H$32),"")</f>
        <v>6.3768270755398833</v>
      </c>
      <c r="P106" s="106">
        <v>200</v>
      </c>
      <c r="Q106" s="108">
        <f t="shared" si="43"/>
        <v>1.2753654151079765</v>
      </c>
      <c r="R106" s="107">
        <f t="shared" si="44"/>
        <v>27.056941942368638</v>
      </c>
      <c r="S106" s="107" cm="1">
        <f t="array" ref="S106">_xlfn.IFS(E106="Heavy", 'vehicle E calcs'!$T$21,E106="Cars/vans",'vehicle E calcs'!$S$21)*O106</f>
        <v>23.354986057632608</v>
      </c>
      <c r="T106" s="109">
        <v>0.27</v>
      </c>
      <c r="U106" s="23">
        <f t="shared" si="45"/>
        <v>6.3058462355608045</v>
      </c>
      <c r="V106" s="23">
        <f t="shared" si="46"/>
        <v>4.2907709658039819</v>
      </c>
      <c r="W106" s="106">
        <f t="shared" si="58"/>
        <v>168</v>
      </c>
      <c r="X106" s="23">
        <f t="shared" si="47"/>
        <v>3.9236376576822782</v>
      </c>
      <c r="Y106" s="96">
        <f t="shared" si="59"/>
        <v>0</v>
      </c>
      <c r="Z106" s="23">
        <f t="shared" si="49"/>
        <v>0</v>
      </c>
      <c r="AA106" s="107">
        <f t="shared" si="50"/>
        <v>23.133304284686361</v>
      </c>
      <c r="AB106" s="23">
        <f t="shared" si="51"/>
        <v>3.6685487435817601</v>
      </c>
      <c r="AD106" s="107">
        <f t="shared" si="52"/>
        <v>4.0885196949252602</v>
      </c>
      <c r="AE106" s="23">
        <f t="shared" si="53"/>
        <v>0</v>
      </c>
      <c r="AF106" s="108">
        <f t="shared" si="54"/>
        <v>0.20225127087872183</v>
      </c>
      <c r="AH106" s="104">
        <f t="shared" si="56"/>
        <v>0.19811320754716982</v>
      </c>
      <c r="AJ106" s="104">
        <f t="shared" si="57"/>
        <v>7.7886792452830198</v>
      </c>
      <c r="AK106" s="23">
        <f t="shared" si="55"/>
        <v>3.6685487435817601</v>
      </c>
    </row>
    <row r="107" spans="1:37" x14ac:dyDescent="0.35">
      <c r="A107" s="23">
        <v>4</v>
      </c>
      <c r="B107" s="118" t="s">
        <v>144</v>
      </c>
      <c r="C107" s="23" t="s">
        <v>139</v>
      </c>
      <c r="D107" s="23" t="s">
        <v>171</v>
      </c>
      <c r="E107" s="23" t="s">
        <v>188</v>
      </c>
      <c r="F107" s="23" t="s">
        <v>83</v>
      </c>
      <c r="G107" s="108">
        <f>'time-factors'!B$37*'time-factors'!B54</f>
        <v>8.4905660377358499E-2</v>
      </c>
      <c r="H107" s="166">
        <f>'time-factors'!I54</f>
        <v>288</v>
      </c>
      <c r="I107" s="96" t="s">
        <v>98</v>
      </c>
      <c r="J107" s="96">
        <f>'time-factors'!O$43</f>
        <v>10</v>
      </c>
      <c r="K107" s="170">
        <f>'time-factors'!I$43</f>
        <v>0.05</v>
      </c>
      <c r="L107" s="173">
        <f t="shared" si="41"/>
        <v>37.29731759005152</v>
      </c>
      <c r="M107" s="170">
        <v>0</v>
      </c>
      <c r="N107" s="96">
        <f t="shared" si="42"/>
        <v>0</v>
      </c>
      <c r="O107" s="167" cm="1">
        <f t="array" ref="O107">IFERROR(_xlfn.IFS(E107="Heavy", 'vehicle E calcs'!$H$33,E107="Cars/vans",'vehicle E calcs'!$H$32),"")</f>
        <v>7.1233383316924828</v>
      </c>
      <c r="P107" s="106">
        <v>200</v>
      </c>
      <c r="Q107" s="108">
        <f t="shared" si="43"/>
        <v>1.4246676663384965</v>
      </c>
      <c r="R107" s="107">
        <f t="shared" si="44"/>
        <v>38.721985256390013</v>
      </c>
      <c r="S107" s="107" cm="1">
        <f t="array" ref="S107">_xlfn.IFS(E107="Heavy", 'vehicle E calcs'!$T$21,E107="Cars/vans",'vehicle E calcs'!$S$21)*O107</f>
        <v>24.362584419881831</v>
      </c>
      <c r="T107" s="109">
        <v>0.27</v>
      </c>
      <c r="U107" s="23">
        <f t="shared" si="45"/>
        <v>6.5778977933680949</v>
      </c>
      <c r="V107" s="23">
        <f t="shared" si="46"/>
        <v>5.886680893009606</v>
      </c>
      <c r="W107" s="106">
        <f t="shared" si="58"/>
        <v>168</v>
      </c>
      <c r="X107" s="23">
        <f t="shared" si="47"/>
        <v>4.0929141825401478</v>
      </c>
      <c r="Y107" s="96">
        <f t="shared" si="59"/>
        <v>0</v>
      </c>
      <c r="Z107" s="23">
        <f t="shared" si="49"/>
        <v>0</v>
      </c>
      <c r="AA107" s="107">
        <f t="shared" si="50"/>
        <v>34.629071073849865</v>
      </c>
      <c r="AB107" s="23">
        <f t="shared" si="51"/>
        <v>5.2644586707873833</v>
      </c>
      <c r="AD107" s="107">
        <f t="shared" si="52"/>
        <v>5.6700968549032584</v>
      </c>
      <c r="AE107" s="23">
        <f t="shared" si="53"/>
        <v>0</v>
      </c>
      <c r="AF107" s="108">
        <f t="shared" si="54"/>
        <v>0.2165840381063478</v>
      </c>
      <c r="AH107" s="104">
        <f t="shared" si="56"/>
        <v>8.4905660377358499E-2</v>
      </c>
      <c r="AJ107" s="104">
        <f t="shared" si="57"/>
        <v>7.8735849056603779</v>
      </c>
      <c r="AK107" s="23">
        <f t="shared" si="55"/>
        <v>5.2644586707873833</v>
      </c>
    </row>
    <row r="108" spans="1:37" ht="29" x14ac:dyDescent="0.35">
      <c r="A108" s="23">
        <v>7</v>
      </c>
      <c r="B108" s="118" t="s">
        <v>147</v>
      </c>
      <c r="C108" s="23" t="s">
        <v>139</v>
      </c>
      <c r="D108" s="23" t="s">
        <v>171</v>
      </c>
      <c r="E108" s="23" t="s">
        <v>188</v>
      </c>
      <c r="F108" s="23" t="s">
        <v>83</v>
      </c>
      <c r="G108" s="108">
        <f>'time-factors'!B$37*'time-factors'!B57</f>
        <v>0.14150943396226415</v>
      </c>
      <c r="H108" s="166">
        <f>'time-factors'!I57</f>
        <v>288</v>
      </c>
      <c r="I108" s="96" t="s">
        <v>98</v>
      </c>
      <c r="J108" s="96">
        <f>'time-factors'!O$43</f>
        <v>10</v>
      </c>
      <c r="K108" s="170">
        <f>'time-factors'!I$43</f>
        <v>0.05</v>
      </c>
      <c r="L108" s="173">
        <f t="shared" si="41"/>
        <v>37.29731759005152</v>
      </c>
      <c r="M108" s="170">
        <v>0</v>
      </c>
      <c r="N108" s="96">
        <f t="shared" si="42"/>
        <v>0</v>
      </c>
      <c r="O108" s="167" cm="1">
        <f t="array" ref="O108">IFERROR(_xlfn.IFS(E108="Heavy", 'vehicle E calcs'!$H$33,E108="Cars/vans",'vehicle E calcs'!$H$32),"")</f>
        <v>7.1233383316924828</v>
      </c>
      <c r="P108" s="106">
        <v>200</v>
      </c>
      <c r="Q108" s="108">
        <f t="shared" si="43"/>
        <v>1.4246676663384965</v>
      </c>
      <c r="R108" s="107">
        <f t="shared" si="44"/>
        <v>38.721985256390013</v>
      </c>
      <c r="S108" s="107" cm="1">
        <f t="array" ref="S108">_xlfn.IFS(E108="Heavy", 'vehicle E calcs'!$T$21,E108="Cars/vans",'vehicle E calcs'!$S$21)*O108</f>
        <v>24.362584419881831</v>
      </c>
      <c r="T108" s="109">
        <v>0.27</v>
      </c>
      <c r="U108" s="23">
        <f t="shared" si="45"/>
        <v>6.5778977933680949</v>
      </c>
      <c r="V108" s="23">
        <f t="shared" si="46"/>
        <v>5.886680893009606</v>
      </c>
      <c r="W108" s="106">
        <f t="shared" si="58"/>
        <v>168</v>
      </c>
      <c r="X108" s="23">
        <f t="shared" si="47"/>
        <v>4.0929141825401478</v>
      </c>
      <c r="Y108" s="96">
        <f t="shared" si="59"/>
        <v>0</v>
      </c>
      <c r="Z108" s="23">
        <f t="shared" si="49"/>
        <v>0</v>
      </c>
      <c r="AA108" s="107">
        <f t="shared" si="50"/>
        <v>34.629071073849865</v>
      </c>
      <c r="AB108" s="23">
        <f t="shared" si="51"/>
        <v>5.2644586707873833</v>
      </c>
      <c r="AD108" s="107">
        <f t="shared" si="52"/>
        <v>5.6700968549032584</v>
      </c>
      <c r="AE108" s="23">
        <f t="shared" si="53"/>
        <v>0</v>
      </c>
      <c r="AF108" s="108">
        <f t="shared" si="54"/>
        <v>0.2165840381063478</v>
      </c>
      <c r="AH108" s="104">
        <f t="shared" si="56"/>
        <v>0.14150943396226415</v>
      </c>
      <c r="AJ108" s="104">
        <f t="shared" si="57"/>
        <v>8.0150943396226424</v>
      </c>
      <c r="AK108" s="23">
        <f t="shared" si="55"/>
        <v>5.2644586707873833</v>
      </c>
    </row>
    <row r="109" spans="1:37" x14ac:dyDescent="0.35">
      <c r="A109" s="23">
        <v>9</v>
      </c>
      <c r="B109" s="118" t="s">
        <v>149</v>
      </c>
      <c r="C109" s="23" t="s">
        <v>139</v>
      </c>
      <c r="D109" s="23" t="s">
        <v>171</v>
      </c>
      <c r="E109" s="23" t="s">
        <v>188</v>
      </c>
      <c r="F109" s="23" t="s">
        <v>83</v>
      </c>
      <c r="G109" s="108">
        <f>'time-factors'!B$37*'time-factors'!B59</f>
        <v>5.6603773584905662E-2</v>
      </c>
      <c r="H109" s="166">
        <f>'time-factors'!I59</f>
        <v>288</v>
      </c>
      <c r="I109" s="96" t="s">
        <v>98</v>
      </c>
      <c r="J109" s="96">
        <f>'time-factors'!O$43</f>
        <v>10</v>
      </c>
      <c r="K109" s="170">
        <f>'time-factors'!I$43</f>
        <v>0.05</v>
      </c>
      <c r="L109" s="173">
        <f t="shared" si="41"/>
        <v>37.29731759005152</v>
      </c>
      <c r="M109" s="170">
        <v>0</v>
      </c>
      <c r="N109" s="96">
        <f t="shared" si="42"/>
        <v>0</v>
      </c>
      <c r="O109" s="167" cm="1">
        <f t="array" ref="O109">IFERROR(_xlfn.IFS(E109="Heavy", 'vehicle E calcs'!$H$33,E109="Cars/vans",'vehicle E calcs'!$H$32),"")</f>
        <v>7.1233383316924828</v>
      </c>
      <c r="P109" s="106">
        <v>200</v>
      </c>
      <c r="Q109" s="108">
        <f t="shared" si="43"/>
        <v>1.4246676663384965</v>
      </c>
      <c r="R109" s="107">
        <f t="shared" si="44"/>
        <v>38.721985256390013</v>
      </c>
      <c r="S109" s="107" cm="1">
        <f t="array" ref="S109">_xlfn.IFS(E109="Heavy", 'vehicle E calcs'!$T$21,E109="Cars/vans",'vehicle E calcs'!$S$21)*O109</f>
        <v>24.362584419881831</v>
      </c>
      <c r="T109" s="109">
        <v>0.27</v>
      </c>
      <c r="U109" s="23">
        <f t="shared" si="45"/>
        <v>6.5778977933680949</v>
      </c>
      <c r="V109" s="23">
        <f t="shared" si="46"/>
        <v>5.886680893009606</v>
      </c>
      <c r="W109" s="106">
        <f t="shared" si="58"/>
        <v>168</v>
      </c>
      <c r="X109" s="23">
        <f t="shared" si="47"/>
        <v>4.0929141825401478</v>
      </c>
      <c r="Y109" s="96">
        <f t="shared" si="59"/>
        <v>0</v>
      </c>
      <c r="Z109" s="23">
        <f t="shared" si="49"/>
        <v>0</v>
      </c>
      <c r="AA109" s="107">
        <f t="shared" si="50"/>
        <v>34.629071073849865</v>
      </c>
      <c r="AB109" s="23">
        <f t="shared" si="51"/>
        <v>5.2644586707873833</v>
      </c>
      <c r="AD109" s="107">
        <f t="shared" si="52"/>
        <v>5.6700968549032584</v>
      </c>
      <c r="AE109" s="23">
        <f t="shared" si="53"/>
        <v>0</v>
      </c>
      <c r="AF109" s="108">
        <f t="shared" si="54"/>
        <v>0.2165840381063478</v>
      </c>
      <c r="AH109" s="104">
        <f t="shared" si="56"/>
        <v>5.6603773584905662E-2</v>
      </c>
      <c r="AJ109" s="104">
        <f t="shared" si="57"/>
        <v>8.0716981132075478</v>
      </c>
      <c r="AK109" s="23">
        <f t="shared" si="55"/>
        <v>5.2644586707873833</v>
      </c>
    </row>
    <row r="110" spans="1:37" x14ac:dyDescent="0.35">
      <c r="A110" s="23">
        <v>15</v>
      </c>
      <c r="B110" s="118" t="s">
        <v>153</v>
      </c>
      <c r="C110" s="23" t="s">
        <v>139</v>
      </c>
      <c r="D110" s="23" t="s">
        <v>171</v>
      </c>
      <c r="E110" s="23" t="s">
        <v>188</v>
      </c>
      <c r="F110" s="23" t="s">
        <v>83</v>
      </c>
      <c r="G110" s="108">
        <f>'time-factors'!B$37*'time-factors'!B65</f>
        <v>9.0566037735849064E-2</v>
      </c>
      <c r="H110" s="166">
        <f>'time-factors'!I65</f>
        <v>288</v>
      </c>
      <c r="I110" s="96" t="s">
        <v>98</v>
      </c>
      <c r="J110" s="96">
        <f>'time-factors'!O$43</f>
        <v>10</v>
      </c>
      <c r="K110" s="170">
        <f>'time-factors'!I$43</f>
        <v>0.05</v>
      </c>
      <c r="L110" s="173">
        <f t="shared" si="41"/>
        <v>37.29731759005152</v>
      </c>
      <c r="M110" s="170">
        <v>0</v>
      </c>
      <c r="N110" s="96">
        <f t="shared" si="42"/>
        <v>0</v>
      </c>
      <c r="O110" s="167" cm="1">
        <f t="array" ref="O110">IFERROR(_xlfn.IFS(E110="Heavy", 'vehicle E calcs'!$H$33,E110="Cars/vans",'vehicle E calcs'!$H$32),"")</f>
        <v>7.1233383316924828</v>
      </c>
      <c r="P110" s="106">
        <v>200</v>
      </c>
      <c r="Q110" s="108">
        <f t="shared" si="43"/>
        <v>1.4246676663384965</v>
      </c>
      <c r="R110" s="107">
        <f t="shared" si="44"/>
        <v>38.721985256390013</v>
      </c>
      <c r="S110" s="107" cm="1">
        <f t="array" ref="S110">_xlfn.IFS(E110="Heavy", 'vehicle E calcs'!$T$21,E110="Cars/vans",'vehicle E calcs'!$S$21)*O110</f>
        <v>24.362584419881831</v>
      </c>
      <c r="T110" s="109">
        <v>0.27</v>
      </c>
      <c r="U110" s="23">
        <f t="shared" si="45"/>
        <v>6.5778977933680949</v>
      </c>
      <c r="V110" s="23">
        <f t="shared" si="46"/>
        <v>5.886680893009606</v>
      </c>
      <c r="W110" s="106">
        <f t="shared" si="58"/>
        <v>168</v>
      </c>
      <c r="X110" s="23">
        <f t="shared" si="47"/>
        <v>4.0929141825401478</v>
      </c>
      <c r="Y110" s="96">
        <f t="shared" si="59"/>
        <v>0</v>
      </c>
      <c r="Z110" s="23">
        <f t="shared" si="49"/>
        <v>0</v>
      </c>
      <c r="AA110" s="107">
        <f t="shared" si="50"/>
        <v>34.629071073849865</v>
      </c>
      <c r="AB110" s="23">
        <f t="shared" si="51"/>
        <v>5.2644586707873833</v>
      </c>
      <c r="AD110" s="107">
        <f t="shared" si="52"/>
        <v>5.6700968549032584</v>
      </c>
      <c r="AE110" s="23">
        <f t="shared" si="53"/>
        <v>0</v>
      </c>
      <c r="AF110" s="108">
        <f t="shared" si="54"/>
        <v>0.2165840381063478</v>
      </c>
      <c r="AH110" s="104">
        <f t="shared" si="56"/>
        <v>9.0566037735849064E-2</v>
      </c>
      <c r="AJ110" s="104">
        <f t="shared" si="57"/>
        <v>8.1622641509433969</v>
      </c>
      <c r="AK110" s="23">
        <f t="shared" si="55"/>
        <v>5.2644586707873833</v>
      </c>
    </row>
    <row r="111" spans="1:37" x14ac:dyDescent="0.35">
      <c r="A111" s="23">
        <v>3</v>
      </c>
      <c r="B111" s="118" t="s">
        <v>143</v>
      </c>
      <c r="C111" s="23" t="s">
        <v>139</v>
      </c>
      <c r="D111" s="23" t="s">
        <v>171</v>
      </c>
      <c r="E111" s="23" t="s">
        <v>188</v>
      </c>
      <c r="F111" s="23" t="s">
        <v>83</v>
      </c>
      <c r="G111" s="108">
        <f>'time-factors'!B$37*'time-factors'!B53</f>
        <v>0.12452830188679247</v>
      </c>
      <c r="H111" s="166">
        <f>'time-factors'!I53</f>
        <v>304.58</v>
      </c>
      <c r="I111" s="96" t="s">
        <v>98</v>
      </c>
      <c r="J111" s="96">
        <f>'time-factors'!O$43</f>
        <v>10</v>
      </c>
      <c r="K111" s="170">
        <f>'time-factors'!I$43</f>
        <v>0.05</v>
      </c>
      <c r="L111" s="173">
        <f t="shared" si="41"/>
        <v>39.444503442978792</v>
      </c>
      <c r="M111" s="170">
        <v>0</v>
      </c>
      <c r="N111" s="96">
        <f t="shared" si="42"/>
        <v>0</v>
      </c>
      <c r="O111" s="167" cm="1">
        <f t="array" ref="O111">IFERROR(_xlfn.IFS(E111="Heavy", 'vehicle E calcs'!$H$33,E111="Cars/vans",'vehicle E calcs'!$H$32),"")</f>
        <v>7.1233383316924828</v>
      </c>
      <c r="P111" s="106">
        <v>200</v>
      </c>
      <c r="Q111" s="108">
        <f t="shared" si="43"/>
        <v>1.4246676663384965</v>
      </c>
      <c r="R111" s="107">
        <f t="shared" si="44"/>
        <v>40.869171109317286</v>
      </c>
      <c r="S111" s="107" cm="1">
        <f t="array" ref="S111">_xlfn.IFS(E111="Heavy", 'vehicle E calcs'!$T$21,E111="Cars/vans",'vehicle E calcs'!$S$21)*O111</f>
        <v>24.362584419881831</v>
      </c>
      <c r="T111" s="109">
        <v>0.27</v>
      </c>
      <c r="U111" s="23">
        <f t="shared" si="45"/>
        <v>6.5778977933680949</v>
      </c>
      <c r="V111" s="23">
        <f t="shared" si="46"/>
        <v>6.2131052188925784</v>
      </c>
      <c r="W111" s="106">
        <f t="shared" si="58"/>
        <v>168</v>
      </c>
      <c r="X111" s="23">
        <f t="shared" si="47"/>
        <v>4.0929141825401478</v>
      </c>
      <c r="Y111" s="96">
        <f t="shared" si="59"/>
        <v>0</v>
      </c>
      <c r="Z111" s="23">
        <f t="shared" si="49"/>
        <v>0</v>
      </c>
      <c r="AA111" s="107">
        <f t="shared" si="50"/>
        <v>36.776256926777137</v>
      </c>
      <c r="AB111" s="23">
        <f t="shared" si="51"/>
        <v>5.5908829966703557</v>
      </c>
      <c r="AD111" s="107">
        <f t="shared" si="52"/>
        <v>5.9965211807862309</v>
      </c>
      <c r="AE111" s="23">
        <f t="shared" si="53"/>
        <v>0</v>
      </c>
      <c r="AF111" s="108">
        <f t="shared" si="54"/>
        <v>0.2165840381063478</v>
      </c>
      <c r="AH111" s="104">
        <f t="shared" si="56"/>
        <v>0.12452830188679247</v>
      </c>
      <c r="AJ111" s="104">
        <f t="shared" si="57"/>
        <v>8.2867924528301895</v>
      </c>
      <c r="AK111" s="23">
        <f t="shared" si="55"/>
        <v>5.5908829966703557</v>
      </c>
    </row>
    <row r="112" spans="1:37" x14ac:dyDescent="0.35">
      <c r="A112" s="23">
        <v>17</v>
      </c>
      <c r="B112" s="118" t="s">
        <v>143</v>
      </c>
      <c r="C112" s="23" t="s">
        <v>156</v>
      </c>
      <c r="D112" s="23" t="s">
        <v>171</v>
      </c>
      <c r="E112" s="23" t="s">
        <v>188</v>
      </c>
      <c r="F112" s="23" t="s">
        <v>83</v>
      </c>
      <c r="G112" s="108">
        <f>'time-factors'!B$37*'time-factors'!B67</f>
        <v>0.11320754716981132</v>
      </c>
      <c r="H112" s="166">
        <f>'time-factors'!I67</f>
        <v>308</v>
      </c>
      <c r="I112" s="96" t="s">
        <v>98</v>
      </c>
      <c r="J112" s="96">
        <f>'time-factors'!O$44</f>
        <v>10</v>
      </c>
      <c r="K112" s="170">
        <f>'time-factors'!I$44</f>
        <v>0.05</v>
      </c>
      <c r="L112" s="173">
        <f t="shared" si="41"/>
        <v>39.887409089360659</v>
      </c>
      <c r="M112" s="170">
        <v>0</v>
      </c>
      <c r="N112" s="96">
        <f t="shared" si="42"/>
        <v>0</v>
      </c>
      <c r="O112" s="167" cm="1">
        <f t="array" ref="O112">IFERROR(_xlfn.IFS(E112="Heavy", 'vehicle E calcs'!$H$33,E112="Cars/vans",'vehicle E calcs'!$H$32),"")</f>
        <v>7.1233383316924828</v>
      </c>
      <c r="P112" s="106">
        <v>300</v>
      </c>
      <c r="Q112" s="108">
        <f t="shared" si="43"/>
        <v>2.1370014995077451</v>
      </c>
      <c r="R112" s="107">
        <f t="shared" si="44"/>
        <v>42.024410588868406</v>
      </c>
      <c r="S112" s="107" cm="1">
        <f t="array" ref="S112">_xlfn.IFS(E112="Heavy", 'vehicle E calcs'!$T$21,E112="Cars/vans",'vehicle E calcs'!$S$21)*O112</f>
        <v>24.362584419881831</v>
      </c>
      <c r="T112" s="109">
        <v>0.27</v>
      </c>
      <c r="U112" s="23">
        <f t="shared" si="45"/>
        <v>6.5778977933680949</v>
      </c>
      <c r="V112" s="23">
        <f t="shared" si="46"/>
        <v>6.3887296380977299</v>
      </c>
      <c r="W112" s="106">
        <f t="shared" si="58"/>
        <v>168</v>
      </c>
      <c r="X112" s="23">
        <f t="shared" si="47"/>
        <v>4.0929141825401478</v>
      </c>
      <c r="Y112" s="96">
        <f t="shared" si="59"/>
        <v>0</v>
      </c>
      <c r="Z112" s="23">
        <f t="shared" si="49"/>
        <v>0</v>
      </c>
      <c r="AA112" s="107">
        <f t="shared" si="50"/>
        <v>37.931496406328257</v>
      </c>
      <c r="AB112" s="23">
        <f t="shared" si="51"/>
        <v>5.7665074158755081</v>
      </c>
      <c r="AD112" s="107">
        <f t="shared" si="52"/>
        <v>6.0638535809382077</v>
      </c>
      <c r="AE112" s="23">
        <f t="shared" si="53"/>
        <v>0</v>
      </c>
      <c r="AF112" s="108">
        <f t="shared" si="54"/>
        <v>0.32487605715952173</v>
      </c>
      <c r="AH112" s="104">
        <f t="shared" si="56"/>
        <v>0.11320754716981132</v>
      </c>
      <c r="AJ112" s="104">
        <f t="shared" si="57"/>
        <v>8.4</v>
      </c>
      <c r="AK112" s="23">
        <f t="shared" si="55"/>
        <v>5.7665074158755081</v>
      </c>
    </row>
    <row r="113" spans="1:37" x14ac:dyDescent="0.35">
      <c r="A113" s="23">
        <v>18</v>
      </c>
      <c r="B113" s="119" t="s">
        <v>148</v>
      </c>
      <c r="C113" s="23" t="s">
        <v>156</v>
      </c>
      <c r="D113" s="23" t="s">
        <v>171</v>
      </c>
      <c r="E113" s="23" t="s">
        <v>188</v>
      </c>
      <c r="F113" s="23" t="s">
        <v>83</v>
      </c>
      <c r="G113" s="108">
        <f>'time-factors'!B$37*'time-factors'!B68</f>
        <v>0.11320754716981132</v>
      </c>
      <c r="H113" s="166">
        <f>'time-factors'!I68</f>
        <v>308</v>
      </c>
      <c r="I113" s="96" t="s">
        <v>98</v>
      </c>
      <c r="J113" s="96">
        <f>'time-factors'!O$44</f>
        <v>10</v>
      </c>
      <c r="K113" s="170">
        <f>'time-factors'!I$44</f>
        <v>0.05</v>
      </c>
      <c r="L113" s="173">
        <f t="shared" si="41"/>
        <v>39.887409089360659</v>
      </c>
      <c r="M113" s="170">
        <v>0</v>
      </c>
      <c r="N113" s="96">
        <f t="shared" si="42"/>
        <v>0</v>
      </c>
      <c r="O113" s="167" cm="1">
        <f t="array" ref="O113">IFERROR(_xlfn.IFS(E113="Heavy", 'vehicle E calcs'!$H$33,E113="Cars/vans",'vehicle E calcs'!$H$32),"")</f>
        <v>7.1233383316924828</v>
      </c>
      <c r="P113" s="106">
        <v>300</v>
      </c>
      <c r="Q113" s="108">
        <f t="shared" si="43"/>
        <v>2.1370014995077451</v>
      </c>
      <c r="R113" s="107">
        <f t="shared" si="44"/>
        <v>42.024410588868406</v>
      </c>
      <c r="S113" s="107" cm="1">
        <f t="array" ref="S113">_xlfn.IFS(E113="Heavy", 'vehicle E calcs'!$T$21,E113="Cars/vans",'vehicle E calcs'!$S$21)*O113</f>
        <v>24.362584419881831</v>
      </c>
      <c r="T113" s="109">
        <v>0.27</v>
      </c>
      <c r="U113" s="23">
        <f t="shared" si="45"/>
        <v>6.5778977933680949</v>
      </c>
      <c r="V113" s="23">
        <f t="shared" si="46"/>
        <v>6.3887296380977299</v>
      </c>
      <c r="W113" s="106">
        <f t="shared" si="58"/>
        <v>168</v>
      </c>
      <c r="X113" s="23">
        <f t="shared" si="47"/>
        <v>4.0929141825401478</v>
      </c>
      <c r="Y113" s="96">
        <f t="shared" si="59"/>
        <v>0</v>
      </c>
      <c r="Z113" s="23">
        <f t="shared" si="49"/>
        <v>0</v>
      </c>
      <c r="AA113" s="107">
        <f t="shared" si="50"/>
        <v>37.931496406328257</v>
      </c>
      <c r="AB113" s="23">
        <f t="shared" si="51"/>
        <v>5.7665074158755081</v>
      </c>
      <c r="AD113" s="107">
        <f t="shared" si="52"/>
        <v>6.0638535809382077</v>
      </c>
      <c r="AE113" s="23">
        <f t="shared" si="53"/>
        <v>0</v>
      </c>
      <c r="AF113" s="108">
        <f t="shared" si="54"/>
        <v>0.32487605715952173</v>
      </c>
      <c r="AH113" s="104">
        <f t="shared" si="56"/>
        <v>0.11320754716981132</v>
      </c>
      <c r="AJ113" s="104">
        <f t="shared" si="57"/>
        <v>8.5132075471698112</v>
      </c>
      <c r="AK113" s="23">
        <f t="shared" si="55"/>
        <v>5.7665074158755081</v>
      </c>
    </row>
    <row r="114" spans="1:37" x14ac:dyDescent="0.35">
      <c r="A114" s="23">
        <v>2</v>
      </c>
      <c r="B114" s="118" t="s">
        <v>142</v>
      </c>
      <c r="C114" s="23" t="s">
        <v>139</v>
      </c>
      <c r="D114" s="23" t="s">
        <v>171</v>
      </c>
      <c r="E114" s="23" t="s">
        <v>128</v>
      </c>
      <c r="F114" s="23" t="s">
        <v>83</v>
      </c>
      <c r="G114" s="108">
        <f>'time-factors'!B$37*'time-factors'!B52</f>
        <v>0.169811320754717</v>
      </c>
      <c r="H114" s="166">
        <f>'time-factors'!I52</f>
        <v>304.58</v>
      </c>
      <c r="I114" s="96" t="s">
        <v>98</v>
      </c>
      <c r="J114" s="96">
        <f>'time-factors'!O$43</f>
        <v>10</v>
      </c>
      <c r="K114" s="170">
        <f>'time-factors'!I$43</f>
        <v>0.05</v>
      </c>
      <c r="L114" s="173">
        <f t="shared" si="41"/>
        <v>39.444503442978792</v>
      </c>
      <c r="M114" s="170">
        <v>0</v>
      </c>
      <c r="N114" s="96">
        <f t="shared" si="42"/>
        <v>0</v>
      </c>
      <c r="O114" s="167" cm="1">
        <f t="array" ref="O114">IFERROR(_xlfn.IFS(E114="Heavy", 'vehicle E calcs'!$H$33,E114="Cars/vans",'vehicle E calcs'!$H$32),"")</f>
        <v>6.3768270755398833</v>
      </c>
      <c r="P114" s="106">
        <v>200</v>
      </c>
      <c r="Q114" s="108">
        <f t="shared" si="43"/>
        <v>1.2753654151079765</v>
      </c>
      <c r="R114" s="107">
        <f t="shared" si="44"/>
        <v>40.71986885808677</v>
      </c>
      <c r="S114" s="107" cm="1">
        <f t="array" ref="S114">_xlfn.IFS(E114="Heavy", 'vehicle E calcs'!$T$21,E114="Cars/vans",'vehicle E calcs'!$S$21)*O114</f>
        <v>23.354986057632608</v>
      </c>
      <c r="T114" s="109">
        <v>0.27</v>
      </c>
      <c r="U114" s="23">
        <f t="shared" si="45"/>
        <v>6.3058462355608045</v>
      </c>
      <c r="V114" s="23">
        <f t="shared" si="46"/>
        <v>6.4574788754685493</v>
      </c>
      <c r="W114" s="106">
        <f t="shared" si="58"/>
        <v>168</v>
      </c>
      <c r="X114" s="23">
        <f t="shared" si="47"/>
        <v>3.9236376576822782</v>
      </c>
      <c r="Y114" s="96">
        <f t="shared" si="59"/>
        <v>0</v>
      </c>
      <c r="Z114" s="23">
        <f t="shared" si="49"/>
        <v>0</v>
      </c>
      <c r="AA114" s="107">
        <f t="shared" si="50"/>
        <v>36.796231200404492</v>
      </c>
      <c r="AB114" s="23">
        <f t="shared" si="51"/>
        <v>5.8352566532463275</v>
      </c>
      <c r="AD114" s="107">
        <f t="shared" si="52"/>
        <v>6.2552276045898276</v>
      </c>
      <c r="AE114" s="23">
        <f t="shared" si="53"/>
        <v>0</v>
      </c>
      <c r="AF114" s="108">
        <f t="shared" si="54"/>
        <v>0.20225127087872183</v>
      </c>
      <c r="AH114" s="104">
        <f t="shared" si="56"/>
        <v>0.169811320754717</v>
      </c>
      <c r="AJ114" s="104">
        <f t="shared" si="57"/>
        <v>8.6830188679245275</v>
      </c>
      <c r="AK114" s="23">
        <f t="shared" si="55"/>
        <v>5.8352566532463275</v>
      </c>
    </row>
    <row r="115" spans="1:37" x14ac:dyDescent="0.35">
      <c r="A115" s="23">
        <v>5</v>
      </c>
      <c r="B115" s="118" t="s">
        <v>145</v>
      </c>
      <c r="C115" s="23" t="s">
        <v>139</v>
      </c>
      <c r="D115" s="23" t="s">
        <v>171</v>
      </c>
      <c r="E115" s="23" t="s">
        <v>188</v>
      </c>
      <c r="F115" s="23" t="s">
        <v>83</v>
      </c>
      <c r="G115" s="108">
        <f>'time-factors'!B$37*'time-factors'!B55</f>
        <v>0.11886792452830189</v>
      </c>
      <c r="H115" s="166">
        <f>'time-factors'!I55</f>
        <v>492</v>
      </c>
      <c r="I115" s="96" t="s">
        <v>98</v>
      </c>
      <c r="J115" s="96">
        <f>'time-factors'!O$43</f>
        <v>10</v>
      </c>
      <c r="K115" s="170">
        <f>'time-factors'!I$43</f>
        <v>0.05</v>
      </c>
      <c r="L115" s="173">
        <f t="shared" si="41"/>
        <v>63.716250883004676</v>
      </c>
      <c r="M115" s="170">
        <v>0</v>
      </c>
      <c r="N115" s="96">
        <f t="shared" si="42"/>
        <v>0</v>
      </c>
      <c r="O115" s="167" cm="1">
        <f t="array" ref="O115">IFERROR(_xlfn.IFS(E115="Heavy", 'vehicle E calcs'!$H$33,E115="Cars/vans",'vehicle E calcs'!$H$32),"")</f>
        <v>7.1233383316924828</v>
      </c>
      <c r="P115" s="106">
        <v>200</v>
      </c>
      <c r="Q115" s="108">
        <f t="shared" si="43"/>
        <v>1.4246676663384965</v>
      </c>
      <c r="R115" s="107">
        <f t="shared" si="44"/>
        <v>65.140918549343169</v>
      </c>
      <c r="S115" s="107" cm="1">
        <f t="array" ref="S115">_xlfn.IFS(E115="Heavy", 'vehicle E calcs'!$T$21,E115="Cars/vans",'vehicle E calcs'!$S$21)*O115</f>
        <v>24.362584419881831</v>
      </c>
      <c r="T115" s="109">
        <v>0.27</v>
      </c>
      <c r="U115" s="23">
        <f t="shared" si="45"/>
        <v>6.5778977933680949</v>
      </c>
      <c r="V115" s="23">
        <f t="shared" si="46"/>
        <v>9.9029994985660803</v>
      </c>
      <c r="W115" s="106">
        <f t="shared" si="58"/>
        <v>168</v>
      </c>
      <c r="X115" s="23">
        <f t="shared" si="47"/>
        <v>4.0929141825401478</v>
      </c>
      <c r="Y115" s="96">
        <f t="shared" si="59"/>
        <v>0</v>
      </c>
      <c r="Z115" s="23">
        <f t="shared" si="49"/>
        <v>0</v>
      </c>
      <c r="AA115" s="107">
        <f t="shared" si="50"/>
        <v>61.048004366803021</v>
      </c>
      <c r="AB115" s="23">
        <f t="shared" si="51"/>
        <v>9.2807772763438585</v>
      </c>
      <c r="AD115" s="107">
        <f t="shared" si="52"/>
        <v>9.6864154604597328</v>
      </c>
      <c r="AE115" s="23">
        <f t="shared" si="53"/>
        <v>0</v>
      </c>
      <c r="AF115" s="108">
        <f t="shared" si="54"/>
        <v>0.2165840381063478</v>
      </c>
      <c r="AH115" s="104">
        <f t="shared" si="56"/>
        <v>0.11886792452830189</v>
      </c>
      <c r="AJ115" s="104">
        <f t="shared" si="57"/>
        <v>8.8018867924528301</v>
      </c>
      <c r="AK115" s="23">
        <f t="shared" si="55"/>
        <v>9.2807772763438585</v>
      </c>
    </row>
    <row r="116" spans="1:37" x14ac:dyDescent="0.35">
      <c r="A116" s="23">
        <v>8</v>
      </c>
      <c r="B116" s="119" t="s">
        <v>148</v>
      </c>
      <c r="C116" s="23" t="s">
        <v>139</v>
      </c>
      <c r="D116" s="23" t="s">
        <v>171</v>
      </c>
      <c r="E116" s="23" t="s">
        <v>188</v>
      </c>
      <c r="F116" s="23" t="s">
        <v>83</v>
      </c>
      <c r="G116" s="108">
        <f>'time-factors'!B$37*'time-factors'!B58</f>
        <v>8.4905660377358499E-2</v>
      </c>
      <c r="H116" s="166">
        <f>'time-factors'!I58</f>
        <v>492</v>
      </c>
      <c r="I116" s="96" t="s">
        <v>98</v>
      </c>
      <c r="J116" s="96">
        <f>'time-factors'!O$43</f>
        <v>10</v>
      </c>
      <c r="K116" s="170">
        <f>'time-factors'!I$43</f>
        <v>0.05</v>
      </c>
      <c r="L116" s="173">
        <f t="shared" si="41"/>
        <v>63.716250883004676</v>
      </c>
      <c r="M116" s="170">
        <v>0</v>
      </c>
      <c r="N116" s="96">
        <f t="shared" si="42"/>
        <v>0</v>
      </c>
      <c r="O116" s="167" cm="1">
        <f t="array" ref="O116">IFERROR(_xlfn.IFS(E116="Heavy", 'vehicle E calcs'!$H$33,E116="Cars/vans",'vehicle E calcs'!$H$32),"")</f>
        <v>7.1233383316924828</v>
      </c>
      <c r="P116" s="106">
        <v>200</v>
      </c>
      <c r="Q116" s="108">
        <f t="shared" si="43"/>
        <v>1.4246676663384965</v>
      </c>
      <c r="R116" s="107">
        <f t="shared" si="44"/>
        <v>65.140918549343169</v>
      </c>
      <c r="S116" s="107" cm="1">
        <f t="array" ref="S116">_xlfn.IFS(E116="Heavy", 'vehicle E calcs'!$T$21,E116="Cars/vans",'vehicle E calcs'!$S$21)*O116</f>
        <v>24.362584419881831</v>
      </c>
      <c r="T116" s="109">
        <v>0.27</v>
      </c>
      <c r="U116" s="23">
        <f t="shared" si="45"/>
        <v>6.5778977933680949</v>
      </c>
      <c r="V116" s="23">
        <f t="shared" si="46"/>
        <v>9.9029994985660803</v>
      </c>
      <c r="W116" s="106">
        <f t="shared" si="58"/>
        <v>168</v>
      </c>
      <c r="X116" s="23">
        <f t="shared" si="47"/>
        <v>4.0929141825401478</v>
      </c>
      <c r="Y116" s="96">
        <f t="shared" si="59"/>
        <v>0</v>
      </c>
      <c r="Z116" s="23">
        <f t="shared" si="49"/>
        <v>0</v>
      </c>
      <c r="AA116" s="107">
        <f t="shared" si="50"/>
        <v>61.048004366803021</v>
      </c>
      <c r="AB116" s="23">
        <f t="shared" si="51"/>
        <v>9.2807772763438585</v>
      </c>
      <c r="AD116" s="107">
        <f t="shared" si="52"/>
        <v>9.6864154604597328</v>
      </c>
      <c r="AE116" s="23">
        <f t="shared" si="53"/>
        <v>0</v>
      </c>
      <c r="AF116" s="108">
        <f t="shared" si="54"/>
        <v>0.2165840381063478</v>
      </c>
      <c r="AH116" s="104">
        <f t="shared" si="56"/>
        <v>8.4905660377358499E-2</v>
      </c>
      <c r="AJ116" s="104">
        <f t="shared" si="57"/>
        <v>8.8867924528301891</v>
      </c>
      <c r="AK116" s="23">
        <f t="shared" si="55"/>
        <v>9.2807772763438585</v>
      </c>
    </row>
    <row r="117" spans="1:37" x14ac:dyDescent="0.35">
      <c r="A117" s="23">
        <v>10</v>
      </c>
      <c r="B117" s="118" t="s">
        <v>58</v>
      </c>
      <c r="C117" s="23" t="s">
        <v>139</v>
      </c>
      <c r="D117" s="23" t="s">
        <v>171</v>
      </c>
      <c r="E117" s="23" t="s">
        <v>188</v>
      </c>
      <c r="F117" s="23" t="s">
        <v>83</v>
      </c>
      <c r="G117" s="108">
        <f>'time-factors'!B$37*'time-factors'!B60</f>
        <v>0.11320754716981132</v>
      </c>
      <c r="H117" s="166">
        <f>'time-factors'!I60</f>
        <v>776</v>
      </c>
      <c r="I117" s="96" t="s">
        <v>98</v>
      </c>
      <c r="J117" s="96">
        <f>'time-factors'!O$43</f>
        <v>10</v>
      </c>
      <c r="K117" s="170">
        <f>'time-factors'!I$43</f>
        <v>0.05</v>
      </c>
      <c r="L117" s="173">
        <f t="shared" si="41"/>
        <v>100.49555017319437</v>
      </c>
      <c r="M117" s="170">
        <v>0</v>
      </c>
      <c r="N117" s="96">
        <f t="shared" si="42"/>
        <v>0</v>
      </c>
      <c r="O117" s="167" cm="1">
        <f t="array" ref="O117">IFERROR(_xlfn.IFS(E117="Heavy", 'vehicle E calcs'!$H$33,E117="Cars/vans",'vehicle E calcs'!$H$32),"")</f>
        <v>7.1233383316924828</v>
      </c>
      <c r="P117" s="106">
        <v>200</v>
      </c>
      <c r="Q117" s="108">
        <f t="shared" si="43"/>
        <v>1.4246676663384965</v>
      </c>
      <c r="R117" s="107">
        <f t="shared" si="44"/>
        <v>101.92021783953287</v>
      </c>
      <c r="S117" s="107" cm="1">
        <f t="array" ref="S117">_xlfn.IFS(E117="Heavy", 'vehicle E calcs'!$T$21,E117="Cars/vans",'vehicle E calcs'!$S$21)*O117</f>
        <v>24.362584419881831</v>
      </c>
      <c r="T117" s="109">
        <v>0.27</v>
      </c>
      <c r="U117" s="23">
        <f t="shared" si="45"/>
        <v>6.5778977933680949</v>
      </c>
      <c r="V117" s="23">
        <f t="shared" si="46"/>
        <v>15.49434500826235</v>
      </c>
      <c r="W117" s="106">
        <f t="shared" si="58"/>
        <v>168</v>
      </c>
      <c r="X117" s="23">
        <f t="shared" si="47"/>
        <v>4.0929141825401478</v>
      </c>
      <c r="Y117" s="96">
        <f t="shared" si="59"/>
        <v>0</v>
      </c>
      <c r="Z117" s="23">
        <f t="shared" si="49"/>
        <v>0</v>
      </c>
      <c r="AA117" s="107">
        <f t="shared" si="50"/>
        <v>97.827303656992726</v>
      </c>
      <c r="AB117" s="23">
        <f t="shared" si="51"/>
        <v>14.872122786040128</v>
      </c>
      <c r="AD117" s="107">
        <f t="shared" si="52"/>
        <v>15.277760970156002</v>
      </c>
      <c r="AE117" s="23">
        <f t="shared" si="53"/>
        <v>0</v>
      </c>
      <c r="AF117" s="108">
        <f t="shared" si="54"/>
        <v>0.2165840381063478</v>
      </c>
      <c r="AH117" s="104">
        <f t="shared" si="56"/>
        <v>0.11320754716981132</v>
      </c>
      <c r="AJ117" s="104">
        <f t="shared" si="57"/>
        <v>9</v>
      </c>
      <c r="AK117" s="23">
        <f t="shared" si="55"/>
        <v>14.872122786040128</v>
      </c>
    </row>
    <row r="118" spans="1:37" x14ac:dyDescent="0.35">
      <c r="A118" s="23">
        <v>14</v>
      </c>
      <c r="B118" s="118" t="s">
        <v>152</v>
      </c>
      <c r="C118" s="23" t="s">
        <v>139</v>
      </c>
      <c r="D118" s="23" t="s">
        <v>171</v>
      </c>
      <c r="E118" s="23" t="s">
        <v>188</v>
      </c>
      <c r="F118" s="23" t="s">
        <v>83</v>
      </c>
      <c r="G118" s="108">
        <f>'time-factors'!B$37*'time-factors'!B64</f>
        <v>7.3584905660377356E-2</v>
      </c>
      <c r="H118" s="166">
        <f>'time-factors'!I64</f>
        <v>776</v>
      </c>
      <c r="I118" s="96" t="s">
        <v>98</v>
      </c>
      <c r="J118" s="96">
        <f>'time-factors'!O$43</f>
        <v>10</v>
      </c>
      <c r="K118" s="170">
        <f>'time-factors'!I$43</f>
        <v>0.05</v>
      </c>
      <c r="L118" s="173">
        <f t="shared" si="41"/>
        <v>100.49555017319437</v>
      </c>
      <c r="M118" s="170">
        <v>0</v>
      </c>
      <c r="N118" s="96">
        <f t="shared" si="42"/>
        <v>0</v>
      </c>
      <c r="O118" s="167" cm="1">
        <f t="array" ref="O118">IFERROR(_xlfn.IFS(E118="Heavy", 'vehicle E calcs'!$H$33,E118="Cars/vans",'vehicle E calcs'!$H$32),"")</f>
        <v>7.1233383316924828</v>
      </c>
      <c r="P118" s="106">
        <v>200</v>
      </c>
      <c r="Q118" s="108">
        <f t="shared" si="43"/>
        <v>1.4246676663384965</v>
      </c>
      <c r="R118" s="107">
        <f t="shared" si="44"/>
        <v>101.92021783953287</v>
      </c>
      <c r="S118" s="107" cm="1">
        <f t="array" ref="S118">_xlfn.IFS(E118="Heavy", 'vehicle E calcs'!$T$21,E118="Cars/vans",'vehicle E calcs'!$S$21)*O118</f>
        <v>24.362584419881831</v>
      </c>
      <c r="T118" s="109">
        <v>0.27</v>
      </c>
      <c r="U118" s="23">
        <f t="shared" si="45"/>
        <v>6.5778977933680949</v>
      </c>
      <c r="V118" s="23">
        <f t="shared" si="46"/>
        <v>15.49434500826235</v>
      </c>
      <c r="W118" s="106">
        <f t="shared" si="58"/>
        <v>168</v>
      </c>
      <c r="X118" s="23">
        <f t="shared" si="47"/>
        <v>4.0929141825401478</v>
      </c>
      <c r="Y118" s="96">
        <f t="shared" si="59"/>
        <v>0</v>
      </c>
      <c r="Z118" s="23">
        <f t="shared" si="49"/>
        <v>0</v>
      </c>
      <c r="AA118" s="107">
        <f t="shared" si="50"/>
        <v>97.827303656992726</v>
      </c>
      <c r="AB118" s="23">
        <f t="shared" si="51"/>
        <v>14.872122786040128</v>
      </c>
      <c r="AD118" s="107">
        <f t="shared" si="52"/>
        <v>15.277760970156002</v>
      </c>
      <c r="AE118" s="23">
        <f t="shared" si="53"/>
        <v>0</v>
      </c>
      <c r="AF118" s="108">
        <f t="shared" si="54"/>
        <v>0.2165840381063478</v>
      </c>
      <c r="AH118" s="104">
        <f t="shared" si="56"/>
        <v>7.3584905660377356E-2</v>
      </c>
      <c r="AJ118" s="104">
        <f t="shared" si="57"/>
        <v>9.0735849056603772</v>
      </c>
      <c r="AK118" s="23">
        <f t="shared" si="55"/>
        <v>14.872122786040128</v>
      </c>
    </row>
    <row r="119" spans="1:37" x14ac:dyDescent="0.35">
      <c r="B119" s="122"/>
      <c r="C119" s="24"/>
      <c r="D119" s="24"/>
      <c r="E119" s="24"/>
      <c r="F119" s="131" t="s">
        <v>50</v>
      </c>
      <c r="G119" s="104">
        <f>SUM(G94:G118)</f>
        <v>9.0735849056603772</v>
      </c>
      <c r="H119" s="96"/>
      <c r="I119" s="96"/>
      <c r="J119" s="96"/>
      <c r="K119" s="96"/>
      <c r="L119" s="96"/>
      <c r="M119" s="96"/>
      <c r="N119" s="96"/>
      <c r="O119" s="96"/>
      <c r="P119" s="96"/>
    </row>
    <row r="120" spans="1:37" x14ac:dyDescent="0.35">
      <c r="B120" s="122"/>
      <c r="C120" s="24"/>
      <c r="D120" s="24"/>
      <c r="E120" s="24"/>
      <c r="F120" s="24"/>
      <c r="H120" s="96"/>
      <c r="I120" s="96"/>
      <c r="J120" s="96"/>
      <c r="K120" s="96"/>
      <c r="L120" s="96"/>
      <c r="M120" s="96"/>
      <c r="N120" s="96"/>
      <c r="O120" s="96"/>
      <c r="P120" s="96"/>
    </row>
    <row r="121" spans="1:37" x14ac:dyDescent="0.35">
      <c r="B121" s="123"/>
      <c r="C121" s="125"/>
      <c r="F121" s="24"/>
      <c r="H121" s="96"/>
      <c r="I121" s="96"/>
      <c r="J121" s="96"/>
      <c r="K121" s="96"/>
      <c r="L121" s="96"/>
      <c r="M121" s="96"/>
      <c r="N121" s="96"/>
      <c r="O121" s="96"/>
      <c r="P121" s="96"/>
    </row>
    <row r="122" spans="1:37" x14ac:dyDescent="0.35">
      <c r="B122" s="123"/>
      <c r="C122" s="125"/>
      <c r="H122" s="96"/>
      <c r="I122" s="96"/>
      <c r="J122" s="96"/>
      <c r="K122" s="96"/>
      <c r="L122" s="96"/>
      <c r="M122" s="96"/>
      <c r="N122" s="96"/>
      <c r="O122" s="96"/>
      <c r="P122" s="96"/>
    </row>
    <row r="123" spans="1:37" x14ac:dyDescent="0.35">
      <c r="B123" s="96"/>
      <c r="C123" s="96"/>
      <c r="H123" s="96"/>
      <c r="I123" s="96"/>
      <c r="J123" s="96"/>
      <c r="K123" s="96"/>
      <c r="L123" s="96"/>
      <c r="M123" s="96"/>
      <c r="N123" s="96"/>
      <c r="O123" s="96"/>
      <c r="P123" s="96"/>
    </row>
    <row r="124" spans="1:37" x14ac:dyDescent="0.35">
      <c r="B124" s="96"/>
      <c r="C124" s="96"/>
      <c r="H124" s="96"/>
      <c r="I124" s="96"/>
      <c r="J124" s="96"/>
      <c r="K124" s="96"/>
      <c r="L124" s="96"/>
      <c r="M124" s="96"/>
      <c r="N124" s="96"/>
      <c r="O124" s="96"/>
      <c r="P124" s="96"/>
    </row>
    <row r="125" spans="1:37" x14ac:dyDescent="0.35">
      <c r="H125" s="96"/>
      <c r="I125" s="96"/>
      <c r="J125" s="96"/>
      <c r="K125" s="96"/>
      <c r="L125" s="96"/>
      <c r="M125" s="96"/>
      <c r="N125" s="96"/>
      <c r="O125" s="96"/>
      <c r="P125" s="96"/>
    </row>
    <row r="126" spans="1:37" x14ac:dyDescent="0.35">
      <c r="H126" s="96"/>
      <c r="I126" s="96"/>
      <c r="J126" s="96"/>
      <c r="K126" s="96"/>
      <c r="L126" s="96"/>
      <c r="M126" s="96"/>
      <c r="N126" s="96"/>
      <c r="O126" s="96"/>
      <c r="P126" s="96"/>
    </row>
    <row r="127" spans="1:37" x14ac:dyDescent="0.35">
      <c r="H127" s="96"/>
      <c r="I127" s="96"/>
      <c r="J127" s="96"/>
      <c r="K127" s="96"/>
      <c r="L127" s="96"/>
      <c r="M127" s="96"/>
      <c r="N127" s="96"/>
      <c r="O127" s="96"/>
      <c r="P127" s="96"/>
    </row>
    <row r="128" spans="1:37" x14ac:dyDescent="0.35">
      <c r="H128" s="96"/>
      <c r="I128" s="96"/>
      <c r="J128" s="96"/>
      <c r="K128" s="96"/>
      <c r="L128" s="96"/>
      <c r="M128" s="96"/>
      <c r="N128" s="96"/>
      <c r="O128" s="96"/>
      <c r="P128" s="96"/>
    </row>
    <row r="129" spans="1:37" x14ac:dyDescent="0.35">
      <c r="H129" s="96"/>
      <c r="I129" s="96"/>
      <c r="J129" s="96"/>
      <c r="K129" s="96"/>
      <c r="L129" s="96"/>
      <c r="M129" s="96"/>
      <c r="N129" s="96"/>
      <c r="O129" s="96"/>
      <c r="P129" s="96"/>
    </row>
    <row r="130" spans="1:37" x14ac:dyDescent="0.35">
      <c r="H130" s="96"/>
      <c r="I130" s="96"/>
      <c r="J130" s="96"/>
      <c r="K130" s="96"/>
      <c r="L130" s="96"/>
      <c r="M130" s="96"/>
      <c r="N130" s="96"/>
      <c r="O130" s="96"/>
      <c r="P130" s="96"/>
    </row>
    <row r="131" spans="1:37" x14ac:dyDescent="0.35">
      <c r="H131" s="96"/>
      <c r="I131" s="96"/>
      <c r="J131" s="96"/>
      <c r="K131" s="96"/>
      <c r="L131" s="96"/>
      <c r="M131" s="96"/>
      <c r="N131" s="96"/>
      <c r="O131" s="96"/>
      <c r="P131" s="96"/>
    </row>
    <row r="132" spans="1:37" x14ac:dyDescent="0.35">
      <c r="H132" s="96"/>
      <c r="I132" s="96"/>
      <c r="J132" s="96"/>
      <c r="K132" s="96"/>
      <c r="L132" s="96"/>
      <c r="M132" s="96"/>
      <c r="N132" s="96"/>
      <c r="O132" s="96"/>
      <c r="P132" s="96"/>
    </row>
    <row r="133" spans="1:37" x14ac:dyDescent="0.35">
      <c r="H133" s="96"/>
      <c r="I133" s="96"/>
      <c r="J133" s="96"/>
      <c r="K133" s="96"/>
      <c r="L133" s="96"/>
      <c r="M133" s="96"/>
      <c r="N133" s="96"/>
      <c r="O133" s="96"/>
      <c r="P133" s="96"/>
    </row>
    <row r="134" spans="1:37" x14ac:dyDescent="0.35">
      <c r="H134" s="96"/>
      <c r="I134" s="96"/>
      <c r="J134" s="96"/>
      <c r="K134" s="96"/>
      <c r="L134" s="96"/>
      <c r="M134" s="96"/>
      <c r="N134" s="96"/>
      <c r="O134" s="96"/>
      <c r="P134" s="96"/>
    </row>
    <row r="135" spans="1:37" x14ac:dyDescent="0.35">
      <c r="A135" s="132"/>
      <c r="B135" s="132"/>
      <c r="C135" s="132"/>
      <c r="D135" s="132"/>
      <c r="E135" s="132"/>
      <c r="F135" s="132"/>
      <c r="G135" s="132"/>
      <c r="H135" s="96"/>
      <c r="I135" s="96"/>
      <c r="J135" s="96"/>
      <c r="K135" s="96"/>
      <c r="L135" s="96"/>
      <c r="M135" s="96"/>
      <c r="N135" s="96"/>
      <c r="O135" s="96"/>
      <c r="P135" s="96"/>
      <c r="Q135" s="132"/>
      <c r="R135" s="132"/>
      <c r="S135" s="132"/>
      <c r="T135" s="132"/>
      <c r="U135" s="132"/>
      <c r="V135" s="132"/>
      <c r="W135" s="132"/>
      <c r="X135" s="132"/>
      <c r="Y135" s="132"/>
      <c r="Z135" s="132"/>
      <c r="AA135" s="132"/>
      <c r="AB135" s="132"/>
      <c r="AC135" s="132"/>
      <c r="AD135" s="132"/>
      <c r="AE135" s="132"/>
      <c r="AF135" s="132"/>
      <c r="AG135" s="132"/>
      <c r="AH135" s="132"/>
      <c r="AI135" s="132"/>
      <c r="AJ135" s="132"/>
      <c r="AK135" s="132"/>
    </row>
    <row r="136" spans="1:37" ht="21" x14ac:dyDescent="0.5">
      <c r="B136" s="134" t="s">
        <v>279</v>
      </c>
      <c r="C136" s="136">
        <f>C91</f>
        <v>2019</v>
      </c>
      <c r="H136" s="96"/>
      <c r="I136" s="96"/>
      <c r="J136" s="96"/>
      <c r="K136" s="96"/>
      <c r="L136" s="96"/>
      <c r="M136" s="96"/>
      <c r="N136" s="96"/>
      <c r="O136" s="96"/>
      <c r="P136" s="96"/>
      <c r="W136" s="23" t="s">
        <v>202</v>
      </c>
      <c r="AB136" s="95"/>
    </row>
    <row r="137" spans="1:37" x14ac:dyDescent="0.35">
      <c r="H137" s="96"/>
      <c r="I137" s="96"/>
      <c r="J137" s="96"/>
      <c r="K137" s="96"/>
      <c r="L137" s="96"/>
      <c r="M137" s="96"/>
      <c r="N137" s="96"/>
      <c r="O137" s="96"/>
      <c r="P137" s="96"/>
      <c r="T137" s="99" t="s">
        <v>138</v>
      </c>
      <c r="W137" s="99">
        <v>1.7</v>
      </c>
      <c r="X137" s="23" t="s">
        <v>174</v>
      </c>
      <c r="Z137" s="100">
        <v>0</v>
      </c>
      <c r="AA137" s="23" t="s">
        <v>175</v>
      </c>
      <c r="AC137" s="101">
        <v>0</v>
      </c>
    </row>
    <row r="138" spans="1:37" ht="72.5" x14ac:dyDescent="0.35">
      <c r="B138" s="102" t="s">
        <v>173</v>
      </c>
      <c r="C138" s="103" t="s">
        <v>95</v>
      </c>
      <c r="D138" s="103" t="s">
        <v>172</v>
      </c>
      <c r="E138" s="103" t="s">
        <v>231</v>
      </c>
      <c r="F138" s="103" t="s">
        <v>96</v>
      </c>
      <c r="G138" s="103" t="s">
        <v>205</v>
      </c>
      <c r="H138" s="176" t="s">
        <v>99</v>
      </c>
      <c r="I138" s="176" t="s">
        <v>97</v>
      </c>
      <c r="J138" s="176" t="s">
        <v>100</v>
      </c>
      <c r="K138" s="176" t="s">
        <v>101</v>
      </c>
      <c r="L138" s="176" t="s">
        <v>102</v>
      </c>
      <c r="M138" s="176" t="s">
        <v>129</v>
      </c>
      <c r="N138" s="176" t="s">
        <v>130</v>
      </c>
      <c r="O138" s="176" t="s">
        <v>132</v>
      </c>
      <c r="P138" s="176" t="s">
        <v>133</v>
      </c>
      <c r="Q138" s="103" t="s">
        <v>131</v>
      </c>
      <c r="R138" s="117" t="s">
        <v>136</v>
      </c>
      <c r="S138" s="103" t="s">
        <v>135</v>
      </c>
      <c r="T138" s="103" t="s">
        <v>134</v>
      </c>
      <c r="U138" s="103" t="s">
        <v>103</v>
      </c>
      <c r="V138" s="117" t="s">
        <v>108</v>
      </c>
      <c r="W138" s="103" t="s">
        <v>199</v>
      </c>
      <c r="X138" s="103" t="s">
        <v>104</v>
      </c>
      <c r="Y138" s="103" t="s">
        <v>105</v>
      </c>
      <c r="Z138" s="103" t="s">
        <v>106</v>
      </c>
      <c r="AA138" s="103" t="s">
        <v>137</v>
      </c>
      <c r="AB138" s="117" t="s">
        <v>107</v>
      </c>
      <c r="AD138" s="103" t="s">
        <v>167</v>
      </c>
      <c r="AE138" s="103" t="s">
        <v>168</v>
      </c>
      <c r="AF138" s="103" t="s">
        <v>169</v>
      </c>
      <c r="AJ138" s="103" t="s">
        <v>177</v>
      </c>
      <c r="AK138" s="103" t="s">
        <v>176</v>
      </c>
    </row>
    <row r="139" spans="1:37" x14ac:dyDescent="0.35">
      <c r="A139" s="23">
        <v>20</v>
      </c>
      <c r="B139" s="120" t="s">
        <v>162</v>
      </c>
      <c r="C139" s="111" t="s">
        <v>157</v>
      </c>
      <c r="D139" s="111" t="s">
        <v>170</v>
      </c>
      <c r="E139" s="111"/>
      <c r="F139" s="111" t="s">
        <v>158</v>
      </c>
      <c r="G139" s="145">
        <f>'time-factors'!B$38*'time-factors'!B70</f>
        <v>7.5471698113207548E-3</v>
      </c>
      <c r="H139" s="166">
        <f>'time-factors'!I70</f>
        <v>0.15</v>
      </c>
      <c r="I139" s="168" t="s">
        <v>166</v>
      </c>
      <c r="J139" s="96">
        <f>'time-factors'!O$46</f>
        <v>20</v>
      </c>
      <c r="K139" s="170">
        <f>'time-factors'!I$46</f>
        <v>0.05</v>
      </c>
      <c r="L139" s="172">
        <f t="shared" ref="L139:L163" si="60">PMT(K139,J139,-H139)</f>
        <v>1.2036388078603697E-2</v>
      </c>
      <c r="M139" s="171">
        <v>0.02</v>
      </c>
      <c r="N139" s="168">
        <f t="shared" ref="N139:N163" si="61">M139*H139</f>
        <v>3.0000000000000001E-3</v>
      </c>
      <c r="O139" s="168">
        <v>1.5</v>
      </c>
      <c r="P139" s="177">
        <v>200</v>
      </c>
      <c r="Q139" s="115">
        <f t="shared" ref="Q139:Q163" si="62">P139*O139*0.001</f>
        <v>0.3</v>
      </c>
      <c r="R139" s="114">
        <f t="shared" ref="R139:R163" si="63">L139+N139+Q139</f>
        <v>0.31503638807860368</v>
      </c>
      <c r="S139" s="114">
        <f>2*O139</f>
        <v>3</v>
      </c>
      <c r="T139" s="114">
        <v>0.1</v>
      </c>
      <c r="U139" s="111">
        <f t="shared" ref="U139:U163" si="64">T139*S139</f>
        <v>0.30000000000000004</v>
      </c>
      <c r="V139" s="111">
        <f t="shared" ref="V139:V163" si="65">R139/U139</f>
        <v>1.0501212935953455</v>
      </c>
      <c r="W139" s="111">
        <v>200</v>
      </c>
      <c r="X139" s="111">
        <f t="shared" ref="X139:X163" si="66">W139*S139*0.001</f>
        <v>0.6</v>
      </c>
      <c r="Y139" s="111">
        <f t="shared" ref="Y139:Y145" si="67">$AC$2</f>
        <v>0</v>
      </c>
      <c r="Z139" s="111">
        <f t="shared" ref="Z139:Z163" si="68">Y139*U139</f>
        <v>0</v>
      </c>
      <c r="AA139" s="114">
        <f t="shared" ref="AA139:AA163" si="69">R139-X139-Z139</f>
        <v>-0.2849636119213963</v>
      </c>
      <c r="AB139" s="111">
        <f t="shared" ref="AB139:AB163" si="70">AA139/U139</f>
        <v>-0.94987870640465422</v>
      </c>
      <c r="AC139" s="111"/>
      <c r="AD139" s="107">
        <f t="shared" ref="AD139:AD163" si="71">L139/U139</f>
        <v>4.012129359534565E-2</v>
      </c>
      <c r="AE139" s="23">
        <f t="shared" ref="AE139:AE163" si="72">N139/U139</f>
        <v>9.9999999999999985E-3</v>
      </c>
      <c r="AF139" s="108">
        <f t="shared" ref="AF139:AF163" si="73">Q139/U139</f>
        <v>0.99999999999999978</v>
      </c>
      <c r="AH139" s="104">
        <f>G139</f>
        <v>7.5471698113207548E-3</v>
      </c>
      <c r="AJ139" s="104">
        <f>AH139</f>
        <v>7.5471698113207548E-3</v>
      </c>
      <c r="AK139" s="23">
        <f t="shared" ref="AK139:AK163" si="74">AB139</f>
        <v>-0.94987870640465422</v>
      </c>
    </row>
    <row r="140" spans="1:37" x14ac:dyDescent="0.35">
      <c r="A140" s="23">
        <v>21</v>
      </c>
      <c r="B140" s="120" t="s">
        <v>160</v>
      </c>
      <c r="C140" s="48" t="s">
        <v>163</v>
      </c>
      <c r="D140" s="111" t="s">
        <v>170</v>
      </c>
      <c r="E140" s="111"/>
      <c r="F140" s="48" t="s">
        <v>158</v>
      </c>
      <c r="G140" s="145">
        <f>'time-factors'!B$38*'time-factors'!B71</f>
        <v>1.3836477987421382E-2</v>
      </c>
      <c r="H140" s="166">
        <f>'time-factors'!I71</f>
        <v>0.25</v>
      </c>
      <c r="I140" s="168" t="s">
        <v>166</v>
      </c>
      <c r="J140" s="96">
        <f>'time-factors'!O$46</f>
        <v>20</v>
      </c>
      <c r="K140" s="170">
        <f>'time-factors'!I$46</f>
        <v>0.05</v>
      </c>
      <c r="L140" s="172">
        <f t="shared" si="60"/>
        <v>2.0060646797672832E-2</v>
      </c>
      <c r="M140" s="171">
        <v>0.02</v>
      </c>
      <c r="N140" s="168">
        <f t="shared" si="61"/>
        <v>5.0000000000000001E-3</v>
      </c>
      <c r="O140" s="168">
        <v>4.4000000000000004</v>
      </c>
      <c r="P140" s="177">
        <v>200</v>
      </c>
      <c r="Q140" s="115">
        <f t="shared" si="62"/>
        <v>0.88000000000000012</v>
      </c>
      <c r="R140" s="114">
        <f t="shared" si="63"/>
        <v>0.90506064679767295</v>
      </c>
      <c r="S140" s="114">
        <f>1.2*O140</f>
        <v>5.28</v>
      </c>
      <c r="T140" s="114">
        <v>0.1</v>
      </c>
      <c r="U140" s="111">
        <f t="shared" si="64"/>
        <v>0.52800000000000002</v>
      </c>
      <c r="V140" s="111">
        <f t="shared" si="65"/>
        <v>1.7141300128743806</v>
      </c>
      <c r="W140" s="111">
        <v>200</v>
      </c>
      <c r="X140" s="111">
        <f t="shared" si="66"/>
        <v>1.056</v>
      </c>
      <c r="Y140" s="111">
        <f t="shared" si="67"/>
        <v>0</v>
      </c>
      <c r="Z140" s="111">
        <f t="shared" si="68"/>
        <v>0</v>
      </c>
      <c r="AA140" s="114">
        <f t="shared" si="69"/>
        <v>-0.1509393532023271</v>
      </c>
      <c r="AB140" s="111">
        <f t="shared" si="70"/>
        <v>-0.28586998712561951</v>
      </c>
      <c r="AC140" s="111"/>
      <c r="AD140" s="107">
        <f t="shared" si="71"/>
        <v>3.7993649238016729E-2</v>
      </c>
      <c r="AE140" s="23">
        <f t="shared" si="72"/>
        <v>9.46969696969697E-3</v>
      </c>
      <c r="AF140" s="108">
        <f t="shared" si="73"/>
        <v>1.6666666666666667</v>
      </c>
      <c r="AH140" s="104">
        <f t="shared" ref="AH140:AH163" si="75">G140</f>
        <v>1.3836477987421382E-2</v>
      </c>
      <c r="AJ140" s="104">
        <f>AJ139+AH140</f>
        <v>2.1383647798742137E-2</v>
      </c>
      <c r="AK140" s="23">
        <f t="shared" si="74"/>
        <v>-0.28586998712561951</v>
      </c>
    </row>
    <row r="141" spans="1:37" ht="29" x14ac:dyDescent="0.35">
      <c r="A141" s="23">
        <v>22</v>
      </c>
      <c r="B141" s="120" t="s">
        <v>161</v>
      </c>
      <c r="C141" s="48" t="s">
        <v>163</v>
      </c>
      <c r="D141" s="111" t="s">
        <v>170</v>
      </c>
      <c r="E141" s="111"/>
      <c r="F141" s="48" t="s">
        <v>158</v>
      </c>
      <c r="G141" s="145">
        <f>'time-factors'!B$38*'time-factors'!B72</f>
        <v>7.5471698113207548E-3</v>
      </c>
      <c r="H141" s="166">
        <f>'time-factors'!I72</f>
        <v>0.5</v>
      </c>
      <c r="I141" s="168" t="s">
        <v>166</v>
      </c>
      <c r="J141" s="96">
        <f>'time-factors'!O$46</f>
        <v>20</v>
      </c>
      <c r="K141" s="170">
        <f>'time-factors'!I$46</f>
        <v>0.05</v>
      </c>
      <c r="L141" s="172">
        <f t="shared" si="60"/>
        <v>4.0121293595345664E-2</v>
      </c>
      <c r="M141" s="171">
        <v>0.02</v>
      </c>
      <c r="N141" s="168">
        <f t="shared" si="61"/>
        <v>0.01</v>
      </c>
      <c r="O141" s="168">
        <v>4.4000000000000004</v>
      </c>
      <c r="P141" s="177">
        <v>200</v>
      </c>
      <c r="Q141" s="115">
        <f t="shared" si="62"/>
        <v>0.88000000000000012</v>
      </c>
      <c r="R141" s="114">
        <f t="shared" si="63"/>
        <v>0.93012129359534579</v>
      </c>
      <c r="S141" s="114">
        <f>1.2*O141</f>
        <v>5.28</v>
      </c>
      <c r="T141" s="114">
        <v>0.1</v>
      </c>
      <c r="U141" s="111">
        <f t="shared" si="64"/>
        <v>0.52800000000000002</v>
      </c>
      <c r="V141" s="111">
        <f t="shared" si="65"/>
        <v>1.7615933590820942</v>
      </c>
      <c r="W141" s="111">
        <v>200</v>
      </c>
      <c r="X141" s="111">
        <f t="shared" si="66"/>
        <v>1.056</v>
      </c>
      <c r="Y141" s="111">
        <f t="shared" si="67"/>
        <v>0</v>
      </c>
      <c r="Z141" s="111">
        <f t="shared" si="68"/>
        <v>0</v>
      </c>
      <c r="AA141" s="114">
        <f t="shared" si="69"/>
        <v>-0.12587870640465426</v>
      </c>
      <c r="AB141" s="111">
        <f t="shared" si="70"/>
        <v>-0.23840664091790578</v>
      </c>
      <c r="AC141" s="111"/>
      <c r="AD141" s="107">
        <f t="shared" si="71"/>
        <v>7.5987298476033457E-2</v>
      </c>
      <c r="AE141" s="23">
        <f t="shared" si="72"/>
        <v>1.893939393939394E-2</v>
      </c>
      <c r="AF141" s="108">
        <f t="shared" si="73"/>
        <v>1.6666666666666667</v>
      </c>
      <c r="AH141" s="104">
        <f t="shared" si="75"/>
        <v>7.5471698113207548E-3</v>
      </c>
      <c r="AJ141" s="104">
        <f t="shared" ref="AJ141:AJ163" si="76">AJ140+AH141</f>
        <v>2.8930817610062894E-2</v>
      </c>
      <c r="AK141" s="23">
        <f t="shared" si="74"/>
        <v>-0.23840664091790578</v>
      </c>
    </row>
    <row r="142" spans="1:37" x14ac:dyDescent="0.35">
      <c r="A142" s="23">
        <v>24</v>
      </c>
      <c r="B142" s="120" t="s">
        <v>165</v>
      </c>
      <c r="C142" s="120" t="s">
        <v>165</v>
      </c>
      <c r="D142" s="111" t="s">
        <v>170</v>
      </c>
      <c r="E142" s="111"/>
      <c r="F142" s="48" t="s">
        <v>158</v>
      </c>
      <c r="G142" s="145">
        <f>'time-factors'!B$38*'time-factors'!B74</f>
        <v>5.0314465408805029E-3</v>
      </c>
      <c r="H142" s="166">
        <f>'time-factors'!I74</f>
        <v>0.5</v>
      </c>
      <c r="I142" s="168" t="s">
        <v>166</v>
      </c>
      <c r="J142" s="96">
        <f>'time-factors'!O$46</f>
        <v>20</v>
      </c>
      <c r="K142" s="170">
        <f>'time-factors'!I$47</f>
        <v>0.05</v>
      </c>
      <c r="L142" s="172">
        <f t="shared" si="60"/>
        <v>4.0121293595345664E-2</v>
      </c>
      <c r="M142" s="171">
        <v>0.02</v>
      </c>
      <c r="N142" s="168">
        <f t="shared" si="61"/>
        <v>0.01</v>
      </c>
      <c r="O142" s="168">
        <v>4.4000000000000004</v>
      </c>
      <c r="P142" s="177">
        <v>200</v>
      </c>
      <c r="Q142" s="115">
        <f t="shared" si="62"/>
        <v>0.88000000000000012</v>
      </c>
      <c r="R142" s="114">
        <f t="shared" si="63"/>
        <v>0.93012129359534579</v>
      </c>
      <c r="S142" s="114">
        <f>1.2*O142</f>
        <v>5.28</v>
      </c>
      <c r="T142" s="114">
        <v>0.1</v>
      </c>
      <c r="U142" s="111">
        <f t="shared" si="64"/>
        <v>0.52800000000000002</v>
      </c>
      <c r="V142" s="111">
        <f t="shared" si="65"/>
        <v>1.7615933590820942</v>
      </c>
      <c r="W142" s="111">
        <v>200</v>
      </c>
      <c r="X142" s="111">
        <f t="shared" si="66"/>
        <v>1.056</v>
      </c>
      <c r="Y142" s="111">
        <f t="shared" si="67"/>
        <v>0</v>
      </c>
      <c r="Z142" s="111">
        <f t="shared" si="68"/>
        <v>0</v>
      </c>
      <c r="AA142" s="114">
        <f t="shared" si="69"/>
        <v>-0.12587870640465426</v>
      </c>
      <c r="AB142" s="111">
        <f t="shared" si="70"/>
        <v>-0.23840664091790578</v>
      </c>
      <c r="AC142" s="111"/>
      <c r="AD142" s="107">
        <f t="shared" si="71"/>
        <v>7.5987298476033457E-2</v>
      </c>
      <c r="AE142" s="23">
        <f t="shared" si="72"/>
        <v>1.893939393939394E-2</v>
      </c>
      <c r="AF142" s="108">
        <f t="shared" si="73"/>
        <v>1.6666666666666667</v>
      </c>
      <c r="AH142" s="104">
        <f t="shared" si="75"/>
        <v>5.0314465408805029E-3</v>
      </c>
      <c r="AJ142" s="104">
        <f t="shared" si="76"/>
        <v>3.3962264150943396E-2</v>
      </c>
      <c r="AK142" s="23">
        <f t="shared" si="74"/>
        <v>-0.23840664091790578</v>
      </c>
    </row>
    <row r="143" spans="1:37" x14ac:dyDescent="0.35">
      <c r="A143" s="23">
        <v>23</v>
      </c>
      <c r="B143" s="120" t="s">
        <v>164</v>
      </c>
      <c r="C143" s="48" t="s">
        <v>163</v>
      </c>
      <c r="D143" s="111" t="s">
        <v>170</v>
      </c>
      <c r="E143" s="111"/>
      <c r="F143" s="48" t="s">
        <v>158</v>
      </c>
      <c r="G143" s="145">
        <f>'time-factors'!B$38*'time-factors'!B73</f>
        <v>1.2578616352201257E-2</v>
      </c>
      <c r="H143" s="166">
        <f>'time-factors'!I73</f>
        <v>1</v>
      </c>
      <c r="I143" s="168" t="s">
        <v>166</v>
      </c>
      <c r="J143" s="96">
        <f>'time-factors'!O$46</f>
        <v>20</v>
      </c>
      <c r="K143" s="170">
        <f>'time-factors'!I$46</f>
        <v>0.05</v>
      </c>
      <c r="L143" s="172">
        <f t="shared" si="60"/>
        <v>8.0242587190691328E-2</v>
      </c>
      <c r="M143" s="171">
        <v>0.02</v>
      </c>
      <c r="N143" s="168">
        <f t="shared" si="61"/>
        <v>0.02</v>
      </c>
      <c r="O143" s="168">
        <v>4.4000000000000004</v>
      </c>
      <c r="P143" s="177">
        <v>200</v>
      </c>
      <c r="Q143" s="115">
        <f t="shared" si="62"/>
        <v>0.88000000000000012</v>
      </c>
      <c r="R143" s="114">
        <f t="shared" si="63"/>
        <v>0.98024258719069146</v>
      </c>
      <c r="S143" s="114">
        <f>1.2*O143</f>
        <v>5.28</v>
      </c>
      <c r="T143" s="114">
        <v>0.1</v>
      </c>
      <c r="U143" s="111">
        <f t="shared" si="64"/>
        <v>0.52800000000000002</v>
      </c>
      <c r="V143" s="111">
        <f t="shared" si="65"/>
        <v>1.8565200514975215</v>
      </c>
      <c r="W143" s="111">
        <v>200</v>
      </c>
      <c r="X143" s="111">
        <f t="shared" si="66"/>
        <v>1.056</v>
      </c>
      <c r="Y143" s="111">
        <f t="shared" si="67"/>
        <v>0</v>
      </c>
      <c r="Z143" s="111">
        <f t="shared" si="68"/>
        <v>0</v>
      </c>
      <c r="AA143" s="114">
        <f t="shared" si="69"/>
        <v>-7.5757412809308589E-2</v>
      </c>
      <c r="AB143" s="111">
        <f t="shared" si="70"/>
        <v>-0.14347994850247839</v>
      </c>
      <c r="AC143" s="111"/>
      <c r="AD143" s="107">
        <f t="shared" si="71"/>
        <v>0.15197459695206691</v>
      </c>
      <c r="AE143" s="23">
        <f t="shared" si="72"/>
        <v>3.787878787878788E-2</v>
      </c>
      <c r="AF143" s="108">
        <f t="shared" si="73"/>
        <v>1.6666666666666667</v>
      </c>
      <c r="AH143" s="104">
        <f t="shared" si="75"/>
        <v>1.2578616352201257E-2</v>
      </c>
      <c r="AJ143" s="104">
        <f t="shared" si="76"/>
        <v>4.6540880503144651E-2</v>
      </c>
      <c r="AK143" s="23">
        <f t="shared" si="74"/>
        <v>-0.14347994850247839</v>
      </c>
    </row>
    <row r="144" spans="1:37" x14ac:dyDescent="0.35">
      <c r="A144" s="23">
        <v>19</v>
      </c>
      <c r="B144" s="120" t="s">
        <v>140</v>
      </c>
      <c r="C144" s="111" t="s">
        <v>157</v>
      </c>
      <c r="D144" s="111" t="s">
        <v>170</v>
      </c>
      <c r="E144" s="111"/>
      <c r="F144" s="111" t="s">
        <v>159</v>
      </c>
      <c r="G144" s="145">
        <f>'time-factors'!B$38*'time-factors'!B69</f>
        <v>1.5723270440251572E-2</v>
      </c>
      <c r="H144" s="166">
        <f>'time-factors'!I69</f>
        <v>2</v>
      </c>
      <c r="I144" s="168" t="s">
        <v>166</v>
      </c>
      <c r="J144" s="96">
        <f>'time-factors'!O$45</f>
        <v>15</v>
      </c>
      <c r="K144" s="170">
        <f>'time-factors'!I$45</f>
        <v>0.05</v>
      </c>
      <c r="L144" s="172">
        <f t="shared" si="60"/>
        <v>0.19268457521848875</v>
      </c>
      <c r="M144" s="171">
        <v>0</v>
      </c>
      <c r="N144" s="168">
        <f t="shared" si="61"/>
        <v>0</v>
      </c>
      <c r="O144" s="168">
        <v>2.63</v>
      </c>
      <c r="P144" s="177">
        <v>200</v>
      </c>
      <c r="Q144" s="115">
        <f t="shared" si="62"/>
        <v>0.52600000000000002</v>
      </c>
      <c r="R144" s="114">
        <f t="shared" si="63"/>
        <v>0.71868457521848872</v>
      </c>
      <c r="S144" s="114">
        <f>3.5*O144</f>
        <v>9.2050000000000001</v>
      </c>
      <c r="T144" s="114">
        <v>0.18</v>
      </c>
      <c r="U144" s="111">
        <f t="shared" si="64"/>
        <v>1.6569</v>
      </c>
      <c r="V144" s="111">
        <f t="shared" si="65"/>
        <v>0.43375253498611183</v>
      </c>
      <c r="W144" s="116">
        <v>103</v>
      </c>
      <c r="X144" s="111">
        <f t="shared" si="66"/>
        <v>0.94811500000000004</v>
      </c>
      <c r="Y144" s="111">
        <f t="shared" si="67"/>
        <v>0</v>
      </c>
      <c r="Z144" s="111">
        <f t="shared" si="68"/>
        <v>0</v>
      </c>
      <c r="AA144" s="114">
        <f t="shared" si="69"/>
        <v>-0.22943042478151132</v>
      </c>
      <c r="AB144" s="111">
        <f t="shared" si="70"/>
        <v>-0.13846968723611039</v>
      </c>
      <c r="AC144" s="111"/>
      <c r="AD144" s="107">
        <f t="shared" si="71"/>
        <v>0.1162922175257944</v>
      </c>
      <c r="AE144" s="23">
        <f t="shared" si="72"/>
        <v>0</v>
      </c>
      <c r="AF144" s="108">
        <f t="shared" si="73"/>
        <v>0.31746031746031744</v>
      </c>
      <c r="AH144" s="104">
        <f t="shared" si="75"/>
        <v>1.5723270440251572E-2</v>
      </c>
      <c r="AJ144" s="104">
        <f t="shared" si="76"/>
        <v>6.2264150943396226E-2</v>
      </c>
      <c r="AK144" s="23">
        <f t="shared" si="74"/>
        <v>-0.13846968723611039</v>
      </c>
    </row>
    <row r="145" spans="1:37" ht="29" x14ac:dyDescent="0.35">
      <c r="A145" s="23">
        <v>25</v>
      </c>
      <c r="B145" s="121" t="s">
        <v>204</v>
      </c>
      <c r="C145" s="24" t="s">
        <v>41</v>
      </c>
      <c r="D145" s="24" t="s">
        <v>198</v>
      </c>
      <c r="E145" s="24"/>
      <c r="F145" s="24" t="s">
        <v>203</v>
      </c>
      <c r="G145" s="145">
        <f>'time-factors'!B$38*'time-factors'!B75</f>
        <v>1.5723270440251572E-2</v>
      </c>
      <c r="H145" s="166">
        <f>'time-factors'!I75</f>
        <v>4.0999999999999996</v>
      </c>
      <c r="I145" s="53" t="s">
        <v>166</v>
      </c>
      <c r="J145" s="96">
        <f>'time-factors'!O$47</f>
        <v>10</v>
      </c>
      <c r="K145" s="170">
        <f>'time-factors'!I$46</f>
        <v>0.05</v>
      </c>
      <c r="L145" s="55">
        <f t="shared" si="60"/>
        <v>0.53096875735837223</v>
      </c>
      <c r="M145" s="54">
        <v>0</v>
      </c>
      <c r="N145" s="53">
        <f t="shared" si="61"/>
        <v>0</v>
      </c>
      <c r="O145" s="53">
        <v>2.2000000000000002</v>
      </c>
      <c r="P145" s="178">
        <v>200</v>
      </c>
      <c r="Q145" s="56">
        <f t="shared" si="62"/>
        <v>0.44000000000000006</v>
      </c>
      <c r="R145" s="55">
        <f t="shared" si="63"/>
        <v>0.97096875735837229</v>
      </c>
      <c r="S145" s="59">
        <f>2*O145</f>
        <v>4.4000000000000004</v>
      </c>
      <c r="T145" s="59">
        <v>0.27</v>
      </c>
      <c r="U145" s="53">
        <f t="shared" si="64"/>
        <v>1.1880000000000002</v>
      </c>
      <c r="V145" s="53">
        <f t="shared" si="65"/>
        <v>0.81731376882017859</v>
      </c>
      <c r="W145" s="53">
        <v>200</v>
      </c>
      <c r="X145" s="57">
        <f t="shared" si="66"/>
        <v>0.88000000000000012</v>
      </c>
      <c r="Y145" s="53">
        <f t="shared" si="67"/>
        <v>0</v>
      </c>
      <c r="Z145" s="53">
        <f t="shared" si="68"/>
        <v>0</v>
      </c>
      <c r="AA145" s="55">
        <f t="shared" si="69"/>
        <v>9.0968757358372176E-2</v>
      </c>
      <c r="AB145" s="53">
        <f t="shared" si="70"/>
        <v>7.6573028079437847E-2</v>
      </c>
      <c r="AC145" s="53"/>
      <c r="AD145" s="107">
        <f t="shared" si="71"/>
        <v>0.44694339844980824</v>
      </c>
      <c r="AE145" s="23">
        <f t="shared" si="72"/>
        <v>0</v>
      </c>
      <c r="AF145" s="108">
        <f t="shared" si="73"/>
        <v>0.37037037037037035</v>
      </c>
      <c r="AH145" s="104">
        <f t="shared" si="75"/>
        <v>1.5723270440251572E-2</v>
      </c>
      <c r="AJ145" s="104">
        <f t="shared" si="76"/>
        <v>7.7987421383647795E-2</v>
      </c>
      <c r="AK145" s="23">
        <f t="shared" si="74"/>
        <v>7.6573028079437847E-2</v>
      </c>
    </row>
    <row r="146" spans="1:37" x14ac:dyDescent="0.35">
      <c r="A146" s="23">
        <v>12</v>
      </c>
      <c r="B146" s="118" t="s">
        <v>151</v>
      </c>
      <c r="C146" s="23" t="s">
        <v>139</v>
      </c>
      <c r="D146" s="23" t="s">
        <v>171</v>
      </c>
      <c r="E146" s="23" t="s">
        <v>128</v>
      </c>
      <c r="F146" s="23" t="s">
        <v>83</v>
      </c>
      <c r="G146" s="145">
        <f>'time-factors'!B$38*'time-factors'!B62</f>
        <v>1.2578616352201257E-3</v>
      </c>
      <c r="H146" s="166">
        <f>'time-factors'!I62</f>
        <v>45</v>
      </c>
      <c r="I146" s="96" t="s">
        <v>98</v>
      </c>
      <c r="J146" s="96">
        <f>'time-factors'!O$43</f>
        <v>10</v>
      </c>
      <c r="K146" s="170">
        <f>'time-factors'!I$43</f>
        <v>0.05</v>
      </c>
      <c r="L146" s="173">
        <f t="shared" si="60"/>
        <v>5.8277058734455496</v>
      </c>
      <c r="M146" s="170">
        <v>0</v>
      </c>
      <c r="N146" s="96">
        <f t="shared" si="61"/>
        <v>0</v>
      </c>
      <c r="O146" s="167" cm="1">
        <f t="array" ref="O146">IFERROR(_xlfn.IFS(E146="Heavy", 'vehicle E calcs'!$H$33,E146="Cars/vans",'vehicle E calcs'!$H$32),"")</f>
        <v>6.3768270755398833</v>
      </c>
      <c r="P146" s="106">
        <v>200</v>
      </c>
      <c r="Q146" s="108">
        <f t="shared" si="62"/>
        <v>1.2753654151079765</v>
      </c>
      <c r="R146" s="107">
        <f t="shared" si="63"/>
        <v>7.1030712885535259</v>
      </c>
      <c r="S146" s="107" cm="1">
        <f t="array" ref="S146">_xlfn.IFS(E146="Heavy", 'vehicle E calcs'!$T$21,E146="Cars/vans",'vehicle E calcs'!$S$21)*O146</f>
        <v>23.354986057632608</v>
      </c>
      <c r="T146" s="109">
        <v>0.27</v>
      </c>
      <c r="U146" s="23">
        <f t="shared" si="64"/>
        <v>6.3058462355608045</v>
      </c>
      <c r="V146" s="23">
        <f t="shared" si="65"/>
        <v>1.1264263388626412</v>
      </c>
      <c r="W146" s="106">
        <f t="shared" ref="W146:W163" si="77">W$2*105</f>
        <v>168</v>
      </c>
      <c r="X146" s="23">
        <f t="shared" si="66"/>
        <v>3.9236376576822782</v>
      </c>
      <c r="Y146" s="96">
        <f t="shared" ref="Y146:Y163" si="78">$Z$2</f>
        <v>0</v>
      </c>
      <c r="Z146" s="23">
        <f t="shared" si="68"/>
        <v>0</v>
      </c>
      <c r="AA146" s="107">
        <f t="shared" si="69"/>
        <v>3.1794336308712476</v>
      </c>
      <c r="AB146" s="23">
        <f t="shared" si="70"/>
        <v>0.50420411664041909</v>
      </c>
      <c r="AD146" s="107">
        <f t="shared" si="71"/>
        <v>0.92417506798391957</v>
      </c>
      <c r="AE146" s="23">
        <f t="shared" si="72"/>
        <v>0</v>
      </c>
      <c r="AF146" s="108">
        <f t="shared" si="73"/>
        <v>0.20225127087872183</v>
      </c>
      <c r="AH146" s="104">
        <f t="shared" si="75"/>
        <v>1.2578616352201257E-3</v>
      </c>
      <c r="AJ146" s="104">
        <f t="shared" si="76"/>
        <v>7.9245283018867921E-2</v>
      </c>
      <c r="AK146" s="23">
        <f t="shared" si="74"/>
        <v>0.50420411664041909</v>
      </c>
    </row>
    <row r="147" spans="1:37" x14ac:dyDescent="0.35">
      <c r="A147" s="23">
        <v>16</v>
      </c>
      <c r="B147" s="118" t="s">
        <v>154</v>
      </c>
      <c r="C147" s="23" t="s">
        <v>139</v>
      </c>
      <c r="D147" s="23" t="s">
        <v>171</v>
      </c>
      <c r="E147" s="23" t="s">
        <v>128</v>
      </c>
      <c r="F147" s="23" t="s">
        <v>83</v>
      </c>
      <c r="G147" s="145">
        <f>'time-factors'!B$38*'time-factors'!B66</f>
        <v>1.2578616352201257E-3</v>
      </c>
      <c r="H147" s="166">
        <f>'time-factors'!I66</f>
        <v>45</v>
      </c>
      <c r="I147" s="96" t="s">
        <v>98</v>
      </c>
      <c r="J147" s="96">
        <f>'time-factors'!O$43</f>
        <v>10</v>
      </c>
      <c r="K147" s="170">
        <f>'time-factors'!I$43</f>
        <v>0.05</v>
      </c>
      <c r="L147" s="173">
        <f t="shared" si="60"/>
        <v>5.8277058734455496</v>
      </c>
      <c r="M147" s="170">
        <v>0</v>
      </c>
      <c r="N147" s="96">
        <f t="shared" si="61"/>
        <v>0</v>
      </c>
      <c r="O147" s="167" cm="1">
        <f t="array" ref="O147">IFERROR(_xlfn.IFS(E147="Heavy", 'vehicle E calcs'!$H$33,E147="Cars/vans",'vehicle E calcs'!$H$32),"")</f>
        <v>6.3768270755398833</v>
      </c>
      <c r="P147" s="106">
        <v>200</v>
      </c>
      <c r="Q147" s="108">
        <f t="shared" si="62"/>
        <v>1.2753654151079765</v>
      </c>
      <c r="R147" s="107">
        <f t="shared" si="63"/>
        <v>7.1030712885535259</v>
      </c>
      <c r="S147" s="107" cm="1">
        <f t="array" ref="S147">_xlfn.IFS(E147="Heavy", 'vehicle E calcs'!$T$21,E147="Cars/vans",'vehicle E calcs'!$S$21)*O147</f>
        <v>23.354986057632608</v>
      </c>
      <c r="T147" s="109">
        <v>0.27</v>
      </c>
      <c r="U147" s="23">
        <f t="shared" si="64"/>
        <v>6.3058462355608045</v>
      </c>
      <c r="V147" s="23">
        <f t="shared" si="65"/>
        <v>1.1264263388626412</v>
      </c>
      <c r="W147" s="106">
        <f t="shared" si="77"/>
        <v>168</v>
      </c>
      <c r="X147" s="23">
        <f t="shared" si="66"/>
        <v>3.9236376576822782</v>
      </c>
      <c r="Y147" s="96">
        <f t="shared" si="78"/>
        <v>0</v>
      </c>
      <c r="Z147" s="23">
        <f t="shared" si="68"/>
        <v>0</v>
      </c>
      <c r="AA147" s="107">
        <f t="shared" si="69"/>
        <v>3.1794336308712476</v>
      </c>
      <c r="AB147" s="23">
        <f t="shared" si="70"/>
        <v>0.50420411664041909</v>
      </c>
      <c r="AD147" s="107">
        <f t="shared" si="71"/>
        <v>0.92417506798391957</v>
      </c>
      <c r="AE147" s="23">
        <f t="shared" si="72"/>
        <v>0</v>
      </c>
      <c r="AF147" s="108">
        <f t="shared" si="73"/>
        <v>0.20225127087872183</v>
      </c>
      <c r="AH147" s="104">
        <f t="shared" si="75"/>
        <v>1.2578616352201257E-3</v>
      </c>
      <c r="AJ147" s="104">
        <f t="shared" si="76"/>
        <v>8.0503144654088046E-2</v>
      </c>
      <c r="AK147" s="23">
        <f t="shared" si="74"/>
        <v>0.50420411664041909</v>
      </c>
    </row>
    <row r="148" spans="1:37" ht="45.5" x14ac:dyDescent="0.35">
      <c r="A148" s="23">
        <v>13</v>
      </c>
      <c r="B148" s="118" t="s">
        <v>232</v>
      </c>
      <c r="C148" s="23" t="s">
        <v>139</v>
      </c>
      <c r="D148" s="23" t="s">
        <v>171</v>
      </c>
      <c r="E148" s="23" t="s">
        <v>188</v>
      </c>
      <c r="F148" s="23" t="s">
        <v>83</v>
      </c>
      <c r="G148" s="145">
        <f>'time-factors'!B$38*'time-factors'!B63</f>
        <v>1.3836477987421384E-3</v>
      </c>
      <c r="H148" s="166">
        <f>'time-factors'!I63</f>
        <v>77.5</v>
      </c>
      <c r="I148" s="96" t="s">
        <v>98</v>
      </c>
      <c r="J148" s="96">
        <f>'time-factors'!O$43</f>
        <v>10</v>
      </c>
      <c r="K148" s="170">
        <f>'time-factors'!I$43</f>
        <v>0.05</v>
      </c>
      <c r="L148" s="173">
        <f t="shared" si="60"/>
        <v>10.036604559822891</v>
      </c>
      <c r="M148" s="170">
        <v>0</v>
      </c>
      <c r="N148" s="96">
        <f t="shared" si="61"/>
        <v>0</v>
      </c>
      <c r="O148" s="167" cm="1">
        <f t="array" ref="O148">IFERROR(_xlfn.IFS(E148="Heavy", 'vehicle E calcs'!$H$33,E148="Cars/vans",'vehicle E calcs'!$H$32),"")</f>
        <v>7.1233383316924828</v>
      </c>
      <c r="P148" s="106">
        <v>200</v>
      </c>
      <c r="Q148" s="108">
        <f t="shared" si="62"/>
        <v>1.4246676663384965</v>
      </c>
      <c r="R148" s="107">
        <f t="shared" si="63"/>
        <v>11.461272226161388</v>
      </c>
      <c r="S148" s="107" cm="1">
        <f t="array" ref="S148">_xlfn.IFS(E148="Heavy", 'vehicle E calcs'!$T$21,E148="Cars/vans",'vehicle E calcs'!$S$21)*O148</f>
        <v>24.362584419881831</v>
      </c>
      <c r="T148" s="109">
        <v>0.27</v>
      </c>
      <c r="U148" s="23">
        <f t="shared" si="64"/>
        <v>6.5778977933680949</v>
      </c>
      <c r="V148" s="23">
        <f t="shared" si="65"/>
        <v>1.7423913514917733</v>
      </c>
      <c r="W148" s="106">
        <f t="shared" si="77"/>
        <v>168</v>
      </c>
      <c r="X148" s="23">
        <f t="shared" si="66"/>
        <v>4.0929141825401478</v>
      </c>
      <c r="Y148" s="96">
        <f t="shared" si="78"/>
        <v>0</v>
      </c>
      <c r="Z148" s="23">
        <f t="shared" si="68"/>
        <v>0</v>
      </c>
      <c r="AA148" s="107">
        <f t="shared" si="69"/>
        <v>7.3683580436212397</v>
      </c>
      <c r="AB148" s="23">
        <f t="shared" si="70"/>
        <v>1.120169129269551</v>
      </c>
      <c r="AD148" s="107">
        <f t="shared" si="71"/>
        <v>1.5258073133854253</v>
      </c>
      <c r="AE148" s="23">
        <f t="shared" si="72"/>
        <v>0</v>
      </c>
      <c r="AF148" s="108">
        <f t="shared" si="73"/>
        <v>0.2165840381063478</v>
      </c>
      <c r="AH148" s="104">
        <f t="shared" si="75"/>
        <v>1.3836477987421384E-3</v>
      </c>
      <c r="AJ148" s="104">
        <f t="shared" si="76"/>
        <v>8.188679245283019E-2</v>
      </c>
      <c r="AK148" s="23">
        <f t="shared" si="74"/>
        <v>1.120169129269551</v>
      </c>
    </row>
    <row r="149" spans="1:37" x14ac:dyDescent="0.35">
      <c r="A149" s="23">
        <v>11</v>
      </c>
      <c r="B149" s="118" t="s">
        <v>150</v>
      </c>
      <c r="C149" s="23" t="s">
        <v>139</v>
      </c>
      <c r="D149" s="23" t="s">
        <v>171</v>
      </c>
      <c r="E149" s="23" t="s">
        <v>128</v>
      </c>
      <c r="F149" s="23" t="s">
        <v>83</v>
      </c>
      <c r="G149" s="145">
        <f>'time-factors'!B$38*'time-factors'!B61</f>
        <v>6.2893081761006286E-4</v>
      </c>
      <c r="H149" s="166">
        <f>'time-factors'!I61</f>
        <v>77.5</v>
      </c>
      <c r="I149" s="96" t="s">
        <v>98</v>
      </c>
      <c r="J149" s="96">
        <f>'time-factors'!O$43</f>
        <v>10</v>
      </c>
      <c r="K149" s="170">
        <f>'time-factors'!I$43</f>
        <v>0.05</v>
      </c>
      <c r="L149" s="173">
        <f t="shared" si="60"/>
        <v>10.036604559822891</v>
      </c>
      <c r="M149" s="170">
        <v>0</v>
      </c>
      <c r="N149" s="96">
        <f t="shared" si="61"/>
        <v>0</v>
      </c>
      <c r="O149" s="167" cm="1">
        <f t="array" ref="O149">IFERROR(_xlfn.IFS(E149="Heavy", 'vehicle E calcs'!$H$33,E149="Cars/vans",'vehicle E calcs'!$H$32),"")</f>
        <v>6.3768270755398833</v>
      </c>
      <c r="P149" s="106">
        <v>200</v>
      </c>
      <c r="Q149" s="108">
        <f t="shared" si="62"/>
        <v>1.2753654151079765</v>
      </c>
      <c r="R149" s="107">
        <f t="shared" si="63"/>
        <v>11.311969974930868</v>
      </c>
      <c r="S149" s="107" cm="1">
        <f t="array" ref="S149">_xlfn.IFS(E149="Heavy", 'vehicle E calcs'!$T$21,E149="Cars/vans",'vehicle E calcs'!$S$21)*O149</f>
        <v>23.354986057632608</v>
      </c>
      <c r="T149" s="109">
        <v>0.27</v>
      </c>
      <c r="U149" s="23">
        <f t="shared" si="64"/>
        <v>6.3058462355608045</v>
      </c>
      <c r="V149" s="23">
        <f t="shared" si="65"/>
        <v>1.7938861101843611</v>
      </c>
      <c r="W149" s="106">
        <f t="shared" si="77"/>
        <v>168</v>
      </c>
      <c r="X149" s="23">
        <f t="shared" si="66"/>
        <v>3.9236376576822782</v>
      </c>
      <c r="Y149" s="96">
        <f t="shared" si="78"/>
        <v>0</v>
      </c>
      <c r="Z149" s="23">
        <f t="shared" si="68"/>
        <v>0</v>
      </c>
      <c r="AA149" s="107">
        <f t="shared" si="69"/>
        <v>7.3883323172485902</v>
      </c>
      <c r="AB149" s="23">
        <f t="shared" si="70"/>
        <v>1.1716638879621391</v>
      </c>
      <c r="AD149" s="107">
        <f t="shared" si="71"/>
        <v>1.5916348393056392</v>
      </c>
      <c r="AE149" s="23">
        <f t="shared" si="72"/>
        <v>0</v>
      </c>
      <c r="AF149" s="108">
        <f t="shared" si="73"/>
        <v>0.20225127087872183</v>
      </c>
      <c r="AH149" s="104">
        <f t="shared" si="75"/>
        <v>6.2893081761006286E-4</v>
      </c>
      <c r="AJ149" s="104">
        <f t="shared" si="76"/>
        <v>8.2515723270440253E-2</v>
      </c>
      <c r="AK149" s="23">
        <f t="shared" si="74"/>
        <v>1.1716638879621391</v>
      </c>
    </row>
    <row r="150" spans="1:37" x14ac:dyDescent="0.35">
      <c r="A150" s="23">
        <v>6</v>
      </c>
      <c r="B150" s="118" t="s">
        <v>146</v>
      </c>
      <c r="C150" s="23" t="s">
        <v>139</v>
      </c>
      <c r="D150" s="23" t="s">
        <v>171</v>
      </c>
      <c r="E150" s="23" t="s">
        <v>188</v>
      </c>
      <c r="F150" s="23" t="s">
        <v>83</v>
      </c>
      <c r="G150" s="145">
        <f>'time-factors'!B$38*'time-factors'!B56</f>
        <v>1.8238993710691822E-3</v>
      </c>
      <c r="H150" s="166">
        <f>'time-factors'!I56</f>
        <v>148.64528000000001</v>
      </c>
      <c r="I150" s="96" t="s">
        <v>98</v>
      </c>
      <c r="J150" s="96">
        <f>'time-factors'!O$43</f>
        <v>10</v>
      </c>
      <c r="K150" s="170">
        <f>'time-factors'!I$43</f>
        <v>0.05</v>
      </c>
      <c r="L150" s="173">
        <f t="shared" si="60"/>
        <v>19.250243807021299</v>
      </c>
      <c r="M150" s="170">
        <v>0</v>
      </c>
      <c r="N150" s="96">
        <f t="shared" si="61"/>
        <v>0</v>
      </c>
      <c r="O150" s="167" cm="1">
        <f t="array" ref="O150">IFERROR(_xlfn.IFS(E150="Heavy", 'vehicle E calcs'!$H$33,E150="Cars/vans",'vehicle E calcs'!$H$32),"")</f>
        <v>7.1233383316924828</v>
      </c>
      <c r="P150" s="106">
        <v>200</v>
      </c>
      <c r="Q150" s="108">
        <f t="shared" si="62"/>
        <v>1.4246676663384965</v>
      </c>
      <c r="R150" s="107">
        <f t="shared" si="63"/>
        <v>20.674911473359796</v>
      </c>
      <c r="S150" s="107" cm="1">
        <f t="array" ref="S150">_xlfn.IFS(E150="Heavy", 'vehicle E calcs'!$T$21,E150="Cars/vans",'vehicle E calcs'!$S$21)*O150</f>
        <v>24.362584419881831</v>
      </c>
      <c r="T150" s="109">
        <v>0.27</v>
      </c>
      <c r="U150" s="23">
        <f t="shared" si="64"/>
        <v>6.5778977933680949</v>
      </c>
      <c r="V150" s="23">
        <f t="shared" si="65"/>
        <v>3.1430879777737588</v>
      </c>
      <c r="W150" s="106">
        <f t="shared" si="77"/>
        <v>168</v>
      </c>
      <c r="X150" s="23">
        <f t="shared" si="66"/>
        <v>4.0929141825401478</v>
      </c>
      <c r="Y150" s="96">
        <f t="shared" si="78"/>
        <v>0</v>
      </c>
      <c r="Z150" s="23">
        <f t="shared" si="68"/>
        <v>0</v>
      </c>
      <c r="AA150" s="107">
        <f t="shared" si="69"/>
        <v>16.581997290819647</v>
      </c>
      <c r="AB150" s="23">
        <f t="shared" si="70"/>
        <v>2.5208657555515366</v>
      </c>
      <c r="AD150" s="107">
        <f t="shared" si="71"/>
        <v>2.9265039396674108</v>
      </c>
      <c r="AE150" s="23">
        <f t="shared" si="72"/>
        <v>0</v>
      </c>
      <c r="AF150" s="108">
        <f t="shared" si="73"/>
        <v>0.2165840381063478</v>
      </c>
      <c r="AH150" s="104">
        <f t="shared" si="75"/>
        <v>1.8238993710691822E-3</v>
      </c>
      <c r="AJ150" s="104">
        <f t="shared" si="76"/>
        <v>8.4339622641509432E-2</v>
      </c>
      <c r="AK150" s="23">
        <f t="shared" si="74"/>
        <v>2.5208657555515366</v>
      </c>
    </row>
    <row r="151" spans="1:37" x14ac:dyDescent="0.35">
      <c r="A151" s="23">
        <v>1</v>
      </c>
      <c r="B151" s="118" t="s">
        <v>141</v>
      </c>
      <c r="C151" s="23" t="s">
        <v>139</v>
      </c>
      <c r="D151" s="23" t="s">
        <v>171</v>
      </c>
      <c r="E151" s="23" t="s">
        <v>128</v>
      </c>
      <c r="F151" s="23" t="s">
        <v>83</v>
      </c>
      <c r="G151" s="145">
        <f>'time-factors'!B$38*'time-factors'!B51</f>
        <v>2.2012578616352201E-3</v>
      </c>
      <c r="H151" s="166">
        <f>'time-factors'!I51</f>
        <v>199.07849999999999</v>
      </c>
      <c r="I151" s="96" t="s">
        <v>98</v>
      </c>
      <c r="J151" s="96">
        <f>'time-factors'!O$43</f>
        <v>10</v>
      </c>
      <c r="K151" s="170">
        <f>'time-factors'!I$43</f>
        <v>0.05</v>
      </c>
      <c r="L151" s="173">
        <f t="shared" si="60"/>
        <v>25.781576527260661</v>
      </c>
      <c r="M151" s="170">
        <v>0</v>
      </c>
      <c r="N151" s="96">
        <f t="shared" si="61"/>
        <v>0</v>
      </c>
      <c r="O151" s="167" cm="1">
        <f t="array" ref="O151">IFERROR(_xlfn.IFS(E151="Heavy", 'vehicle E calcs'!$H$33,E151="Cars/vans",'vehicle E calcs'!$H$32),"")</f>
        <v>6.3768270755398833</v>
      </c>
      <c r="P151" s="106">
        <v>200</v>
      </c>
      <c r="Q151" s="108">
        <f t="shared" si="62"/>
        <v>1.2753654151079765</v>
      </c>
      <c r="R151" s="107">
        <f t="shared" si="63"/>
        <v>27.056941942368638</v>
      </c>
      <c r="S151" s="107" cm="1">
        <f t="array" ref="S151">_xlfn.IFS(E151="Heavy", 'vehicle E calcs'!$T$21,E151="Cars/vans",'vehicle E calcs'!$S$21)*O151</f>
        <v>23.354986057632608</v>
      </c>
      <c r="T151" s="109">
        <v>0.27</v>
      </c>
      <c r="U151" s="23">
        <f t="shared" si="64"/>
        <v>6.3058462355608045</v>
      </c>
      <c r="V151" s="23">
        <f t="shared" si="65"/>
        <v>4.2907709658039819</v>
      </c>
      <c r="W151" s="106">
        <f t="shared" si="77"/>
        <v>168</v>
      </c>
      <c r="X151" s="23">
        <f t="shared" si="66"/>
        <v>3.9236376576822782</v>
      </c>
      <c r="Y151" s="96">
        <f t="shared" si="78"/>
        <v>0</v>
      </c>
      <c r="Z151" s="23">
        <f t="shared" si="68"/>
        <v>0</v>
      </c>
      <c r="AA151" s="107">
        <f t="shared" si="69"/>
        <v>23.133304284686361</v>
      </c>
      <c r="AB151" s="23">
        <f t="shared" si="70"/>
        <v>3.6685487435817601</v>
      </c>
      <c r="AD151" s="107">
        <f t="shared" si="71"/>
        <v>4.0885196949252602</v>
      </c>
      <c r="AE151" s="23">
        <f t="shared" si="72"/>
        <v>0</v>
      </c>
      <c r="AF151" s="108">
        <f t="shared" si="73"/>
        <v>0.20225127087872183</v>
      </c>
      <c r="AH151" s="104">
        <f t="shared" si="75"/>
        <v>2.2012578616352201E-3</v>
      </c>
      <c r="AJ151" s="104">
        <f t="shared" si="76"/>
        <v>8.6540880503144652E-2</v>
      </c>
      <c r="AK151" s="23">
        <f t="shared" si="74"/>
        <v>3.6685487435817601</v>
      </c>
    </row>
    <row r="152" spans="1:37" x14ac:dyDescent="0.35">
      <c r="A152" s="23">
        <v>4</v>
      </c>
      <c r="B152" s="118" t="s">
        <v>144</v>
      </c>
      <c r="C152" s="23" t="s">
        <v>139</v>
      </c>
      <c r="D152" s="23" t="s">
        <v>171</v>
      </c>
      <c r="E152" s="23" t="s">
        <v>188</v>
      </c>
      <c r="F152" s="23" t="s">
        <v>83</v>
      </c>
      <c r="G152" s="145">
        <f>'time-factors'!B$38*'time-factors'!B54</f>
        <v>9.4339622641509435E-4</v>
      </c>
      <c r="H152" s="166">
        <f>'time-factors'!I54</f>
        <v>288</v>
      </c>
      <c r="I152" s="96" t="s">
        <v>98</v>
      </c>
      <c r="J152" s="96">
        <f>'time-factors'!O$43</f>
        <v>10</v>
      </c>
      <c r="K152" s="170">
        <f>'time-factors'!I$43</f>
        <v>0.05</v>
      </c>
      <c r="L152" s="173">
        <f t="shared" si="60"/>
        <v>37.29731759005152</v>
      </c>
      <c r="M152" s="170">
        <v>0</v>
      </c>
      <c r="N152" s="96">
        <f t="shared" si="61"/>
        <v>0</v>
      </c>
      <c r="O152" s="167" cm="1">
        <f t="array" ref="O152">IFERROR(_xlfn.IFS(E152="Heavy", 'vehicle E calcs'!$H$33,E152="Cars/vans",'vehicle E calcs'!$H$32),"")</f>
        <v>7.1233383316924828</v>
      </c>
      <c r="P152" s="106">
        <v>200</v>
      </c>
      <c r="Q152" s="108">
        <f t="shared" si="62"/>
        <v>1.4246676663384965</v>
      </c>
      <c r="R152" s="107">
        <f t="shared" si="63"/>
        <v>38.721985256390013</v>
      </c>
      <c r="S152" s="107" cm="1">
        <f t="array" ref="S152">_xlfn.IFS(E152="Heavy", 'vehicle E calcs'!$T$21,E152="Cars/vans",'vehicle E calcs'!$S$21)*O152</f>
        <v>24.362584419881831</v>
      </c>
      <c r="T152" s="109">
        <v>0.27</v>
      </c>
      <c r="U152" s="23">
        <f t="shared" si="64"/>
        <v>6.5778977933680949</v>
      </c>
      <c r="V152" s="23">
        <f t="shared" si="65"/>
        <v>5.886680893009606</v>
      </c>
      <c r="W152" s="106">
        <f t="shared" si="77"/>
        <v>168</v>
      </c>
      <c r="X152" s="23">
        <f t="shared" si="66"/>
        <v>4.0929141825401478</v>
      </c>
      <c r="Y152" s="96">
        <f t="shared" si="78"/>
        <v>0</v>
      </c>
      <c r="Z152" s="23">
        <f t="shared" si="68"/>
        <v>0</v>
      </c>
      <c r="AA152" s="107">
        <f t="shared" si="69"/>
        <v>34.629071073849865</v>
      </c>
      <c r="AB152" s="23">
        <f t="shared" si="70"/>
        <v>5.2644586707873833</v>
      </c>
      <c r="AD152" s="107">
        <f t="shared" si="71"/>
        <v>5.6700968549032584</v>
      </c>
      <c r="AE152" s="23">
        <f t="shared" si="72"/>
        <v>0</v>
      </c>
      <c r="AF152" s="108">
        <f t="shared" si="73"/>
        <v>0.2165840381063478</v>
      </c>
      <c r="AH152" s="104">
        <f t="shared" si="75"/>
        <v>9.4339622641509435E-4</v>
      </c>
      <c r="AJ152" s="104">
        <f t="shared" si="76"/>
        <v>8.7484276729559746E-2</v>
      </c>
      <c r="AK152" s="23">
        <f t="shared" si="74"/>
        <v>5.2644586707873833</v>
      </c>
    </row>
    <row r="153" spans="1:37" ht="29" x14ac:dyDescent="0.35">
      <c r="A153" s="23">
        <v>7</v>
      </c>
      <c r="B153" s="118" t="s">
        <v>147</v>
      </c>
      <c r="C153" s="23" t="s">
        <v>139</v>
      </c>
      <c r="D153" s="23" t="s">
        <v>171</v>
      </c>
      <c r="E153" s="23" t="s">
        <v>188</v>
      </c>
      <c r="F153" s="23" t="s">
        <v>83</v>
      </c>
      <c r="G153" s="145">
        <f>'time-factors'!B$38*'time-factors'!B57</f>
        <v>1.5723270440251571E-3</v>
      </c>
      <c r="H153" s="166">
        <f>'time-factors'!I57</f>
        <v>288</v>
      </c>
      <c r="I153" s="96" t="s">
        <v>98</v>
      </c>
      <c r="J153" s="96">
        <f>'time-factors'!O$43</f>
        <v>10</v>
      </c>
      <c r="K153" s="170">
        <f>'time-factors'!I$43</f>
        <v>0.05</v>
      </c>
      <c r="L153" s="173">
        <f t="shared" si="60"/>
        <v>37.29731759005152</v>
      </c>
      <c r="M153" s="170">
        <v>0</v>
      </c>
      <c r="N153" s="96">
        <f t="shared" si="61"/>
        <v>0</v>
      </c>
      <c r="O153" s="167" cm="1">
        <f t="array" ref="O153">IFERROR(_xlfn.IFS(E153="Heavy", 'vehicle E calcs'!$H$33,E153="Cars/vans",'vehicle E calcs'!$H$32),"")</f>
        <v>7.1233383316924828</v>
      </c>
      <c r="P153" s="106">
        <v>200</v>
      </c>
      <c r="Q153" s="108">
        <f t="shared" si="62"/>
        <v>1.4246676663384965</v>
      </c>
      <c r="R153" s="107">
        <f t="shared" si="63"/>
        <v>38.721985256390013</v>
      </c>
      <c r="S153" s="107" cm="1">
        <f t="array" ref="S153">_xlfn.IFS(E153="Heavy", 'vehicle E calcs'!$T$21,E153="Cars/vans",'vehicle E calcs'!$S$21)*O153</f>
        <v>24.362584419881831</v>
      </c>
      <c r="T153" s="109">
        <v>0.27</v>
      </c>
      <c r="U153" s="23">
        <f t="shared" si="64"/>
        <v>6.5778977933680949</v>
      </c>
      <c r="V153" s="23">
        <f t="shared" si="65"/>
        <v>5.886680893009606</v>
      </c>
      <c r="W153" s="106">
        <f t="shared" si="77"/>
        <v>168</v>
      </c>
      <c r="X153" s="23">
        <f t="shared" si="66"/>
        <v>4.0929141825401478</v>
      </c>
      <c r="Y153" s="96">
        <f t="shared" si="78"/>
        <v>0</v>
      </c>
      <c r="Z153" s="23">
        <f t="shared" si="68"/>
        <v>0</v>
      </c>
      <c r="AA153" s="107">
        <f t="shared" si="69"/>
        <v>34.629071073849865</v>
      </c>
      <c r="AB153" s="23">
        <f t="shared" si="70"/>
        <v>5.2644586707873833</v>
      </c>
      <c r="AD153" s="107">
        <f t="shared" si="71"/>
        <v>5.6700968549032584</v>
      </c>
      <c r="AE153" s="23">
        <f t="shared" si="72"/>
        <v>0</v>
      </c>
      <c r="AF153" s="108">
        <f t="shared" si="73"/>
        <v>0.2165840381063478</v>
      </c>
      <c r="AH153" s="104">
        <f t="shared" si="75"/>
        <v>1.5723270440251571E-3</v>
      </c>
      <c r="AJ153" s="104">
        <f t="shared" si="76"/>
        <v>8.9056603773584903E-2</v>
      </c>
      <c r="AK153" s="23">
        <f t="shared" si="74"/>
        <v>5.2644586707873833</v>
      </c>
    </row>
    <row r="154" spans="1:37" x14ac:dyDescent="0.35">
      <c r="A154" s="23">
        <v>9</v>
      </c>
      <c r="B154" s="118" t="s">
        <v>149</v>
      </c>
      <c r="C154" s="23" t="s">
        <v>139</v>
      </c>
      <c r="D154" s="23" t="s">
        <v>171</v>
      </c>
      <c r="E154" s="23" t="s">
        <v>188</v>
      </c>
      <c r="F154" s="23" t="s">
        <v>83</v>
      </c>
      <c r="G154" s="145">
        <f>'time-factors'!B$38*'time-factors'!B59</f>
        <v>6.2893081761006286E-4</v>
      </c>
      <c r="H154" s="166">
        <f>'time-factors'!I59</f>
        <v>288</v>
      </c>
      <c r="I154" s="96" t="s">
        <v>98</v>
      </c>
      <c r="J154" s="96">
        <f>'time-factors'!O$43</f>
        <v>10</v>
      </c>
      <c r="K154" s="170">
        <f>'time-factors'!I$43</f>
        <v>0.05</v>
      </c>
      <c r="L154" s="173">
        <f t="shared" si="60"/>
        <v>37.29731759005152</v>
      </c>
      <c r="M154" s="170">
        <v>0</v>
      </c>
      <c r="N154" s="96">
        <f t="shared" si="61"/>
        <v>0</v>
      </c>
      <c r="O154" s="167" cm="1">
        <f t="array" ref="O154">IFERROR(_xlfn.IFS(E154="Heavy", 'vehicle E calcs'!$H$33,E154="Cars/vans",'vehicle E calcs'!$H$32),"")</f>
        <v>7.1233383316924828</v>
      </c>
      <c r="P154" s="106">
        <v>200</v>
      </c>
      <c r="Q154" s="108">
        <f t="shared" si="62"/>
        <v>1.4246676663384965</v>
      </c>
      <c r="R154" s="107">
        <f t="shared" si="63"/>
        <v>38.721985256390013</v>
      </c>
      <c r="S154" s="107" cm="1">
        <f t="array" ref="S154">_xlfn.IFS(E154="Heavy", 'vehicle E calcs'!$T$21,E154="Cars/vans",'vehicle E calcs'!$S$21)*O154</f>
        <v>24.362584419881831</v>
      </c>
      <c r="T154" s="109">
        <v>0.27</v>
      </c>
      <c r="U154" s="23">
        <f t="shared" si="64"/>
        <v>6.5778977933680949</v>
      </c>
      <c r="V154" s="23">
        <f t="shared" si="65"/>
        <v>5.886680893009606</v>
      </c>
      <c r="W154" s="106">
        <f t="shared" si="77"/>
        <v>168</v>
      </c>
      <c r="X154" s="23">
        <f t="shared" si="66"/>
        <v>4.0929141825401478</v>
      </c>
      <c r="Y154" s="96">
        <f t="shared" si="78"/>
        <v>0</v>
      </c>
      <c r="Z154" s="23">
        <f t="shared" si="68"/>
        <v>0</v>
      </c>
      <c r="AA154" s="107">
        <f t="shared" si="69"/>
        <v>34.629071073849865</v>
      </c>
      <c r="AB154" s="23">
        <f t="shared" si="70"/>
        <v>5.2644586707873833</v>
      </c>
      <c r="AD154" s="107">
        <f t="shared" si="71"/>
        <v>5.6700968549032584</v>
      </c>
      <c r="AE154" s="23">
        <f t="shared" si="72"/>
        <v>0</v>
      </c>
      <c r="AF154" s="108">
        <f t="shared" si="73"/>
        <v>0.2165840381063478</v>
      </c>
      <c r="AH154" s="104">
        <f t="shared" si="75"/>
        <v>6.2893081761006286E-4</v>
      </c>
      <c r="AJ154" s="104">
        <f t="shared" si="76"/>
        <v>8.9685534591194965E-2</v>
      </c>
      <c r="AK154" s="23">
        <f t="shared" si="74"/>
        <v>5.2644586707873833</v>
      </c>
    </row>
    <row r="155" spans="1:37" x14ac:dyDescent="0.35">
      <c r="A155" s="23">
        <v>15</v>
      </c>
      <c r="B155" s="118" t="s">
        <v>153</v>
      </c>
      <c r="C155" s="23" t="s">
        <v>139</v>
      </c>
      <c r="D155" s="23" t="s">
        <v>171</v>
      </c>
      <c r="E155" s="23" t="s">
        <v>188</v>
      </c>
      <c r="F155" s="23" t="s">
        <v>83</v>
      </c>
      <c r="G155" s="145">
        <f>'time-factors'!B$38*'time-factors'!B65</f>
        <v>1.0062893081761006E-3</v>
      </c>
      <c r="H155" s="166">
        <f>'time-factors'!I65</f>
        <v>288</v>
      </c>
      <c r="I155" s="96" t="s">
        <v>98</v>
      </c>
      <c r="J155" s="96">
        <f>'time-factors'!O$43</f>
        <v>10</v>
      </c>
      <c r="K155" s="170">
        <f>'time-factors'!I$43</f>
        <v>0.05</v>
      </c>
      <c r="L155" s="173">
        <f t="shared" si="60"/>
        <v>37.29731759005152</v>
      </c>
      <c r="M155" s="170">
        <v>0</v>
      </c>
      <c r="N155" s="96">
        <f t="shared" si="61"/>
        <v>0</v>
      </c>
      <c r="O155" s="167" cm="1">
        <f t="array" ref="O155">IFERROR(_xlfn.IFS(E155="Heavy", 'vehicle E calcs'!$H$33,E155="Cars/vans",'vehicle E calcs'!$H$32),"")</f>
        <v>7.1233383316924828</v>
      </c>
      <c r="P155" s="106">
        <v>200</v>
      </c>
      <c r="Q155" s="108">
        <f t="shared" si="62"/>
        <v>1.4246676663384965</v>
      </c>
      <c r="R155" s="107">
        <f t="shared" si="63"/>
        <v>38.721985256390013</v>
      </c>
      <c r="S155" s="107" cm="1">
        <f t="array" ref="S155">_xlfn.IFS(E155="Heavy", 'vehicle E calcs'!$T$21,E155="Cars/vans",'vehicle E calcs'!$S$21)*O155</f>
        <v>24.362584419881831</v>
      </c>
      <c r="T155" s="109">
        <v>0.27</v>
      </c>
      <c r="U155" s="23">
        <f t="shared" si="64"/>
        <v>6.5778977933680949</v>
      </c>
      <c r="V155" s="23">
        <f t="shared" si="65"/>
        <v>5.886680893009606</v>
      </c>
      <c r="W155" s="106">
        <f t="shared" si="77"/>
        <v>168</v>
      </c>
      <c r="X155" s="23">
        <f t="shared" si="66"/>
        <v>4.0929141825401478</v>
      </c>
      <c r="Y155" s="96">
        <f t="shared" si="78"/>
        <v>0</v>
      </c>
      <c r="Z155" s="23">
        <f t="shared" si="68"/>
        <v>0</v>
      </c>
      <c r="AA155" s="107">
        <f t="shared" si="69"/>
        <v>34.629071073849865</v>
      </c>
      <c r="AB155" s="23">
        <f t="shared" si="70"/>
        <v>5.2644586707873833</v>
      </c>
      <c r="AD155" s="107">
        <f t="shared" si="71"/>
        <v>5.6700968549032584</v>
      </c>
      <c r="AE155" s="23">
        <f t="shared" si="72"/>
        <v>0</v>
      </c>
      <c r="AF155" s="108">
        <f t="shared" si="73"/>
        <v>0.2165840381063478</v>
      </c>
      <c r="AH155" s="104">
        <f t="shared" si="75"/>
        <v>1.0062893081761006E-3</v>
      </c>
      <c r="AJ155" s="104">
        <f t="shared" si="76"/>
        <v>9.0691823899371068E-2</v>
      </c>
      <c r="AK155" s="23">
        <f t="shared" si="74"/>
        <v>5.2644586707873833</v>
      </c>
    </row>
    <row r="156" spans="1:37" x14ac:dyDescent="0.35">
      <c r="A156" s="23">
        <v>3</v>
      </c>
      <c r="B156" s="118" t="s">
        <v>143</v>
      </c>
      <c r="C156" s="23" t="s">
        <v>139</v>
      </c>
      <c r="D156" s="23" t="s">
        <v>171</v>
      </c>
      <c r="E156" s="23" t="s">
        <v>188</v>
      </c>
      <c r="F156" s="23" t="s">
        <v>83</v>
      </c>
      <c r="G156" s="145">
        <f>'time-factors'!B$38*'time-factors'!B53</f>
        <v>1.3836477987421384E-3</v>
      </c>
      <c r="H156" s="166">
        <f>'time-factors'!I53</f>
        <v>304.58</v>
      </c>
      <c r="I156" s="96" t="s">
        <v>98</v>
      </c>
      <c r="J156" s="96">
        <f>'time-factors'!O$43</f>
        <v>10</v>
      </c>
      <c r="K156" s="170">
        <f>'time-factors'!I$43</f>
        <v>0.05</v>
      </c>
      <c r="L156" s="173">
        <f t="shared" si="60"/>
        <v>39.444503442978792</v>
      </c>
      <c r="M156" s="170">
        <v>0</v>
      </c>
      <c r="N156" s="96">
        <f t="shared" si="61"/>
        <v>0</v>
      </c>
      <c r="O156" s="167" cm="1">
        <f t="array" ref="O156">IFERROR(_xlfn.IFS(E156="Heavy", 'vehicle E calcs'!$H$33,E156="Cars/vans",'vehicle E calcs'!$H$32),"")</f>
        <v>7.1233383316924828</v>
      </c>
      <c r="P156" s="106">
        <v>200</v>
      </c>
      <c r="Q156" s="108">
        <f t="shared" si="62"/>
        <v>1.4246676663384965</v>
      </c>
      <c r="R156" s="107">
        <f t="shared" si="63"/>
        <v>40.869171109317286</v>
      </c>
      <c r="S156" s="107" cm="1">
        <f t="array" ref="S156">_xlfn.IFS(E156="Heavy", 'vehicle E calcs'!$T$21,E156="Cars/vans",'vehicle E calcs'!$S$21)*O156</f>
        <v>24.362584419881831</v>
      </c>
      <c r="T156" s="109">
        <v>0.27</v>
      </c>
      <c r="U156" s="23">
        <f t="shared" si="64"/>
        <v>6.5778977933680949</v>
      </c>
      <c r="V156" s="23">
        <f t="shared" si="65"/>
        <v>6.2131052188925784</v>
      </c>
      <c r="W156" s="106">
        <f t="shared" si="77"/>
        <v>168</v>
      </c>
      <c r="X156" s="23">
        <f t="shared" si="66"/>
        <v>4.0929141825401478</v>
      </c>
      <c r="Y156" s="96">
        <f t="shared" si="78"/>
        <v>0</v>
      </c>
      <c r="Z156" s="23">
        <f t="shared" si="68"/>
        <v>0</v>
      </c>
      <c r="AA156" s="107">
        <f t="shared" si="69"/>
        <v>36.776256926777137</v>
      </c>
      <c r="AB156" s="23">
        <f t="shared" si="70"/>
        <v>5.5908829966703557</v>
      </c>
      <c r="AD156" s="107">
        <f t="shared" si="71"/>
        <v>5.9965211807862309</v>
      </c>
      <c r="AE156" s="23">
        <f t="shared" si="72"/>
        <v>0</v>
      </c>
      <c r="AF156" s="108">
        <f t="shared" si="73"/>
        <v>0.2165840381063478</v>
      </c>
      <c r="AH156" s="104">
        <f t="shared" si="75"/>
        <v>1.3836477987421384E-3</v>
      </c>
      <c r="AJ156" s="104">
        <f t="shared" si="76"/>
        <v>9.2075471698113212E-2</v>
      </c>
      <c r="AK156" s="23">
        <f t="shared" si="74"/>
        <v>5.5908829966703557</v>
      </c>
    </row>
    <row r="157" spans="1:37" x14ac:dyDescent="0.35">
      <c r="A157" s="23">
        <v>17</v>
      </c>
      <c r="B157" s="118" t="s">
        <v>143</v>
      </c>
      <c r="C157" s="23" t="s">
        <v>156</v>
      </c>
      <c r="D157" s="23" t="s">
        <v>171</v>
      </c>
      <c r="E157" s="23" t="s">
        <v>188</v>
      </c>
      <c r="F157" s="23" t="s">
        <v>83</v>
      </c>
      <c r="G157" s="145">
        <f>'time-factors'!B$38*'time-factors'!B67</f>
        <v>1.2578616352201257E-3</v>
      </c>
      <c r="H157" s="166">
        <f>'time-factors'!I67</f>
        <v>308</v>
      </c>
      <c r="I157" s="96" t="s">
        <v>98</v>
      </c>
      <c r="J157" s="96">
        <f>'time-factors'!O$44</f>
        <v>10</v>
      </c>
      <c r="K157" s="170">
        <f>'time-factors'!I$44</f>
        <v>0.05</v>
      </c>
      <c r="L157" s="173">
        <f t="shared" si="60"/>
        <v>39.887409089360659</v>
      </c>
      <c r="M157" s="170">
        <v>0</v>
      </c>
      <c r="N157" s="96">
        <f t="shared" si="61"/>
        <v>0</v>
      </c>
      <c r="O157" s="167" cm="1">
        <f t="array" ref="O157">IFERROR(_xlfn.IFS(E157="Heavy", 'vehicle E calcs'!$H$33,E157="Cars/vans",'vehicle E calcs'!$H$32),"")</f>
        <v>7.1233383316924828</v>
      </c>
      <c r="P157" s="106">
        <v>300</v>
      </c>
      <c r="Q157" s="108">
        <f t="shared" si="62"/>
        <v>2.1370014995077451</v>
      </c>
      <c r="R157" s="107">
        <f t="shared" si="63"/>
        <v>42.024410588868406</v>
      </c>
      <c r="S157" s="107" cm="1">
        <f t="array" ref="S157">_xlfn.IFS(E157="Heavy", 'vehicle E calcs'!$T$21,E157="Cars/vans",'vehicle E calcs'!$S$21)*O157</f>
        <v>24.362584419881831</v>
      </c>
      <c r="T157" s="109">
        <v>0.27</v>
      </c>
      <c r="U157" s="23">
        <f t="shared" si="64"/>
        <v>6.5778977933680949</v>
      </c>
      <c r="V157" s="23">
        <f t="shared" si="65"/>
        <v>6.3887296380977299</v>
      </c>
      <c r="W157" s="106">
        <f t="shared" si="77"/>
        <v>168</v>
      </c>
      <c r="X157" s="23">
        <f t="shared" si="66"/>
        <v>4.0929141825401478</v>
      </c>
      <c r="Y157" s="96">
        <f t="shared" si="78"/>
        <v>0</v>
      </c>
      <c r="Z157" s="23">
        <f t="shared" si="68"/>
        <v>0</v>
      </c>
      <c r="AA157" s="107">
        <f t="shared" si="69"/>
        <v>37.931496406328257</v>
      </c>
      <c r="AB157" s="23">
        <f t="shared" si="70"/>
        <v>5.7665074158755081</v>
      </c>
      <c r="AD157" s="107">
        <f t="shared" si="71"/>
        <v>6.0638535809382077</v>
      </c>
      <c r="AE157" s="23">
        <f t="shared" si="72"/>
        <v>0</v>
      </c>
      <c r="AF157" s="108">
        <f t="shared" si="73"/>
        <v>0.32487605715952173</v>
      </c>
      <c r="AH157" s="104">
        <f t="shared" si="75"/>
        <v>1.2578616352201257E-3</v>
      </c>
      <c r="AJ157" s="104">
        <f t="shared" si="76"/>
        <v>9.3333333333333338E-2</v>
      </c>
      <c r="AK157" s="23">
        <f t="shared" si="74"/>
        <v>5.7665074158755081</v>
      </c>
    </row>
    <row r="158" spans="1:37" x14ac:dyDescent="0.35">
      <c r="A158" s="23">
        <v>18</v>
      </c>
      <c r="B158" s="119" t="s">
        <v>148</v>
      </c>
      <c r="C158" s="23" t="s">
        <v>156</v>
      </c>
      <c r="D158" s="23" t="s">
        <v>171</v>
      </c>
      <c r="E158" s="23" t="s">
        <v>188</v>
      </c>
      <c r="F158" s="23" t="s">
        <v>83</v>
      </c>
      <c r="G158" s="145">
        <f>'time-factors'!B$38*'time-factors'!B68</f>
        <v>1.2578616352201257E-3</v>
      </c>
      <c r="H158" s="166">
        <f>'time-factors'!I68</f>
        <v>308</v>
      </c>
      <c r="I158" s="96" t="s">
        <v>98</v>
      </c>
      <c r="J158" s="96">
        <f>'time-factors'!O$44</f>
        <v>10</v>
      </c>
      <c r="K158" s="170">
        <f>'time-factors'!I$44</f>
        <v>0.05</v>
      </c>
      <c r="L158" s="173">
        <f t="shared" si="60"/>
        <v>39.887409089360659</v>
      </c>
      <c r="M158" s="170">
        <v>0</v>
      </c>
      <c r="N158" s="96">
        <f t="shared" si="61"/>
        <v>0</v>
      </c>
      <c r="O158" s="167" cm="1">
        <f t="array" ref="O158">IFERROR(_xlfn.IFS(E158="Heavy", 'vehicle E calcs'!$H$33,E158="Cars/vans",'vehicle E calcs'!$H$32),"")</f>
        <v>7.1233383316924828</v>
      </c>
      <c r="P158" s="106">
        <v>300</v>
      </c>
      <c r="Q158" s="108">
        <f t="shared" si="62"/>
        <v>2.1370014995077451</v>
      </c>
      <c r="R158" s="107">
        <f t="shared" si="63"/>
        <v>42.024410588868406</v>
      </c>
      <c r="S158" s="107" cm="1">
        <f t="array" ref="S158">_xlfn.IFS(E158="Heavy", 'vehicle E calcs'!$T$21,E158="Cars/vans",'vehicle E calcs'!$S$21)*O158</f>
        <v>24.362584419881831</v>
      </c>
      <c r="T158" s="109">
        <v>0.27</v>
      </c>
      <c r="U158" s="23">
        <f t="shared" si="64"/>
        <v>6.5778977933680949</v>
      </c>
      <c r="V158" s="23">
        <f t="shared" si="65"/>
        <v>6.3887296380977299</v>
      </c>
      <c r="W158" s="106">
        <f t="shared" si="77"/>
        <v>168</v>
      </c>
      <c r="X158" s="23">
        <f t="shared" si="66"/>
        <v>4.0929141825401478</v>
      </c>
      <c r="Y158" s="96">
        <f t="shared" si="78"/>
        <v>0</v>
      </c>
      <c r="Z158" s="23">
        <f t="shared" si="68"/>
        <v>0</v>
      </c>
      <c r="AA158" s="107">
        <f t="shared" si="69"/>
        <v>37.931496406328257</v>
      </c>
      <c r="AB158" s="23">
        <f t="shared" si="70"/>
        <v>5.7665074158755081</v>
      </c>
      <c r="AD158" s="107">
        <f t="shared" si="71"/>
        <v>6.0638535809382077</v>
      </c>
      <c r="AE158" s="23">
        <f t="shared" si="72"/>
        <v>0</v>
      </c>
      <c r="AF158" s="108">
        <f t="shared" si="73"/>
        <v>0.32487605715952173</v>
      </c>
      <c r="AH158" s="104">
        <f t="shared" si="75"/>
        <v>1.2578616352201257E-3</v>
      </c>
      <c r="AJ158" s="104">
        <f t="shared" si="76"/>
        <v>9.4591194968553463E-2</v>
      </c>
      <c r="AK158" s="23">
        <f t="shared" si="74"/>
        <v>5.7665074158755081</v>
      </c>
    </row>
    <row r="159" spans="1:37" x14ac:dyDescent="0.35">
      <c r="A159" s="23">
        <v>2</v>
      </c>
      <c r="B159" s="118" t="s">
        <v>142</v>
      </c>
      <c r="C159" s="23" t="s">
        <v>139</v>
      </c>
      <c r="D159" s="23" t="s">
        <v>171</v>
      </c>
      <c r="E159" s="23" t="s">
        <v>128</v>
      </c>
      <c r="F159" s="23" t="s">
        <v>83</v>
      </c>
      <c r="G159" s="145">
        <f>'time-factors'!B$38*'time-factors'!B52</f>
        <v>1.8867924528301887E-3</v>
      </c>
      <c r="H159" s="166">
        <f>'time-factors'!I52</f>
        <v>304.58</v>
      </c>
      <c r="I159" s="96" t="s">
        <v>98</v>
      </c>
      <c r="J159" s="96">
        <f>'time-factors'!O$43</f>
        <v>10</v>
      </c>
      <c r="K159" s="170">
        <f>'time-factors'!I$43</f>
        <v>0.05</v>
      </c>
      <c r="L159" s="173">
        <f t="shared" si="60"/>
        <v>39.444503442978792</v>
      </c>
      <c r="M159" s="170">
        <v>0</v>
      </c>
      <c r="N159" s="96">
        <f t="shared" si="61"/>
        <v>0</v>
      </c>
      <c r="O159" s="167" cm="1">
        <f t="array" ref="O159">IFERROR(_xlfn.IFS(E159="Heavy", 'vehicle E calcs'!$H$33,E159="Cars/vans",'vehicle E calcs'!$H$32),"")</f>
        <v>6.3768270755398833</v>
      </c>
      <c r="P159" s="106">
        <v>200</v>
      </c>
      <c r="Q159" s="108">
        <f t="shared" si="62"/>
        <v>1.2753654151079765</v>
      </c>
      <c r="R159" s="107">
        <f t="shared" si="63"/>
        <v>40.71986885808677</v>
      </c>
      <c r="S159" s="107" cm="1">
        <f t="array" ref="S159">_xlfn.IFS(E159="Heavy", 'vehicle E calcs'!$T$21,E159="Cars/vans",'vehicle E calcs'!$S$21)*O159</f>
        <v>23.354986057632608</v>
      </c>
      <c r="T159" s="109">
        <v>0.27</v>
      </c>
      <c r="U159" s="23">
        <f t="shared" si="64"/>
        <v>6.3058462355608045</v>
      </c>
      <c r="V159" s="23">
        <f t="shared" si="65"/>
        <v>6.4574788754685493</v>
      </c>
      <c r="W159" s="106">
        <f t="shared" si="77"/>
        <v>168</v>
      </c>
      <c r="X159" s="23">
        <f t="shared" si="66"/>
        <v>3.9236376576822782</v>
      </c>
      <c r="Y159" s="96">
        <f t="shared" si="78"/>
        <v>0</v>
      </c>
      <c r="Z159" s="23">
        <f t="shared" si="68"/>
        <v>0</v>
      </c>
      <c r="AA159" s="107">
        <f t="shared" si="69"/>
        <v>36.796231200404492</v>
      </c>
      <c r="AB159" s="23">
        <f t="shared" si="70"/>
        <v>5.8352566532463275</v>
      </c>
      <c r="AD159" s="107">
        <f t="shared" si="71"/>
        <v>6.2552276045898276</v>
      </c>
      <c r="AE159" s="23">
        <f t="shared" si="72"/>
        <v>0</v>
      </c>
      <c r="AF159" s="108">
        <f t="shared" si="73"/>
        <v>0.20225127087872183</v>
      </c>
      <c r="AH159" s="104">
        <f t="shared" si="75"/>
        <v>1.8867924528301887E-3</v>
      </c>
      <c r="AJ159" s="104">
        <f t="shared" si="76"/>
        <v>9.6477987421383651E-2</v>
      </c>
      <c r="AK159" s="23">
        <f t="shared" si="74"/>
        <v>5.8352566532463275</v>
      </c>
    </row>
    <row r="160" spans="1:37" x14ac:dyDescent="0.35">
      <c r="A160" s="23">
        <v>5</v>
      </c>
      <c r="B160" s="118" t="s">
        <v>145</v>
      </c>
      <c r="C160" s="23" t="s">
        <v>139</v>
      </c>
      <c r="D160" s="23" t="s">
        <v>171</v>
      </c>
      <c r="E160" s="23" t="s">
        <v>188</v>
      </c>
      <c r="F160" s="23" t="s">
        <v>83</v>
      </c>
      <c r="G160" s="145">
        <f>'time-factors'!B$38*'time-factors'!B55</f>
        <v>1.3207547169811322E-3</v>
      </c>
      <c r="H160" s="166">
        <f>'time-factors'!I55</f>
        <v>492</v>
      </c>
      <c r="I160" s="96" t="s">
        <v>98</v>
      </c>
      <c r="J160" s="96">
        <f>'time-factors'!O$43</f>
        <v>10</v>
      </c>
      <c r="K160" s="170">
        <f>'time-factors'!I$43</f>
        <v>0.05</v>
      </c>
      <c r="L160" s="173">
        <f t="shared" si="60"/>
        <v>63.716250883004676</v>
      </c>
      <c r="M160" s="170">
        <v>0</v>
      </c>
      <c r="N160" s="96">
        <f t="shared" si="61"/>
        <v>0</v>
      </c>
      <c r="O160" s="167" cm="1">
        <f t="array" ref="O160">IFERROR(_xlfn.IFS(E160="Heavy", 'vehicle E calcs'!$H$33,E160="Cars/vans",'vehicle E calcs'!$H$32),"")</f>
        <v>7.1233383316924828</v>
      </c>
      <c r="P160" s="106">
        <v>200</v>
      </c>
      <c r="Q160" s="108">
        <f t="shared" si="62"/>
        <v>1.4246676663384965</v>
      </c>
      <c r="R160" s="107">
        <f t="shared" si="63"/>
        <v>65.140918549343169</v>
      </c>
      <c r="S160" s="107" cm="1">
        <f t="array" ref="S160">_xlfn.IFS(E160="Heavy", 'vehicle E calcs'!$T$21,E160="Cars/vans",'vehicle E calcs'!$S$21)*O160</f>
        <v>24.362584419881831</v>
      </c>
      <c r="T160" s="109">
        <v>0.27</v>
      </c>
      <c r="U160" s="23">
        <f t="shared" si="64"/>
        <v>6.5778977933680949</v>
      </c>
      <c r="V160" s="23">
        <f t="shared" si="65"/>
        <v>9.9029994985660803</v>
      </c>
      <c r="W160" s="106">
        <f t="shared" si="77"/>
        <v>168</v>
      </c>
      <c r="X160" s="23">
        <f t="shared" si="66"/>
        <v>4.0929141825401478</v>
      </c>
      <c r="Y160" s="96">
        <f t="shared" si="78"/>
        <v>0</v>
      </c>
      <c r="Z160" s="23">
        <f t="shared" si="68"/>
        <v>0</v>
      </c>
      <c r="AA160" s="107">
        <f t="shared" si="69"/>
        <v>61.048004366803021</v>
      </c>
      <c r="AB160" s="23">
        <f t="shared" si="70"/>
        <v>9.2807772763438585</v>
      </c>
      <c r="AD160" s="107">
        <f t="shared" si="71"/>
        <v>9.6864154604597328</v>
      </c>
      <c r="AE160" s="23">
        <f t="shared" si="72"/>
        <v>0</v>
      </c>
      <c r="AF160" s="108">
        <f t="shared" si="73"/>
        <v>0.2165840381063478</v>
      </c>
      <c r="AH160" s="104">
        <f t="shared" si="75"/>
        <v>1.3207547169811322E-3</v>
      </c>
      <c r="AJ160" s="104">
        <f t="shared" si="76"/>
        <v>9.7798742138364786E-2</v>
      </c>
      <c r="AK160" s="23">
        <f t="shared" si="74"/>
        <v>9.2807772763438585</v>
      </c>
    </row>
    <row r="161" spans="1:37" x14ac:dyDescent="0.35">
      <c r="A161" s="23">
        <v>8</v>
      </c>
      <c r="B161" s="119" t="s">
        <v>148</v>
      </c>
      <c r="C161" s="23" t="s">
        <v>139</v>
      </c>
      <c r="D161" s="23" t="s">
        <v>171</v>
      </c>
      <c r="E161" s="23" t="s">
        <v>188</v>
      </c>
      <c r="F161" s="23" t="s">
        <v>83</v>
      </c>
      <c r="G161" s="145">
        <f>'time-factors'!B$38*'time-factors'!B58</f>
        <v>9.4339622641509435E-4</v>
      </c>
      <c r="H161" s="166">
        <f>'time-factors'!I58</f>
        <v>492</v>
      </c>
      <c r="I161" s="96" t="s">
        <v>98</v>
      </c>
      <c r="J161" s="96">
        <f>'time-factors'!O$43</f>
        <v>10</v>
      </c>
      <c r="K161" s="170">
        <f>'time-factors'!I$43</f>
        <v>0.05</v>
      </c>
      <c r="L161" s="173">
        <f t="shared" si="60"/>
        <v>63.716250883004676</v>
      </c>
      <c r="M161" s="170">
        <v>0</v>
      </c>
      <c r="N161" s="96">
        <f t="shared" si="61"/>
        <v>0</v>
      </c>
      <c r="O161" s="167" cm="1">
        <f t="array" ref="O161">IFERROR(_xlfn.IFS(E161="Heavy", 'vehicle E calcs'!$H$33,E161="Cars/vans",'vehicle E calcs'!$H$32),"")</f>
        <v>7.1233383316924828</v>
      </c>
      <c r="P161" s="106">
        <v>200</v>
      </c>
      <c r="Q161" s="108">
        <f t="shared" si="62"/>
        <v>1.4246676663384965</v>
      </c>
      <c r="R161" s="107">
        <f t="shared" si="63"/>
        <v>65.140918549343169</v>
      </c>
      <c r="S161" s="107" cm="1">
        <f t="array" ref="S161">_xlfn.IFS(E161="Heavy", 'vehicle E calcs'!$T$21,E161="Cars/vans",'vehicle E calcs'!$S$21)*O161</f>
        <v>24.362584419881831</v>
      </c>
      <c r="T161" s="109">
        <v>0.27</v>
      </c>
      <c r="U161" s="23">
        <f t="shared" si="64"/>
        <v>6.5778977933680949</v>
      </c>
      <c r="V161" s="23">
        <f t="shared" si="65"/>
        <v>9.9029994985660803</v>
      </c>
      <c r="W161" s="106">
        <f t="shared" si="77"/>
        <v>168</v>
      </c>
      <c r="X161" s="23">
        <f t="shared" si="66"/>
        <v>4.0929141825401478</v>
      </c>
      <c r="Y161" s="96">
        <f t="shared" si="78"/>
        <v>0</v>
      </c>
      <c r="Z161" s="23">
        <f t="shared" si="68"/>
        <v>0</v>
      </c>
      <c r="AA161" s="107">
        <f t="shared" si="69"/>
        <v>61.048004366803021</v>
      </c>
      <c r="AB161" s="23">
        <f t="shared" si="70"/>
        <v>9.2807772763438585</v>
      </c>
      <c r="AD161" s="107">
        <f t="shared" si="71"/>
        <v>9.6864154604597328</v>
      </c>
      <c r="AE161" s="23">
        <f t="shared" si="72"/>
        <v>0</v>
      </c>
      <c r="AF161" s="108">
        <f t="shared" si="73"/>
        <v>0.2165840381063478</v>
      </c>
      <c r="AH161" s="104">
        <f t="shared" si="75"/>
        <v>9.4339622641509435E-4</v>
      </c>
      <c r="AJ161" s="104">
        <f t="shared" si="76"/>
        <v>9.874213836477988E-2</v>
      </c>
      <c r="AK161" s="23">
        <f t="shared" si="74"/>
        <v>9.2807772763438585</v>
      </c>
    </row>
    <row r="162" spans="1:37" x14ac:dyDescent="0.35">
      <c r="A162" s="23">
        <v>10</v>
      </c>
      <c r="B162" s="118" t="s">
        <v>58</v>
      </c>
      <c r="C162" s="23" t="s">
        <v>139</v>
      </c>
      <c r="D162" s="23" t="s">
        <v>171</v>
      </c>
      <c r="E162" s="23" t="s">
        <v>188</v>
      </c>
      <c r="F162" s="23" t="s">
        <v>83</v>
      </c>
      <c r="G162" s="145">
        <f>'time-factors'!B$38*'time-factors'!B60</f>
        <v>1.2578616352201257E-3</v>
      </c>
      <c r="H162" s="166">
        <f>'time-factors'!I60</f>
        <v>776</v>
      </c>
      <c r="I162" s="96" t="s">
        <v>98</v>
      </c>
      <c r="J162" s="96">
        <f>'time-factors'!O$43</f>
        <v>10</v>
      </c>
      <c r="K162" s="170">
        <f>'time-factors'!I$43</f>
        <v>0.05</v>
      </c>
      <c r="L162" s="173">
        <f t="shared" si="60"/>
        <v>100.49555017319437</v>
      </c>
      <c r="M162" s="170">
        <v>0</v>
      </c>
      <c r="N162" s="96">
        <f t="shared" si="61"/>
        <v>0</v>
      </c>
      <c r="O162" s="167" cm="1">
        <f t="array" ref="O162">IFERROR(_xlfn.IFS(E162="Heavy", 'vehicle E calcs'!$H$33,E162="Cars/vans",'vehicle E calcs'!$H$32),"")</f>
        <v>7.1233383316924828</v>
      </c>
      <c r="P162" s="106">
        <v>200</v>
      </c>
      <c r="Q162" s="108">
        <f t="shared" si="62"/>
        <v>1.4246676663384965</v>
      </c>
      <c r="R162" s="107">
        <f t="shared" si="63"/>
        <v>101.92021783953287</v>
      </c>
      <c r="S162" s="107" cm="1">
        <f t="array" ref="S162">_xlfn.IFS(E162="Heavy", 'vehicle E calcs'!$T$21,E162="Cars/vans",'vehicle E calcs'!$S$21)*O162</f>
        <v>24.362584419881831</v>
      </c>
      <c r="T162" s="109">
        <v>0.27</v>
      </c>
      <c r="U162" s="23">
        <f t="shared" si="64"/>
        <v>6.5778977933680949</v>
      </c>
      <c r="V162" s="23">
        <f t="shared" si="65"/>
        <v>15.49434500826235</v>
      </c>
      <c r="W162" s="106">
        <f t="shared" si="77"/>
        <v>168</v>
      </c>
      <c r="X162" s="23">
        <f t="shared" si="66"/>
        <v>4.0929141825401478</v>
      </c>
      <c r="Y162" s="96">
        <f t="shared" si="78"/>
        <v>0</v>
      </c>
      <c r="Z162" s="23">
        <f t="shared" si="68"/>
        <v>0</v>
      </c>
      <c r="AA162" s="107">
        <f t="shared" si="69"/>
        <v>97.827303656992726</v>
      </c>
      <c r="AB162" s="23">
        <f t="shared" si="70"/>
        <v>14.872122786040128</v>
      </c>
      <c r="AD162" s="107">
        <f t="shared" si="71"/>
        <v>15.277760970156002</v>
      </c>
      <c r="AE162" s="23">
        <f t="shared" si="72"/>
        <v>0</v>
      </c>
      <c r="AF162" s="108">
        <f t="shared" si="73"/>
        <v>0.2165840381063478</v>
      </c>
      <c r="AH162" s="104">
        <f t="shared" si="75"/>
        <v>1.2578616352201257E-3</v>
      </c>
      <c r="AJ162" s="104">
        <f t="shared" si="76"/>
        <v>0.1</v>
      </c>
      <c r="AK162" s="23">
        <f t="shared" si="74"/>
        <v>14.872122786040128</v>
      </c>
    </row>
    <row r="163" spans="1:37" x14ac:dyDescent="0.35">
      <c r="A163" s="23">
        <v>14</v>
      </c>
      <c r="B163" s="118" t="s">
        <v>152</v>
      </c>
      <c r="C163" s="23" t="s">
        <v>139</v>
      </c>
      <c r="D163" s="23" t="s">
        <v>171</v>
      </c>
      <c r="E163" s="23" t="s">
        <v>188</v>
      </c>
      <c r="F163" s="23" t="s">
        <v>83</v>
      </c>
      <c r="G163" s="145">
        <f>'time-factors'!B$38*'time-factors'!B64</f>
        <v>8.1761006289308177E-4</v>
      </c>
      <c r="H163" s="166">
        <f>'time-factors'!I64</f>
        <v>776</v>
      </c>
      <c r="I163" s="96" t="s">
        <v>98</v>
      </c>
      <c r="J163" s="96">
        <f>'time-factors'!O$43</f>
        <v>10</v>
      </c>
      <c r="K163" s="170">
        <f>'time-factors'!I$43</f>
        <v>0.05</v>
      </c>
      <c r="L163" s="173">
        <f t="shared" si="60"/>
        <v>100.49555017319437</v>
      </c>
      <c r="M163" s="170">
        <v>0</v>
      </c>
      <c r="N163" s="96">
        <f t="shared" si="61"/>
        <v>0</v>
      </c>
      <c r="O163" s="167" cm="1">
        <f t="array" ref="O163">IFERROR(_xlfn.IFS(E163="Heavy", 'vehicle E calcs'!$H$33,E163="Cars/vans",'vehicle E calcs'!$H$32),"")</f>
        <v>7.1233383316924828</v>
      </c>
      <c r="P163" s="106">
        <v>200</v>
      </c>
      <c r="Q163" s="108">
        <f t="shared" si="62"/>
        <v>1.4246676663384965</v>
      </c>
      <c r="R163" s="107">
        <f t="shared" si="63"/>
        <v>101.92021783953287</v>
      </c>
      <c r="S163" s="107" cm="1">
        <f t="array" ref="S163">_xlfn.IFS(E163="Heavy", 'vehicle E calcs'!$T$21,E163="Cars/vans",'vehicle E calcs'!$S$21)*O163</f>
        <v>24.362584419881831</v>
      </c>
      <c r="T163" s="109">
        <v>0.27</v>
      </c>
      <c r="U163" s="23">
        <f t="shared" si="64"/>
        <v>6.5778977933680949</v>
      </c>
      <c r="V163" s="23">
        <f t="shared" si="65"/>
        <v>15.49434500826235</v>
      </c>
      <c r="W163" s="106">
        <f t="shared" si="77"/>
        <v>168</v>
      </c>
      <c r="X163" s="23">
        <f t="shared" si="66"/>
        <v>4.0929141825401478</v>
      </c>
      <c r="Y163" s="96">
        <f t="shared" si="78"/>
        <v>0</v>
      </c>
      <c r="Z163" s="23">
        <f t="shared" si="68"/>
        <v>0</v>
      </c>
      <c r="AA163" s="107">
        <f t="shared" si="69"/>
        <v>97.827303656992726</v>
      </c>
      <c r="AB163" s="23">
        <f t="shared" si="70"/>
        <v>14.872122786040128</v>
      </c>
      <c r="AD163" s="107">
        <f t="shared" si="71"/>
        <v>15.277760970156002</v>
      </c>
      <c r="AE163" s="23">
        <f t="shared" si="72"/>
        <v>0</v>
      </c>
      <c r="AF163" s="108">
        <f t="shared" si="73"/>
        <v>0.2165840381063478</v>
      </c>
      <c r="AH163" s="104">
        <f t="shared" si="75"/>
        <v>8.1761006289308177E-4</v>
      </c>
      <c r="AJ163" s="104">
        <f t="shared" si="76"/>
        <v>0.10081761006289308</v>
      </c>
      <c r="AK163" s="23">
        <f t="shared" si="74"/>
        <v>14.872122786040128</v>
      </c>
    </row>
    <row r="164" spans="1:37" x14ac:dyDescent="0.35">
      <c r="B164" s="122"/>
      <c r="C164" s="24"/>
      <c r="D164" s="24"/>
      <c r="E164" s="24"/>
      <c r="F164" s="131" t="s">
        <v>50</v>
      </c>
      <c r="G164" s="145">
        <f>SUM(G139:G163)</f>
        <v>0.10081761006289308</v>
      </c>
      <c r="H164" s="96"/>
      <c r="I164" s="96"/>
      <c r="J164" s="96"/>
      <c r="K164" s="96"/>
      <c r="L164" s="96"/>
      <c r="M164" s="96"/>
      <c r="N164" s="96"/>
      <c r="O164" s="96"/>
      <c r="P164" s="96"/>
    </row>
    <row r="165" spans="1:37" x14ac:dyDescent="0.35">
      <c r="B165" s="122"/>
      <c r="C165" s="24"/>
      <c r="D165" s="24"/>
      <c r="E165" s="24"/>
      <c r="F165" s="24"/>
      <c r="H165" s="96"/>
      <c r="I165" s="96"/>
      <c r="J165" s="96"/>
      <c r="K165" s="96"/>
      <c r="L165" s="96"/>
      <c r="M165" s="96"/>
      <c r="N165" s="96"/>
      <c r="O165" s="96"/>
      <c r="P165" s="96"/>
    </row>
    <row r="166" spans="1:37" x14ac:dyDescent="0.35">
      <c r="B166" s="123"/>
      <c r="C166" s="125"/>
      <c r="F166" s="24"/>
      <c r="H166" s="96"/>
      <c r="I166" s="96"/>
      <c r="J166" s="96"/>
      <c r="K166" s="96"/>
      <c r="L166" s="96"/>
      <c r="M166" s="96"/>
      <c r="N166" s="96"/>
      <c r="O166" s="96"/>
      <c r="P166" s="96"/>
    </row>
    <row r="167" spans="1:37" x14ac:dyDescent="0.35">
      <c r="B167" s="123"/>
      <c r="C167" s="125"/>
      <c r="H167" s="96"/>
      <c r="I167" s="96"/>
      <c r="J167" s="96"/>
      <c r="K167" s="96"/>
      <c r="L167" s="96"/>
      <c r="M167" s="96"/>
      <c r="N167" s="96"/>
      <c r="O167" s="96"/>
      <c r="P167" s="96"/>
    </row>
    <row r="168" spans="1:37" x14ac:dyDescent="0.35">
      <c r="B168" s="96"/>
      <c r="C168" s="96"/>
      <c r="H168" s="96"/>
      <c r="I168" s="96"/>
      <c r="J168" s="96"/>
      <c r="K168" s="96"/>
      <c r="L168" s="96"/>
      <c r="M168" s="96"/>
      <c r="N168" s="96"/>
      <c r="O168" s="96"/>
      <c r="P168" s="96"/>
    </row>
    <row r="169" spans="1:37" x14ac:dyDescent="0.35">
      <c r="B169" s="96"/>
      <c r="C169" s="96"/>
      <c r="H169" s="96"/>
      <c r="I169" s="96"/>
      <c r="J169" s="96"/>
      <c r="K169" s="96"/>
      <c r="L169" s="96"/>
      <c r="M169" s="96"/>
      <c r="N169" s="96"/>
      <c r="O169" s="96"/>
      <c r="P169" s="96"/>
    </row>
    <row r="170" spans="1:37" x14ac:dyDescent="0.35">
      <c r="H170" s="96"/>
      <c r="I170" s="96"/>
      <c r="J170" s="96"/>
      <c r="K170" s="96"/>
      <c r="L170" s="96"/>
      <c r="M170" s="96"/>
      <c r="N170" s="96"/>
      <c r="O170" s="96"/>
      <c r="P170" s="96"/>
    </row>
    <row r="171" spans="1:37" x14ac:dyDescent="0.35">
      <c r="H171" s="96"/>
      <c r="I171" s="96"/>
      <c r="J171" s="96"/>
      <c r="K171" s="96"/>
      <c r="L171" s="96"/>
      <c r="M171" s="96"/>
      <c r="N171" s="96"/>
      <c r="O171" s="96"/>
      <c r="P171" s="96"/>
    </row>
    <row r="172" spans="1:37" x14ac:dyDescent="0.35">
      <c r="H172" s="96"/>
      <c r="I172" s="96"/>
      <c r="J172" s="96"/>
      <c r="K172" s="96"/>
      <c r="L172" s="96"/>
      <c r="M172" s="96"/>
      <c r="N172" s="96"/>
      <c r="O172" s="96"/>
      <c r="P172" s="96"/>
    </row>
    <row r="173" spans="1:37" x14ac:dyDescent="0.35">
      <c r="H173" s="96"/>
      <c r="I173" s="96"/>
      <c r="J173" s="96"/>
      <c r="K173" s="96"/>
      <c r="L173" s="96"/>
      <c r="M173" s="96"/>
      <c r="N173" s="96"/>
      <c r="O173" s="96"/>
      <c r="P173" s="96"/>
    </row>
    <row r="174" spans="1:37" x14ac:dyDescent="0.35">
      <c r="H174" s="96"/>
      <c r="I174" s="96"/>
      <c r="J174" s="96"/>
      <c r="K174" s="96"/>
      <c r="L174" s="96"/>
      <c r="M174" s="96"/>
      <c r="N174" s="96"/>
      <c r="O174" s="96"/>
      <c r="P174" s="96"/>
    </row>
    <row r="175" spans="1:37" x14ac:dyDescent="0.35">
      <c r="H175" s="96"/>
      <c r="I175" s="96"/>
      <c r="J175" s="96"/>
      <c r="K175" s="96"/>
      <c r="L175" s="96"/>
      <c r="M175" s="96"/>
      <c r="N175" s="96"/>
      <c r="O175" s="96"/>
      <c r="P175" s="96"/>
    </row>
    <row r="176" spans="1:37" x14ac:dyDescent="0.35">
      <c r="H176" s="96"/>
      <c r="I176" s="96"/>
      <c r="J176" s="96"/>
      <c r="K176" s="96"/>
      <c r="L176" s="96"/>
      <c r="M176" s="96"/>
      <c r="N176" s="96"/>
      <c r="O176" s="96"/>
      <c r="P176" s="96"/>
    </row>
    <row r="177" spans="8:16" x14ac:dyDescent="0.35">
      <c r="H177" s="96"/>
      <c r="I177" s="96"/>
      <c r="J177" s="96"/>
      <c r="K177" s="96"/>
      <c r="L177" s="96"/>
      <c r="M177" s="96"/>
      <c r="N177" s="96"/>
      <c r="O177" s="96"/>
      <c r="P177" s="96"/>
    </row>
    <row r="178" spans="8:16" x14ac:dyDescent="0.35">
      <c r="H178" s="96"/>
      <c r="I178" s="96"/>
      <c r="J178" s="96"/>
      <c r="K178" s="96"/>
      <c r="L178" s="96"/>
      <c r="M178" s="96"/>
      <c r="N178" s="96"/>
      <c r="O178" s="96"/>
      <c r="P178" s="96"/>
    </row>
    <row r="179" spans="8:16" x14ac:dyDescent="0.35">
      <c r="H179" s="96"/>
      <c r="I179" s="96"/>
      <c r="J179" s="96"/>
      <c r="K179" s="96"/>
      <c r="L179" s="96"/>
      <c r="M179" s="96"/>
      <c r="N179" s="96"/>
      <c r="O179" s="96"/>
      <c r="P179" s="96"/>
    </row>
    <row r="180" spans="8:16" x14ac:dyDescent="0.35">
      <c r="H180" s="96"/>
      <c r="I180" s="96"/>
      <c r="J180" s="96"/>
      <c r="K180" s="96"/>
      <c r="L180" s="96"/>
      <c r="M180" s="96"/>
      <c r="N180" s="96"/>
      <c r="O180" s="96"/>
      <c r="P180" s="96"/>
    </row>
    <row r="181" spans="8:16" x14ac:dyDescent="0.35">
      <c r="H181" s="96"/>
      <c r="I181" s="96"/>
      <c r="J181" s="96"/>
      <c r="K181" s="96"/>
      <c r="L181" s="96"/>
      <c r="M181" s="96"/>
      <c r="N181" s="96"/>
      <c r="O181" s="96"/>
      <c r="P181" s="96"/>
    </row>
    <row r="182" spans="8:16" x14ac:dyDescent="0.35">
      <c r="H182" s="96"/>
      <c r="I182" s="96"/>
      <c r="J182" s="96"/>
      <c r="K182" s="96"/>
      <c r="L182" s="96"/>
      <c r="M182" s="96"/>
      <c r="N182" s="96"/>
      <c r="O182" s="96"/>
    </row>
    <row r="183" spans="8:16" x14ac:dyDescent="0.35">
      <c r="H183" s="96"/>
      <c r="I183" s="96"/>
      <c r="J183" s="96"/>
      <c r="K183" s="96"/>
      <c r="L183" s="96"/>
      <c r="M183" s="96"/>
      <c r="N183" s="96"/>
      <c r="O183" s="96"/>
    </row>
    <row r="184" spans="8:16" x14ac:dyDescent="0.35">
      <c r="H184" s="96"/>
      <c r="I184" s="96"/>
      <c r="J184" s="96"/>
      <c r="K184" s="96"/>
      <c r="L184" s="96"/>
      <c r="M184" s="96"/>
      <c r="N184" s="96"/>
      <c r="O184" s="96"/>
    </row>
    <row r="185" spans="8:16" x14ac:dyDescent="0.35">
      <c r="H185" s="96"/>
      <c r="I185" s="96"/>
      <c r="J185" s="96"/>
      <c r="K185" s="96"/>
      <c r="L185" s="96"/>
      <c r="M185" s="96"/>
      <c r="N185" s="96"/>
      <c r="O185" s="96"/>
    </row>
    <row r="186" spans="8:16" x14ac:dyDescent="0.35">
      <c r="H186" s="96"/>
      <c r="I186" s="96"/>
      <c r="J186" s="96"/>
      <c r="K186" s="96"/>
      <c r="L186" s="96"/>
      <c r="M186" s="96"/>
      <c r="N186" s="96"/>
      <c r="O186" s="96"/>
    </row>
    <row r="187" spans="8:16" x14ac:dyDescent="0.35">
      <c r="H187" s="96"/>
      <c r="I187" s="96"/>
      <c r="J187" s="96"/>
      <c r="K187" s="96"/>
      <c r="L187" s="96"/>
      <c r="M187" s="96"/>
      <c r="N187" s="96"/>
      <c r="O187" s="96"/>
    </row>
    <row r="188" spans="8:16" x14ac:dyDescent="0.35">
      <c r="H188" s="96"/>
      <c r="I188" s="96"/>
      <c r="J188" s="96"/>
      <c r="K188" s="96"/>
      <c r="L188" s="96"/>
      <c r="M188" s="96"/>
      <c r="N188" s="96"/>
      <c r="O188" s="96"/>
    </row>
    <row r="189" spans="8:16" x14ac:dyDescent="0.35">
      <c r="H189" s="96"/>
      <c r="I189" s="96"/>
      <c r="J189" s="96"/>
      <c r="K189" s="96"/>
      <c r="L189" s="96"/>
      <c r="M189" s="96"/>
      <c r="N189" s="96"/>
      <c r="O189" s="96"/>
    </row>
    <row r="190" spans="8:16" x14ac:dyDescent="0.35">
      <c r="H190" s="96"/>
      <c r="I190" s="96"/>
      <c r="J190" s="96"/>
      <c r="K190" s="96"/>
      <c r="L190" s="96"/>
      <c r="M190" s="96"/>
      <c r="N190" s="96"/>
      <c r="O190" s="96"/>
    </row>
    <row r="191" spans="8:16" x14ac:dyDescent="0.35">
      <c r="H191" s="96"/>
      <c r="I191" s="96"/>
      <c r="J191" s="96"/>
      <c r="K191" s="96"/>
      <c r="L191" s="96"/>
      <c r="M191" s="96"/>
      <c r="N191" s="96"/>
      <c r="O191" s="96"/>
    </row>
    <row r="192" spans="8:16" x14ac:dyDescent="0.35">
      <c r="H192" s="96"/>
      <c r="I192" s="96"/>
      <c r="J192" s="96"/>
      <c r="K192" s="96"/>
      <c r="L192" s="96"/>
      <c r="M192" s="96"/>
      <c r="N192" s="96"/>
      <c r="O192" s="96"/>
    </row>
    <row r="193" spans="8:15" x14ac:dyDescent="0.35">
      <c r="H193" s="96"/>
      <c r="I193" s="96"/>
      <c r="J193" s="96"/>
      <c r="K193" s="96"/>
      <c r="L193" s="96"/>
      <c r="M193" s="96"/>
      <c r="N193" s="96"/>
      <c r="O193" s="96"/>
    </row>
    <row r="194" spans="8:15" x14ac:dyDescent="0.35">
      <c r="H194" s="96"/>
      <c r="I194" s="96"/>
      <c r="J194" s="96"/>
      <c r="K194" s="96"/>
      <c r="L194" s="96"/>
      <c r="M194" s="96"/>
      <c r="N194" s="96"/>
      <c r="O194" s="96"/>
    </row>
    <row r="195" spans="8:15" x14ac:dyDescent="0.35">
      <c r="H195" s="96"/>
      <c r="I195" s="96"/>
      <c r="J195" s="96"/>
      <c r="K195" s="96"/>
      <c r="L195" s="96"/>
      <c r="M195" s="96"/>
      <c r="N195" s="96"/>
      <c r="O195" s="96"/>
    </row>
    <row r="196" spans="8:15" x14ac:dyDescent="0.35">
      <c r="H196" s="96"/>
      <c r="I196" s="96"/>
      <c r="J196" s="96"/>
      <c r="K196" s="96"/>
      <c r="L196" s="96"/>
      <c r="M196" s="96"/>
      <c r="N196" s="96"/>
      <c r="O196" s="96"/>
    </row>
    <row r="197" spans="8:15" x14ac:dyDescent="0.35">
      <c r="H197" s="96"/>
      <c r="I197" s="96"/>
      <c r="J197" s="96"/>
      <c r="K197" s="96"/>
      <c r="L197" s="96"/>
      <c r="M197" s="96"/>
      <c r="N197" s="96"/>
      <c r="O197" s="96"/>
    </row>
    <row r="198" spans="8:15" x14ac:dyDescent="0.35">
      <c r="H198" s="96"/>
      <c r="I198" s="96"/>
      <c r="J198" s="96"/>
      <c r="K198" s="96"/>
      <c r="L198" s="96"/>
      <c r="M198" s="96"/>
      <c r="N198" s="96"/>
      <c r="O198" s="96"/>
    </row>
    <row r="199" spans="8:15" x14ac:dyDescent="0.35">
      <c r="H199" s="96"/>
      <c r="I199" s="96"/>
      <c r="J199" s="96"/>
      <c r="K199" s="96"/>
      <c r="L199" s="96"/>
      <c r="M199" s="96"/>
      <c r="N199" s="96"/>
      <c r="O199" s="96"/>
    </row>
    <row r="200" spans="8:15" x14ac:dyDescent="0.35">
      <c r="H200" s="96"/>
      <c r="I200" s="96"/>
      <c r="J200" s="96"/>
      <c r="K200" s="96"/>
      <c r="L200" s="96"/>
      <c r="M200" s="96"/>
      <c r="N200" s="96"/>
      <c r="O200" s="96"/>
    </row>
    <row r="201" spans="8:15" x14ac:dyDescent="0.35">
      <c r="H201" s="96"/>
      <c r="I201" s="96"/>
      <c r="J201" s="96"/>
      <c r="K201" s="96"/>
      <c r="L201" s="96"/>
      <c r="M201" s="96"/>
      <c r="N201" s="96"/>
      <c r="O201" s="96"/>
    </row>
    <row r="202" spans="8:15" x14ac:dyDescent="0.35">
      <c r="H202" s="96"/>
      <c r="I202" s="96"/>
      <c r="J202" s="96"/>
      <c r="K202" s="96"/>
      <c r="L202" s="96"/>
      <c r="M202" s="96"/>
      <c r="N202" s="96"/>
      <c r="O202" s="96"/>
    </row>
    <row r="203" spans="8:15" x14ac:dyDescent="0.35">
      <c r="H203" s="96"/>
      <c r="I203" s="96"/>
      <c r="J203" s="96"/>
      <c r="K203" s="96"/>
      <c r="L203" s="96"/>
      <c r="M203" s="96"/>
      <c r="N203" s="96"/>
      <c r="O203" s="96"/>
    </row>
    <row r="204" spans="8:15" x14ac:dyDescent="0.35">
      <c r="H204" s="96"/>
      <c r="I204" s="96"/>
      <c r="J204" s="96"/>
      <c r="K204" s="96"/>
      <c r="L204" s="96"/>
      <c r="M204" s="96"/>
      <c r="N204" s="96"/>
      <c r="O204" s="96"/>
    </row>
    <row r="205" spans="8:15" x14ac:dyDescent="0.35">
      <c r="H205" s="96"/>
      <c r="I205" s="96"/>
      <c r="J205" s="96"/>
      <c r="K205" s="96"/>
      <c r="L205" s="96"/>
      <c r="M205" s="96"/>
      <c r="N205" s="96"/>
      <c r="O205" s="96"/>
    </row>
    <row r="206" spans="8:15" x14ac:dyDescent="0.35">
      <c r="H206" s="96"/>
      <c r="I206" s="96"/>
      <c r="J206" s="96"/>
      <c r="K206" s="96"/>
      <c r="L206" s="96"/>
      <c r="M206" s="96"/>
      <c r="N206" s="96"/>
      <c r="O206" s="96"/>
    </row>
    <row r="207" spans="8:15" x14ac:dyDescent="0.35">
      <c r="H207" s="96"/>
      <c r="I207" s="96"/>
      <c r="J207" s="96"/>
      <c r="K207" s="96"/>
      <c r="L207" s="96"/>
      <c r="M207" s="96"/>
      <c r="N207" s="96"/>
      <c r="O207" s="96"/>
    </row>
    <row r="208" spans="8:15" x14ac:dyDescent="0.35">
      <c r="H208" s="96"/>
      <c r="I208" s="96"/>
      <c r="J208" s="96"/>
      <c r="K208" s="96"/>
      <c r="L208" s="96"/>
      <c r="M208" s="96"/>
      <c r="N208" s="96"/>
      <c r="O208" s="96"/>
    </row>
    <row r="209" spans="8:15" x14ac:dyDescent="0.35">
      <c r="H209" s="96"/>
      <c r="I209" s="96"/>
      <c r="J209" s="96"/>
      <c r="K209" s="96"/>
      <c r="L209" s="96"/>
      <c r="M209" s="96"/>
      <c r="N209" s="96"/>
      <c r="O209" s="96"/>
    </row>
    <row r="210" spans="8:15" x14ac:dyDescent="0.35">
      <c r="H210" s="96"/>
      <c r="I210" s="96"/>
      <c r="J210" s="96"/>
      <c r="K210" s="96"/>
      <c r="L210" s="96"/>
      <c r="M210" s="96"/>
      <c r="N210" s="96"/>
      <c r="O210" s="96"/>
    </row>
    <row r="211" spans="8:15" x14ac:dyDescent="0.35">
      <c r="H211" s="96"/>
      <c r="I211" s="96"/>
      <c r="J211" s="96"/>
      <c r="K211" s="96"/>
      <c r="L211" s="96"/>
      <c r="M211" s="96"/>
      <c r="N211" s="96"/>
      <c r="O211" s="96"/>
    </row>
    <row r="212" spans="8:15" x14ac:dyDescent="0.35">
      <c r="H212" s="96"/>
      <c r="I212" s="96"/>
      <c r="J212" s="96"/>
      <c r="K212" s="96"/>
      <c r="L212" s="96"/>
      <c r="M212" s="96"/>
      <c r="N212" s="96"/>
      <c r="O212" s="96"/>
    </row>
    <row r="213" spans="8:15" x14ac:dyDescent="0.35">
      <c r="H213" s="96"/>
      <c r="I213" s="96"/>
      <c r="J213" s="96"/>
      <c r="K213" s="96"/>
      <c r="L213" s="96"/>
      <c r="M213" s="96"/>
      <c r="N213" s="96"/>
      <c r="O213" s="96"/>
    </row>
    <row r="214" spans="8:15" x14ac:dyDescent="0.35">
      <c r="H214" s="96"/>
      <c r="I214" s="96"/>
      <c r="J214" s="96"/>
      <c r="K214" s="96"/>
      <c r="L214" s="96"/>
      <c r="M214" s="96"/>
      <c r="N214" s="96"/>
      <c r="O214" s="96"/>
    </row>
    <row r="215" spans="8:15" x14ac:dyDescent="0.35">
      <c r="H215" s="96"/>
      <c r="I215" s="96"/>
      <c r="J215" s="96"/>
      <c r="K215" s="96"/>
      <c r="L215" s="96"/>
      <c r="M215" s="96"/>
      <c r="N215" s="96"/>
      <c r="O215" s="96"/>
    </row>
    <row r="216" spans="8:15" x14ac:dyDescent="0.35">
      <c r="H216" s="96"/>
      <c r="I216" s="96"/>
      <c r="J216" s="96"/>
      <c r="K216" s="96"/>
      <c r="L216" s="96"/>
      <c r="M216" s="96"/>
      <c r="N216" s="96"/>
      <c r="O216" s="96"/>
    </row>
    <row r="217" spans="8:15" x14ac:dyDescent="0.35">
      <c r="H217" s="96"/>
      <c r="I217" s="96"/>
      <c r="J217" s="96"/>
      <c r="K217" s="96"/>
      <c r="L217" s="96"/>
      <c r="M217" s="96"/>
      <c r="N217" s="96"/>
      <c r="O217" s="96"/>
    </row>
    <row r="218" spans="8:15" x14ac:dyDescent="0.35">
      <c r="H218" s="96"/>
      <c r="I218" s="96"/>
      <c r="J218" s="96"/>
      <c r="K218" s="96"/>
      <c r="L218" s="96"/>
      <c r="M218" s="96"/>
      <c r="N218" s="96"/>
      <c r="O218" s="96"/>
    </row>
    <row r="219" spans="8:15" x14ac:dyDescent="0.35">
      <c r="H219" s="96"/>
      <c r="I219" s="96"/>
      <c r="J219" s="96"/>
      <c r="K219" s="96"/>
      <c r="L219" s="96"/>
      <c r="M219" s="96"/>
      <c r="N219" s="96"/>
      <c r="O219" s="96"/>
    </row>
    <row r="220" spans="8:15" x14ac:dyDescent="0.35">
      <c r="H220" s="96"/>
      <c r="I220" s="96"/>
      <c r="J220" s="96"/>
      <c r="K220" s="96"/>
      <c r="L220" s="96"/>
      <c r="M220" s="96"/>
      <c r="N220" s="96"/>
      <c r="O220" s="96"/>
    </row>
    <row r="221" spans="8:15" x14ac:dyDescent="0.35">
      <c r="H221" s="96"/>
      <c r="I221" s="96"/>
      <c r="J221" s="96"/>
      <c r="K221" s="96"/>
      <c r="L221" s="96"/>
      <c r="M221" s="96"/>
      <c r="N221" s="96"/>
      <c r="O221" s="96"/>
    </row>
    <row r="222" spans="8:15" x14ac:dyDescent="0.35">
      <c r="H222" s="96"/>
      <c r="I222" s="96"/>
      <c r="J222" s="96"/>
      <c r="K222" s="96"/>
      <c r="L222" s="96"/>
      <c r="M222" s="96"/>
      <c r="N222" s="96"/>
      <c r="O222" s="96"/>
    </row>
    <row r="223" spans="8:15" x14ac:dyDescent="0.35">
      <c r="H223" s="96"/>
      <c r="I223" s="96"/>
      <c r="J223" s="96"/>
      <c r="K223" s="96"/>
      <c r="L223" s="96"/>
      <c r="M223" s="96"/>
      <c r="N223" s="96"/>
      <c r="O223" s="96"/>
    </row>
    <row r="224" spans="8:15" x14ac:dyDescent="0.35">
      <c r="H224" s="96"/>
      <c r="I224" s="96"/>
      <c r="J224" s="96"/>
      <c r="K224" s="96"/>
      <c r="L224" s="96"/>
      <c r="M224" s="96"/>
      <c r="N224" s="96"/>
      <c r="O224" s="96"/>
    </row>
    <row r="225" spans="8:15" x14ac:dyDescent="0.35">
      <c r="H225" s="96"/>
      <c r="I225" s="96"/>
      <c r="J225" s="96"/>
      <c r="K225" s="96"/>
      <c r="L225" s="96"/>
      <c r="M225" s="96"/>
      <c r="N225" s="96"/>
      <c r="O225" s="96"/>
    </row>
    <row r="226" spans="8:15" x14ac:dyDescent="0.35">
      <c r="H226" s="96"/>
      <c r="I226" s="96"/>
      <c r="J226" s="96"/>
      <c r="K226" s="96"/>
      <c r="L226" s="96"/>
      <c r="M226" s="96"/>
      <c r="N226" s="96"/>
      <c r="O226" s="96"/>
    </row>
    <row r="227" spans="8:15" x14ac:dyDescent="0.35">
      <c r="H227" s="96"/>
      <c r="I227" s="96"/>
      <c r="J227" s="96"/>
      <c r="K227" s="96"/>
      <c r="L227" s="96"/>
      <c r="M227" s="96"/>
      <c r="N227" s="96"/>
      <c r="O227" s="96"/>
    </row>
    <row r="228" spans="8:15" x14ac:dyDescent="0.35">
      <c r="H228" s="96"/>
      <c r="I228" s="96"/>
      <c r="J228" s="96"/>
      <c r="K228" s="96"/>
      <c r="L228" s="96"/>
      <c r="M228" s="96"/>
      <c r="N228" s="96"/>
      <c r="O228" s="96"/>
    </row>
    <row r="229" spans="8:15" x14ac:dyDescent="0.35">
      <c r="H229" s="96"/>
      <c r="I229" s="96"/>
      <c r="J229" s="96"/>
      <c r="K229" s="96"/>
      <c r="L229" s="96"/>
      <c r="M229" s="96"/>
      <c r="N229" s="96"/>
      <c r="O229" s="96"/>
    </row>
    <row r="230" spans="8:15" x14ac:dyDescent="0.35">
      <c r="H230" s="96"/>
      <c r="I230" s="96"/>
      <c r="J230" s="96"/>
      <c r="K230" s="96"/>
      <c r="L230" s="96"/>
      <c r="M230" s="96"/>
      <c r="N230" s="96"/>
      <c r="O230" s="96"/>
    </row>
    <row r="231" spans="8:15" x14ac:dyDescent="0.35">
      <c r="H231" s="96"/>
      <c r="I231" s="96"/>
      <c r="J231" s="96"/>
      <c r="K231" s="96"/>
      <c r="L231" s="96"/>
      <c r="M231" s="96"/>
      <c r="N231" s="96"/>
      <c r="O231" s="96"/>
    </row>
    <row r="232" spans="8:15" x14ac:dyDescent="0.35">
      <c r="H232" s="96"/>
      <c r="I232" s="96"/>
      <c r="J232" s="96"/>
      <c r="K232" s="96"/>
      <c r="L232" s="96"/>
      <c r="M232" s="96"/>
      <c r="N232" s="96"/>
      <c r="O232" s="96"/>
    </row>
    <row r="233" spans="8:15" x14ac:dyDescent="0.35">
      <c r="H233" s="96"/>
      <c r="I233" s="96"/>
      <c r="J233" s="96"/>
      <c r="K233" s="96"/>
      <c r="L233" s="96"/>
      <c r="M233" s="96"/>
      <c r="N233" s="96"/>
      <c r="O233" s="96"/>
    </row>
    <row r="234" spans="8:15" x14ac:dyDescent="0.35">
      <c r="H234" s="96"/>
      <c r="I234" s="96"/>
      <c r="J234" s="96"/>
      <c r="K234" s="96"/>
      <c r="L234" s="96"/>
      <c r="M234" s="96"/>
      <c r="N234" s="96"/>
      <c r="O234" s="96"/>
    </row>
    <row r="235" spans="8:15" x14ac:dyDescent="0.35">
      <c r="H235" s="96"/>
      <c r="I235" s="96"/>
      <c r="J235" s="96"/>
      <c r="K235" s="96"/>
      <c r="L235" s="96"/>
      <c r="M235" s="96"/>
      <c r="N235" s="96"/>
      <c r="O235" s="96"/>
    </row>
    <row r="236" spans="8:15" x14ac:dyDescent="0.35">
      <c r="H236" s="96"/>
      <c r="I236" s="96"/>
      <c r="J236" s="96"/>
      <c r="K236" s="96"/>
      <c r="L236" s="96"/>
      <c r="M236" s="96"/>
      <c r="N236" s="96"/>
      <c r="O236" s="96"/>
    </row>
    <row r="237" spans="8:15" x14ac:dyDescent="0.35">
      <c r="H237" s="96"/>
      <c r="I237" s="96"/>
      <c r="J237" s="96"/>
      <c r="K237" s="96"/>
      <c r="L237" s="96"/>
      <c r="M237" s="96"/>
      <c r="N237" s="96"/>
      <c r="O237" s="96"/>
    </row>
    <row r="238" spans="8:15" x14ac:dyDescent="0.35">
      <c r="H238" s="96"/>
      <c r="I238" s="96"/>
      <c r="J238" s="96"/>
      <c r="K238" s="96"/>
      <c r="L238" s="96"/>
      <c r="M238" s="96"/>
      <c r="N238" s="96"/>
      <c r="O238" s="96"/>
    </row>
    <row r="239" spans="8:15" x14ac:dyDescent="0.35">
      <c r="H239" s="96"/>
      <c r="I239" s="96"/>
      <c r="J239" s="96"/>
      <c r="K239" s="96"/>
      <c r="L239" s="96"/>
      <c r="M239" s="96"/>
      <c r="N239" s="96"/>
      <c r="O239" s="96"/>
    </row>
    <row r="240" spans="8:15" x14ac:dyDescent="0.35">
      <c r="H240" s="96"/>
      <c r="I240" s="96"/>
      <c r="J240" s="96"/>
      <c r="K240" s="96"/>
      <c r="L240" s="96"/>
      <c r="M240" s="96"/>
      <c r="N240" s="96"/>
      <c r="O240" s="96"/>
    </row>
    <row r="241" spans="8:15" x14ac:dyDescent="0.35">
      <c r="H241" s="96"/>
      <c r="I241" s="96"/>
      <c r="J241" s="96"/>
      <c r="K241" s="96"/>
      <c r="L241" s="96"/>
      <c r="M241" s="96"/>
      <c r="N241" s="96"/>
      <c r="O241" s="96"/>
    </row>
    <row r="242" spans="8:15" x14ac:dyDescent="0.35">
      <c r="H242" s="96"/>
      <c r="I242" s="96"/>
      <c r="J242" s="96"/>
      <c r="K242" s="96"/>
      <c r="L242" s="96"/>
      <c r="M242" s="96"/>
      <c r="N242" s="96"/>
      <c r="O242" s="96"/>
    </row>
    <row r="243" spans="8:15" x14ac:dyDescent="0.35">
      <c r="H243" s="96"/>
      <c r="I243" s="96"/>
      <c r="J243" s="96"/>
      <c r="K243" s="96"/>
      <c r="L243" s="96"/>
      <c r="M243" s="96"/>
      <c r="N243" s="96"/>
      <c r="O243" s="96"/>
    </row>
    <row r="244" spans="8:15" x14ac:dyDescent="0.35">
      <c r="H244" s="96"/>
      <c r="I244" s="96"/>
      <c r="J244" s="96"/>
      <c r="K244" s="96"/>
      <c r="L244" s="96"/>
      <c r="M244" s="96"/>
      <c r="N244" s="96"/>
      <c r="O244" s="96"/>
    </row>
    <row r="245" spans="8:15" x14ac:dyDescent="0.35">
      <c r="H245" s="96"/>
      <c r="I245" s="96"/>
      <c r="J245" s="96"/>
      <c r="K245" s="96"/>
      <c r="L245" s="96"/>
      <c r="M245" s="96"/>
      <c r="N245" s="96"/>
      <c r="O245" s="96"/>
    </row>
    <row r="246" spans="8:15" x14ac:dyDescent="0.35">
      <c r="H246" s="96"/>
      <c r="I246" s="96"/>
      <c r="J246" s="96"/>
      <c r="K246" s="96"/>
      <c r="L246" s="96"/>
      <c r="M246" s="96"/>
      <c r="N246" s="96"/>
      <c r="O246" s="96"/>
    </row>
    <row r="247" spans="8:15" x14ac:dyDescent="0.35">
      <c r="H247" s="96"/>
      <c r="I247" s="96"/>
      <c r="J247" s="96"/>
      <c r="K247" s="96"/>
      <c r="L247" s="96"/>
      <c r="M247" s="96"/>
      <c r="N247" s="96"/>
      <c r="O247" s="96"/>
    </row>
    <row r="248" spans="8:15" x14ac:dyDescent="0.35">
      <c r="H248" s="96"/>
      <c r="I248" s="96"/>
      <c r="J248" s="96"/>
      <c r="K248" s="96"/>
      <c r="L248" s="96"/>
      <c r="M248" s="96"/>
      <c r="N248" s="96"/>
      <c r="O248" s="96"/>
    </row>
    <row r="249" spans="8:15" x14ac:dyDescent="0.35">
      <c r="H249" s="96"/>
      <c r="I249" s="96"/>
      <c r="J249" s="96"/>
      <c r="K249" s="96"/>
      <c r="L249" s="96"/>
      <c r="M249" s="96"/>
      <c r="N249" s="96"/>
      <c r="O249" s="96"/>
    </row>
    <row r="250" spans="8:15" x14ac:dyDescent="0.35">
      <c r="H250" s="96"/>
      <c r="I250" s="96"/>
      <c r="J250" s="96"/>
      <c r="K250" s="96"/>
      <c r="L250" s="96"/>
      <c r="M250" s="96"/>
      <c r="N250" s="96"/>
      <c r="O250" s="96"/>
    </row>
    <row r="251" spans="8:15" x14ac:dyDescent="0.35">
      <c r="H251" s="96"/>
      <c r="I251" s="96"/>
      <c r="J251" s="96"/>
      <c r="K251" s="96"/>
      <c r="L251" s="96"/>
      <c r="M251" s="96"/>
      <c r="N251" s="96"/>
      <c r="O251" s="96"/>
    </row>
    <row r="252" spans="8:15" x14ac:dyDescent="0.35">
      <c r="H252" s="96"/>
      <c r="I252" s="96"/>
      <c r="J252" s="96"/>
      <c r="K252" s="96"/>
      <c r="L252" s="96"/>
      <c r="M252" s="96"/>
      <c r="N252" s="96"/>
      <c r="O252" s="96"/>
    </row>
    <row r="253" spans="8:15" x14ac:dyDescent="0.35">
      <c r="H253" s="96"/>
      <c r="I253" s="96"/>
      <c r="J253" s="96"/>
      <c r="K253" s="96"/>
      <c r="L253" s="96"/>
      <c r="M253" s="96"/>
      <c r="N253" s="96"/>
      <c r="O253" s="96"/>
    </row>
    <row r="254" spans="8:15" x14ac:dyDescent="0.35">
      <c r="H254" s="96"/>
      <c r="I254" s="96"/>
      <c r="J254" s="96"/>
      <c r="K254" s="96"/>
      <c r="L254" s="96"/>
      <c r="M254" s="96"/>
      <c r="N254" s="96"/>
      <c r="O254" s="96"/>
    </row>
    <row r="255" spans="8:15" x14ac:dyDescent="0.35">
      <c r="H255" s="96"/>
      <c r="I255" s="96"/>
      <c r="J255" s="96"/>
      <c r="K255" s="96"/>
      <c r="L255" s="96"/>
      <c r="M255" s="96"/>
      <c r="N255" s="96"/>
      <c r="O255" s="96"/>
    </row>
    <row r="256" spans="8:15" x14ac:dyDescent="0.35">
      <c r="H256" s="96"/>
      <c r="I256" s="96"/>
      <c r="J256" s="96"/>
      <c r="K256" s="96"/>
      <c r="L256" s="96"/>
      <c r="M256" s="96"/>
      <c r="N256" s="96"/>
      <c r="O256" s="96"/>
    </row>
    <row r="257" spans="8:15" x14ac:dyDescent="0.35">
      <c r="H257" s="96"/>
      <c r="I257" s="96"/>
      <c r="J257" s="96"/>
      <c r="K257" s="96"/>
      <c r="L257" s="96"/>
      <c r="M257" s="96"/>
      <c r="N257" s="96"/>
      <c r="O257" s="96"/>
    </row>
    <row r="258" spans="8:15" x14ac:dyDescent="0.35">
      <c r="H258" s="96"/>
      <c r="I258" s="96"/>
      <c r="J258" s="96"/>
      <c r="K258" s="96"/>
      <c r="L258" s="96"/>
      <c r="M258" s="96"/>
      <c r="N258" s="96"/>
      <c r="O258" s="96"/>
    </row>
    <row r="259" spans="8:15" x14ac:dyDescent="0.35">
      <c r="H259" s="96"/>
      <c r="I259" s="96"/>
      <c r="J259" s="96"/>
      <c r="K259" s="96"/>
      <c r="L259" s="96"/>
      <c r="M259" s="96"/>
      <c r="N259" s="96"/>
      <c r="O259" s="96"/>
    </row>
    <row r="260" spans="8:15" x14ac:dyDescent="0.35">
      <c r="H260" s="96"/>
      <c r="I260" s="96"/>
      <c r="J260" s="96"/>
      <c r="K260" s="96"/>
      <c r="L260" s="96"/>
      <c r="M260" s="96"/>
      <c r="N260" s="96"/>
      <c r="O260" s="96"/>
    </row>
    <row r="261" spans="8:15" x14ac:dyDescent="0.35">
      <c r="H261" s="96"/>
      <c r="I261" s="96"/>
      <c r="J261" s="96"/>
      <c r="K261" s="96"/>
      <c r="L261" s="96"/>
      <c r="M261" s="96"/>
      <c r="N261" s="96"/>
      <c r="O261" s="96"/>
    </row>
    <row r="262" spans="8:15" x14ac:dyDescent="0.35">
      <c r="H262" s="96"/>
      <c r="I262" s="96"/>
      <c r="J262" s="96"/>
      <c r="K262" s="96"/>
      <c r="L262" s="96"/>
      <c r="M262" s="96"/>
      <c r="N262" s="96"/>
      <c r="O262" s="96"/>
    </row>
    <row r="263" spans="8:15" x14ac:dyDescent="0.35">
      <c r="H263" s="96"/>
      <c r="I263" s="96"/>
      <c r="J263" s="96"/>
      <c r="K263" s="96"/>
      <c r="L263" s="96"/>
      <c r="M263" s="96"/>
      <c r="N263" s="96"/>
      <c r="O263" s="96"/>
    </row>
    <row r="264" spans="8:15" x14ac:dyDescent="0.35">
      <c r="H264" s="96"/>
      <c r="I264" s="96"/>
      <c r="J264" s="96"/>
      <c r="K264" s="96"/>
      <c r="L264" s="96"/>
      <c r="M264" s="96"/>
      <c r="N264" s="96"/>
      <c r="O264" s="96"/>
    </row>
    <row r="265" spans="8:15" x14ac:dyDescent="0.35">
      <c r="H265" s="96"/>
      <c r="I265" s="96"/>
      <c r="J265" s="96"/>
      <c r="K265" s="96"/>
      <c r="L265" s="96"/>
      <c r="M265" s="96"/>
      <c r="N265" s="96"/>
      <c r="O265" s="96"/>
    </row>
    <row r="266" spans="8:15" x14ac:dyDescent="0.35">
      <c r="H266" s="96"/>
      <c r="I266" s="96"/>
      <c r="J266" s="96"/>
      <c r="K266" s="96"/>
      <c r="L266" s="96"/>
      <c r="M266" s="96"/>
      <c r="N266" s="96"/>
      <c r="O266" s="96"/>
    </row>
    <row r="267" spans="8:15" x14ac:dyDescent="0.35">
      <c r="H267" s="96"/>
      <c r="I267" s="96"/>
      <c r="J267" s="96"/>
      <c r="K267" s="96"/>
      <c r="L267" s="96"/>
      <c r="M267" s="96"/>
      <c r="N267" s="96"/>
      <c r="O267" s="96"/>
    </row>
    <row r="268" spans="8:15" x14ac:dyDescent="0.35">
      <c r="H268" s="96"/>
      <c r="I268" s="96"/>
      <c r="J268" s="96"/>
      <c r="K268" s="96"/>
      <c r="L268" s="96"/>
      <c r="M268" s="96"/>
      <c r="N268" s="96"/>
      <c r="O268" s="96"/>
    </row>
    <row r="269" spans="8:15" x14ac:dyDescent="0.35">
      <c r="H269" s="96"/>
      <c r="I269" s="96"/>
      <c r="J269" s="96"/>
      <c r="K269" s="96"/>
      <c r="L269" s="96"/>
      <c r="M269" s="96"/>
      <c r="N269" s="96"/>
      <c r="O269" s="96"/>
    </row>
    <row r="270" spans="8:15" x14ac:dyDescent="0.35">
      <c r="H270" s="96"/>
      <c r="I270" s="96"/>
      <c r="J270" s="96"/>
      <c r="K270" s="96"/>
      <c r="L270" s="96"/>
      <c r="M270" s="96"/>
      <c r="N270" s="96"/>
      <c r="O270" s="96"/>
    </row>
    <row r="271" spans="8:15" x14ac:dyDescent="0.35">
      <c r="H271" s="96"/>
      <c r="I271" s="96"/>
      <c r="J271" s="96"/>
      <c r="K271" s="96"/>
      <c r="L271" s="96"/>
      <c r="M271" s="96"/>
      <c r="N271" s="96"/>
      <c r="O271" s="96"/>
    </row>
    <row r="272" spans="8:15" x14ac:dyDescent="0.35">
      <c r="H272" s="96"/>
      <c r="I272" s="96"/>
      <c r="J272" s="96"/>
      <c r="K272" s="96"/>
      <c r="L272" s="96"/>
      <c r="M272" s="96"/>
      <c r="N272" s="96"/>
      <c r="O272" s="96"/>
    </row>
    <row r="273" spans="8:15" x14ac:dyDescent="0.35">
      <c r="H273" s="96"/>
      <c r="I273" s="96"/>
      <c r="J273" s="96"/>
      <c r="K273" s="96"/>
      <c r="L273" s="96"/>
      <c r="M273" s="96"/>
      <c r="N273" s="96"/>
      <c r="O273" s="96"/>
    </row>
    <row r="274" spans="8:15" x14ac:dyDescent="0.35">
      <c r="H274" s="96"/>
      <c r="I274" s="96"/>
      <c r="J274" s="96"/>
      <c r="K274" s="96"/>
      <c r="L274" s="96"/>
      <c r="M274" s="96"/>
      <c r="N274" s="96"/>
      <c r="O274" s="96"/>
    </row>
    <row r="275" spans="8:15" x14ac:dyDescent="0.35">
      <c r="H275" s="96"/>
      <c r="I275" s="96"/>
      <c r="J275" s="96"/>
      <c r="K275" s="96"/>
      <c r="L275" s="96"/>
      <c r="M275" s="96"/>
      <c r="N275" s="96"/>
      <c r="O275" s="96"/>
    </row>
    <row r="276" spans="8:15" x14ac:dyDescent="0.35">
      <c r="H276" s="96"/>
      <c r="I276" s="96"/>
      <c r="J276" s="96"/>
      <c r="K276" s="96"/>
      <c r="L276" s="96"/>
      <c r="M276" s="96"/>
      <c r="N276" s="96"/>
      <c r="O276" s="96"/>
    </row>
    <row r="277" spans="8:15" x14ac:dyDescent="0.35">
      <c r="H277" s="96"/>
      <c r="I277" s="96"/>
      <c r="J277" s="96"/>
      <c r="K277" s="96"/>
      <c r="L277" s="96"/>
      <c r="M277" s="96"/>
      <c r="N277" s="96"/>
      <c r="O277" s="96"/>
    </row>
    <row r="278" spans="8:15" x14ac:dyDescent="0.35">
      <c r="H278" s="96"/>
      <c r="I278" s="96"/>
      <c r="J278" s="96"/>
      <c r="K278" s="96"/>
      <c r="L278" s="96"/>
      <c r="M278" s="96"/>
      <c r="N278" s="96"/>
      <c r="O278" s="96"/>
    </row>
    <row r="279" spans="8:15" x14ac:dyDescent="0.35">
      <c r="H279" s="96"/>
      <c r="I279" s="96"/>
      <c r="J279" s="96"/>
      <c r="K279" s="96"/>
      <c r="L279" s="96"/>
      <c r="M279" s="96"/>
      <c r="N279" s="96"/>
      <c r="O279" s="96"/>
    </row>
    <row r="280" spans="8:15" x14ac:dyDescent="0.35">
      <c r="H280" s="96"/>
      <c r="I280" s="96"/>
      <c r="J280" s="96"/>
      <c r="K280" s="96"/>
      <c r="L280" s="96"/>
      <c r="M280" s="96"/>
      <c r="N280" s="96"/>
      <c r="O280" s="96"/>
    </row>
    <row r="281" spans="8:15" x14ac:dyDescent="0.35">
      <c r="H281" s="96"/>
      <c r="I281" s="96"/>
      <c r="J281" s="96"/>
      <c r="K281" s="96"/>
      <c r="L281" s="96"/>
      <c r="M281" s="96"/>
      <c r="N281" s="96"/>
      <c r="O281" s="96"/>
    </row>
    <row r="282" spans="8:15" x14ac:dyDescent="0.35">
      <c r="H282" s="96"/>
      <c r="I282" s="96"/>
      <c r="J282" s="96"/>
      <c r="K282" s="96"/>
      <c r="L282" s="96"/>
      <c r="M282" s="96"/>
      <c r="N282" s="96"/>
      <c r="O282" s="96"/>
    </row>
    <row r="283" spans="8:15" x14ac:dyDescent="0.35">
      <c r="H283" s="96"/>
      <c r="I283" s="96"/>
      <c r="J283" s="96"/>
      <c r="K283" s="96"/>
      <c r="L283" s="96"/>
      <c r="M283" s="96"/>
      <c r="N283" s="96"/>
      <c r="O283" s="96"/>
    </row>
    <row r="284" spans="8:15" x14ac:dyDescent="0.35">
      <c r="H284" s="96"/>
      <c r="I284" s="96"/>
      <c r="J284" s="96"/>
      <c r="K284" s="96"/>
      <c r="L284" s="96"/>
      <c r="M284" s="96"/>
      <c r="N284" s="96"/>
      <c r="O284" s="96"/>
    </row>
    <row r="285" spans="8:15" x14ac:dyDescent="0.35">
      <c r="H285" s="96"/>
      <c r="I285" s="96"/>
      <c r="J285" s="96"/>
      <c r="K285" s="96"/>
      <c r="L285" s="96"/>
      <c r="M285" s="96"/>
      <c r="N285" s="96"/>
      <c r="O285" s="96"/>
    </row>
    <row r="286" spans="8:15" x14ac:dyDescent="0.35">
      <c r="H286" s="96"/>
      <c r="I286" s="96"/>
      <c r="J286" s="96"/>
      <c r="K286" s="96"/>
      <c r="L286" s="96"/>
      <c r="M286" s="96"/>
      <c r="N286" s="96"/>
      <c r="O286" s="96"/>
    </row>
    <row r="287" spans="8:15" x14ac:dyDescent="0.35">
      <c r="H287" s="96"/>
      <c r="I287" s="96"/>
      <c r="J287" s="96"/>
      <c r="K287" s="96"/>
      <c r="L287" s="96"/>
      <c r="M287" s="96"/>
      <c r="N287" s="96"/>
      <c r="O287" s="96"/>
    </row>
    <row r="288" spans="8:15" x14ac:dyDescent="0.35">
      <c r="H288" s="96"/>
      <c r="I288" s="96"/>
      <c r="J288" s="96"/>
      <c r="K288" s="96"/>
      <c r="L288" s="96"/>
      <c r="M288" s="96"/>
      <c r="N288" s="96"/>
      <c r="O288" s="96"/>
    </row>
    <row r="289" spans="8:15" x14ac:dyDescent="0.35">
      <c r="H289" s="96"/>
      <c r="I289" s="96"/>
      <c r="J289" s="96"/>
      <c r="K289" s="96"/>
      <c r="L289" s="96"/>
      <c r="M289" s="96"/>
      <c r="N289" s="96"/>
      <c r="O289" s="96"/>
    </row>
    <row r="290" spans="8:15" x14ac:dyDescent="0.35">
      <c r="H290" s="96"/>
      <c r="I290" s="96"/>
      <c r="J290" s="96"/>
      <c r="K290" s="96"/>
      <c r="L290" s="96"/>
      <c r="M290" s="96"/>
      <c r="N290" s="96"/>
      <c r="O290" s="96"/>
    </row>
    <row r="291" spans="8:15" x14ac:dyDescent="0.35">
      <c r="H291" s="96"/>
      <c r="I291" s="96"/>
      <c r="J291" s="96"/>
      <c r="K291" s="96"/>
      <c r="L291" s="96"/>
      <c r="M291" s="96"/>
      <c r="N291" s="96"/>
      <c r="O291" s="96"/>
    </row>
    <row r="292" spans="8:15" x14ac:dyDescent="0.35">
      <c r="H292" s="96"/>
      <c r="I292" s="96"/>
      <c r="J292" s="96"/>
      <c r="K292" s="96"/>
      <c r="L292" s="96"/>
      <c r="M292" s="96"/>
      <c r="N292" s="96"/>
      <c r="O292" s="96"/>
    </row>
    <row r="293" spans="8:15" x14ac:dyDescent="0.35">
      <c r="H293" s="96"/>
      <c r="I293" s="96"/>
      <c r="J293" s="96"/>
      <c r="K293" s="96"/>
      <c r="L293" s="96"/>
      <c r="M293" s="96"/>
      <c r="N293" s="96"/>
      <c r="O293" s="96"/>
    </row>
    <row r="294" spans="8:15" x14ac:dyDescent="0.35">
      <c r="H294" s="96"/>
      <c r="I294" s="96"/>
      <c r="J294" s="96"/>
      <c r="K294" s="96"/>
      <c r="L294" s="96"/>
      <c r="M294" s="96"/>
      <c r="N294" s="96"/>
      <c r="O294" s="96"/>
    </row>
    <row r="295" spans="8:15" x14ac:dyDescent="0.35">
      <c r="H295" s="96"/>
      <c r="I295" s="96"/>
      <c r="J295" s="96"/>
      <c r="K295" s="96"/>
      <c r="L295" s="96"/>
      <c r="M295" s="96"/>
      <c r="N295" s="96"/>
      <c r="O295" s="96"/>
    </row>
    <row r="296" spans="8:15" x14ac:dyDescent="0.35">
      <c r="H296" s="96"/>
      <c r="I296" s="96"/>
      <c r="J296" s="96"/>
      <c r="K296" s="96"/>
      <c r="L296" s="96"/>
      <c r="M296" s="96"/>
      <c r="N296" s="96"/>
      <c r="O296" s="96"/>
    </row>
    <row r="297" spans="8:15" x14ac:dyDescent="0.35">
      <c r="H297" s="96"/>
      <c r="I297" s="96"/>
      <c r="J297" s="96"/>
      <c r="K297" s="96"/>
      <c r="L297" s="96"/>
      <c r="M297" s="96"/>
      <c r="N297" s="96"/>
      <c r="O297" s="96"/>
    </row>
    <row r="298" spans="8:15" x14ac:dyDescent="0.35">
      <c r="H298" s="96"/>
      <c r="I298" s="96"/>
      <c r="J298" s="96"/>
      <c r="K298" s="96"/>
      <c r="L298" s="96"/>
      <c r="M298" s="96"/>
      <c r="N298" s="96"/>
      <c r="O298" s="96"/>
    </row>
    <row r="299" spans="8:15" x14ac:dyDescent="0.35">
      <c r="H299" s="96"/>
      <c r="I299" s="96"/>
      <c r="J299" s="96"/>
      <c r="K299" s="96"/>
      <c r="L299" s="96"/>
      <c r="M299" s="96"/>
      <c r="N299" s="96"/>
      <c r="O299" s="96"/>
    </row>
    <row r="300" spans="8:15" x14ac:dyDescent="0.35">
      <c r="H300" s="96"/>
      <c r="I300" s="96"/>
      <c r="J300" s="96"/>
      <c r="K300" s="96"/>
      <c r="L300" s="96"/>
      <c r="M300" s="96"/>
      <c r="N300" s="96"/>
      <c r="O300" s="96"/>
    </row>
    <row r="301" spans="8:15" x14ac:dyDescent="0.35">
      <c r="H301" s="96"/>
      <c r="I301" s="96"/>
      <c r="J301" s="96"/>
      <c r="K301" s="96"/>
      <c r="L301" s="96"/>
      <c r="M301" s="96"/>
      <c r="N301" s="96"/>
      <c r="O301" s="96"/>
    </row>
    <row r="302" spans="8:15" x14ac:dyDescent="0.35">
      <c r="H302" s="96"/>
      <c r="I302" s="96"/>
      <c r="J302" s="96"/>
      <c r="K302" s="96"/>
      <c r="L302" s="96"/>
      <c r="M302" s="96"/>
      <c r="N302" s="96"/>
      <c r="O302" s="96"/>
    </row>
    <row r="303" spans="8:15" x14ac:dyDescent="0.35">
      <c r="H303" s="96"/>
      <c r="I303" s="96"/>
      <c r="J303" s="96"/>
      <c r="K303" s="96"/>
      <c r="L303" s="96"/>
      <c r="M303" s="96"/>
      <c r="N303" s="96"/>
      <c r="O303" s="96"/>
    </row>
    <row r="304" spans="8:15" x14ac:dyDescent="0.35">
      <c r="H304" s="96"/>
      <c r="I304" s="96"/>
      <c r="J304" s="96"/>
      <c r="K304" s="96"/>
      <c r="L304" s="96"/>
      <c r="M304" s="96"/>
      <c r="N304" s="96"/>
      <c r="O304" s="96"/>
    </row>
    <row r="305" spans="8:15" x14ac:dyDescent="0.35">
      <c r="H305" s="96"/>
      <c r="I305" s="96"/>
      <c r="J305" s="96"/>
      <c r="K305" s="96"/>
      <c r="L305" s="96"/>
      <c r="M305" s="96"/>
      <c r="N305" s="96"/>
      <c r="O305" s="96"/>
    </row>
    <row r="306" spans="8:15" x14ac:dyDescent="0.35">
      <c r="H306" s="96"/>
      <c r="I306" s="96"/>
      <c r="J306" s="96"/>
      <c r="K306" s="96"/>
      <c r="L306" s="96"/>
      <c r="M306" s="96"/>
      <c r="N306" s="96"/>
      <c r="O306" s="96"/>
    </row>
    <row r="307" spans="8:15" x14ac:dyDescent="0.35">
      <c r="H307" s="96"/>
      <c r="I307" s="96"/>
      <c r="J307" s="96"/>
      <c r="K307" s="96"/>
      <c r="L307" s="96"/>
      <c r="M307" s="96"/>
      <c r="N307" s="96"/>
      <c r="O307" s="96"/>
    </row>
    <row r="308" spans="8:15" x14ac:dyDescent="0.35">
      <c r="H308" s="96"/>
      <c r="I308" s="96"/>
      <c r="J308" s="96"/>
      <c r="K308" s="96"/>
      <c r="L308" s="96"/>
      <c r="M308" s="96"/>
      <c r="N308" s="96"/>
      <c r="O308" s="96"/>
    </row>
    <row r="309" spans="8:15" x14ac:dyDescent="0.35">
      <c r="H309" s="96"/>
      <c r="I309" s="96"/>
      <c r="J309" s="96"/>
      <c r="K309" s="96"/>
      <c r="L309" s="96"/>
      <c r="M309" s="96"/>
      <c r="N309" s="96"/>
      <c r="O309" s="96"/>
    </row>
    <row r="310" spans="8:15" x14ac:dyDescent="0.35">
      <c r="H310" s="96"/>
      <c r="I310" s="96"/>
      <c r="J310" s="96"/>
      <c r="K310" s="96"/>
      <c r="L310" s="96"/>
      <c r="M310" s="96"/>
      <c r="N310" s="96"/>
      <c r="O310" s="96"/>
    </row>
    <row r="311" spans="8:15" x14ac:dyDescent="0.35">
      <c r="H311" s="96"/>
      <c r="I311" s="96"/>
      <c r="J311" s="96"/>
      <c r="K311" s="96"/>
      <c r="L311" s="96"/>
      <c r="M311" s="96"/>
      <c r="N311" s="96"/>
      <c r="O311" s="96"/>
    </row>
  </sheetData>
  <autoFilter ref="A48:AF73" xr:uid="{C3431DD1-EB4A-47B9-B2AE-4615D2B33613}">
    <sortState xmlns:xlrd2="http://schemas.microsoft.com/office/spreadsheetml/2017/richdata2" ref="A49:AF74">
      <sortCondition ref="A48:A73"/>
    </sortState>
  </autoFilter>
  <sortState xmlns:xlrd2="http://schemas.microsoft.com/office/spreadsheetml/2017/richdata2" ref="A139:AF163">
    <sortCondition ref="AB139:AB163"/>
  </sortState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9D7891E-FCF6-4D5C-B66A-CD99AF2F97A2}">
          <x14:formula1>
            <xm:f>'vehicle E calcs'!$B$32:$B$33</xm:f>
          </x14:formula1>
          <xm:sqref>E4:E21 E49:E66 E94:E111 E139:E156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FAF10-68DD-4B9D-ADDF-1B0A74F371F5}">
  <sheetPr codeName="Sheet7"/>
  <dimension ref="A1:AM169"/>
  <sheetViews>
    <sheetView zoomScale="85" zoomScaleNormal="85" workbookViewId="0">
      <selection activeCell="G4" sqref="G4"/>
    </sheetView>
  </sheetViews>
  <sheetFormatPr defaultColWidth="8.7265625" defaultRowHeight="14.5" x14ac:dyDescent="0.35"/>
  <cols>
    <col min="1" max="1" width="3.81640625" style="23" customWidth="1"/>
    <col min="2" max="2" width="27.453125" style="23" customWidth="1"/>
    <col min="3" max="3" width="18" style="23" customWidth="1"/>
    <col min="4" max="5" width="10.1796875" style="23" customWidth="1"/>
    <col min="6" max="6" width="9.54296875" style="23" customWidth="1"/>
    <col min="7" max="7" width="10.26953125" style="23" customWidth="1"/>
    <col min="8" max="8" width="10.1796875" style="23" customWidth="1"/>
    <col min="9" max="17" width="8.7265625" style="23"/>
    <col min="18" max="18" width="9.81640625" style="23" customWidth="1"/>
    <col min="19" max="28" width="8.7265625" style="23"/>
    <col min="29" max="29" width="4.54296875" style="23" customWidth="1"/>
    <col min="30" max="34" width="8.7265625" style="23"/>
    <col min="35" max="35" width="3.54296875" style="23" customWidth="1"/>
    <col min="36" max="37" width="8.7265625" style="23"/>
    <col min="38" max="38" width="1.81640625" style="135" customWidth="1"/>
    <col min="39" max="39" width="3.26953125" style="96" customWidth="1"/>
    <col min="40" max="16384" width="8.7265625" style="23"/>
  </cols>
  <sheetData>
    <row r="1" spans="1:37" ht="21" x14ac:dyDescent="0.5">
      <c r="B1" s="133" t="s">
        <v>253</v>
      </c>
      <c r="C1" s="136">
        <v>2025</v>
      </c>
      <c r="W1" s="23" t="s">
        <v>202</v>
      </c>
      <c r="AB1" s="95"/>
    </row>
    <row r="2" spans="1:37" x14ac:dyDescent="0.35">
      <c r="H2" s="96"/>
      <c r="T2" s="99" t="s">
        <v>138</v>
      </c>
      <c r="W2" s="99">
        <v>1.6</v>
      </c>
      <c r="X2" s="23" t="s">
        <v>174</v>
      </c>
      <c r="Z2" s="100">
        <v>0</v>
      </c>
      <c r="AA2" s="23" t="s">
        <v>175</v>
      </c>
      <c r="AC2" s="101">
        <v>0</v>
      </c>
    </row>
    <row r="3" spans="1:37" ht="72.5" x14ac:dyDescent="0.35">
      <c r="A3" s="102" t="s">
        <v>244</v>
      </c>
      <c r="B3" s="102" t="s">
        <v>173</v>
      </c>
      <c r="C3" s="103" t="s">
        <v>95</v>
      </c>
      <c r="D3" s="103" t="s">
        <v>172</v>
      </c>
      <c r="E3" s="103" t="s">
        <v>231</v>
      </c>
      <c r="F3" s="103" t="s">
        <v>96</v>
      </c>
      <c r="G3" s="103" t="s">
        <v>205</v>
      </c>
      <c r="H3" s="103" t="s">
        <v>99</v>
      </c>
      <c r="I3" s="103" t="s">
        <v>97</v>
      </c>
      <c r="J3" s="103" t="s">
        <v>100</v>
      </c>
      <c r="K3" s="103" t="s">
        <v>101</v>
      </c>
      <c r="L3" s="103" t="s">
        <v>102</v>
      </c>
      <c r="M3" s="103" t="s">
        <v>129</v>
      </c>
      <c r="N3" s="103" t="s">
        <v>130</v>
      </c>
      <c r="O3" s="103" t="s">
        <v>132</v>
      </c>
      <c r="P3" s="103" t="s">
        <v>133</v>
      </c>
      <c r="Q3" s="103" t="s">
        <v>131</v>
      </c>
      <c r="R3" s="117" t="s">
        <v>136</v>
      </c>
      <c r="S3" s="103" t="s">
        <v>135</v>
      </c>
      <c r="T3" s="103" t="s">
        <v>134</v>
      </c>
      <c r="U3" s="103" t="s">
        <v>103</v>
      </c>
      <c r="V3" s="117" t="s">
        <v>108</v>
      </c>
      <c r="W3" s="103" t="s">
        <v>199</v>
      </c>
      <c r="X3" s="103" t="s">
        <v>104</v>
      </c>
      <c r="Y3" s="103" t="s">
        <v>105</v>
      </c>
      <c r="Z3" s="103" t="s">
        <v>106</v>
      </c>
      <c r="AA3" s="103" t="s">
        <v>137</v>
      </c>
      <c r="AB3" s="117" t="s">
        <v>107</v>
      </c>
      <c r="AD3" s="103" t="s">
        <v>167</v>
      </c>
      <c r="AE3" s="103" t="s">
        <v>168</v>
      </c>
      <c r="AF3" s="103" t="s">
        <v>169</v>
      </c>
      <c r="AJ3" s="103" t="s">
        <v>177</v>
      </c>
      <c r="AK3" s="103" t="s">
        <v>176</v>
      </c>
    </row>
    <row r="4" spans="1:37" ht="14.5" customHeight="1" x14ac:dyDescent="0.35">
      <c r="A4" s="23">
        <v>20</v>
      </c>
      <c r="B4" s="120" t="s">
        <v>162</v>
      </c>
      <c r="C4" s="111" t="s">
        <v>157</v>
      </c>
      <c r="D4" s="111" t="s">
        <v>170</v>
      </c>
      <c r="E4" s="111"/>
      <c r="F4" s="111" t="s">
        <v>158</v>
      </c>
      <c r="G4" s="141">
        <f>'time-factors'!C$35*'time-factors'!B70</f>
        <v>8.2147194644828154</v>
      </c>
      <c r="H4" s="174">
        <f>'time-factors'!K70</f>
        <v>0.14249999999999999</v>
      </c>
      <c r="I4" s="168" t="s">
        <v>166</v>
      </c>
      <c r="J4" s="96">
        <f>'time-factors'!P$46</f>
        <v>20</v>
      </c>
      <c r="K4" s="170">
        <f>'time-factors'!J$46</f>
        <v>0.05</v>
      </c>
      <c r="L4" s="172">
        <f t="shared" ref="L4:L28" si="0">PMT(K4,J4,-H4)</f>
        <v>1.1434568674673511E-2</v>
      </c>
      <c r="M4" s="171">
        <v>0.02</v>
      </c>
      <c r="N4" s="168">
        <f t="shared" ref="N4:N28" si="1">M4*H4</f>
        <v>2.8499999999999997E-3</v>
      </c>
      <c r="O4" s="168">
        <v>1.5</v>
      </c>
      <c r="P4" s="111">
        <v>200</v>
      </c>
      <c r="Q4" s="115">
        <f t="shared" ref="Q4:Q28" si="2">P4*O4*0.001</f>
        <v>0.3</v>
      </c>
      <c r="R4" s="114">
        <f t="shared" ref="R4:R28" si="3">L4+N4+Q4</f>
        <v>0.31428456867467353</v>
      </c>
      <c r="S4" s="114">
        <f>2*O4</f>
        <v>3</v>
      </c>
      <c r="T4" s="114">
        <v>0.1</v>
      </c>
      <c r="U4" s="111">
        <f t="shared" ref="U4:U28" si="4">T4*S4</f>
        <v>0.30000000000000004</v>
      </c>
      <c r="V4" s="111">
        <f t="shared" ref="V4:V28" si="5">R4/U4</f>
        <v>1.0476152289155782</v>
      </c>
      <c r="W4" s="111">
        <v>200</v>
      </c>
      <c r="X4" s="111">
        <f t="shared" ref="X4:X28" si="6">W4*S4*0.001</f>
        <v>0.6</v>
      </c>
      <c r="Y4" s="111">
        <f t="shared" ref="Y4:Y10" si="7">$AC$2</f>
        <v>0</v>
      </c>
      <c r="Z4" s="111">
        <f t="shared" ref="Z4:Z28" si="8">Y4*U4</f>
        <v>0</v>
      </c>
      <c r="AA4" s="114">
        <f t="shared" ref="AA4:AA28" si="9">R4-X4-Z4</f>
        <v>-0.28571543132532645</v>
      </c>
      <c r="AB4" s="111">
        <f t="shared" ref="AB4:AB28" si="10">AA4/U4</f>
        <v>-0.95238477108442132</v>
      </c>
      <c r="AC4" s="111"/>
      <c r="AD4" s="107">
        <f t="shared" ref="AD4:AD28" si="11">L4/U4</f>
        <v>3.8115228915578364E-2</v>
      </c>
      <c r="AE4" s="23">
        <f t="shared" ref="AE4:AE28" si="12">N4/U4</f>
        <v>9.499999999999998E-3</v>
      </c>
      <c r="AF4" s="108">
        <f t="shared" ref="AF4:AF28" si="13">Q4/U4</f>
        <v>0.99999999999999978</v>
      </c>
      <c r="AH4" s="141">
        <f>G4</f>
        <v>8.2147194644828154</v>
      </c>
      <c r="AJ4" s="104">
        <f>AH4</f>
        <v>8.2147194644828154</v>
      </c>
      <c r="AK4" s="23">
        <f t="shared" ref="AK4:AK28" si="14">AB4</f>
        <v>-0.95238477108442132</v>
      </c>
    </row>
    <row r="5" spans="1:37" ht="14.5" customHeight="1" x14ac:dyDescent="0.35">
      <c r="A5" s="23">
        <v>21</v>
      </c>
      <c r="B5" s="120" t="s">
        <v>160</v>
      </c>
      <c r="C5" s="48" t="s">
        <v>163</v>
      </c>
      <c r="D5" s="111" t="s">
        <v>170</v>
      </c>
      <c r="E5" s="111"/>
      <c r="F5" s="48" t="s">
        <v>158</v>
      </c>
      <c r="G5" s="141">
        <f>'time-factors'!C$35*'time-factors'!B71</f>
        <v>15.060319018218495</v>
      </c>
      <c r="H5" s="174">
        <f>'time-factors'!K71</f>
        <v>0.23749999999999999</v>
      </c>
      <c r="I5" s="168" t="s">
        <v>166</v>
      </c>
      <c r="J5" s="96">
        <f>'time-factors'!P$46</f>
        <v>20</v>
      </c>
      <c r="K5" s="170">
        <f>'time-factors'!J$46</f>
        <v>0.05</v>
      </c>
      <c r="L5" s="172">
        <f t="shared" si="0"/>
        <v>1.9057614457789186E-2</v>
      </c>
      <c r="M5" s="171">
        <v>0.02</v>
      </c>
      <c r="N5" s="168">
        <f t="shared" si="1"/>
        <v>4.7499999999999999E-3</v>
      </c>
      <c r="O5" s="168">
        <v>4.4000000000000004</v>
      </c>
      <c r="P5" s="111">
        <v>200</v>
      </c>
      <c r="Q5" s="115">
        <f t="shared" si="2"/>
        <v>0.88000000000000012</v>
      </c>
      <c r="R5" s="114">
        <f t="shared" si="3"/>
        <v>0.90380761445778934</v>
      </c>
      <c r="S5" s="114">
        <f>1.2*O5</f>
        <v>5.28</v>
      </c>
      <c r="T5" s="114">
        <v>0.1</v>
      </c>
      <c r="U5" s="111">
        <f t="shared" si="4"/>
        <v>0.52800000000000002</v>
      </c>
      <c r="V5" s="111">
        <f t="shared" si="5"/>
        <v>1.7117568455639949</v>
      </c>
      <c r="W5" s="111">
        <v>200</v>
      </c>
      <c r="X5" s="111">
        <f t="shared" si="6"/>
        <v>1.056</v>
      </c>
      <c r="Y5" s="111">
        <f t="shared" si="7"/>
        <v>0</v>
      </c>
      <c r="Z5" s="111">
        <f t="shared" si="8"/>
        <v>0</v>
      </c>
      <c r="AA5" s="114">
        <f t="shared" si="9"/>
        <v>-0.15219238554221071</v>
      </c>
      <c r="AB5" s="111">
        <f t="shared" si="10"/>
        <v>-0.28824315443600512</v>
      </c>
      <c r="AC5" s="111"/>
      <c r="AD5" s="107">
        <f t="shared" si="11"/>
        <v>3.6093966776115878E-2</v>
      </c>
      <c r="AE5" s="23">
        <f t="shared" si="12"/>
        <v>8.9962121212121202E-3</v>
      </c>
      <c r="AF5" s="108">
        <f t="shared" si="13"/>
        <v>1.6666666666666667</v>
      </c>
      <c r="AH5" s="141">
        <f t="shared" ref="AH5:AH28" si="15">G5</f>
        <v>15.060319018218495</v>
      </c>
      <c r="AJ5" s="104">
        <f>AJ4+AH5</f>
        <v>23.275038482701312</v>
      </c>
      <c r="AK5" s="23">
        <f t="shared" si="14"/>
        <v>-0.28824315443600512</v>
      </c>
    </row>
    <row r="6" spans="1:37" ht="14.5" customHeight="1" x14ac:dyDescent="0.35">
      <c r="A6" s="23">
        <v>22</v>
      </c>
      <c r="B6" s="120" t="s">
        <v>161</v>
      </c>
      <c r="C6" s="48" t="s">
        <v>163</v>
      </c>
      <c r="D6" s="111" t="s">
        <v>170</v>
      </c>
      <c r="E6" s="111"/>
      <c r="F6" s="48" t="s">
        <v>158</v>
      </c>
      <c r="G6" s="141">
        <f>'time-factors'!C$35*'time-factors'!B72</f>
        <v>8.2147194644828154</v>
      </c>
      <c r="H6" s="174">
        <f>'time-factors'!K72</f>
        <v>0.47499999999999998</v>
      </c>
      <c r="I6" s="168" t="s">
        <v>166</v>
      </c>
      <c r="J6" s="96">
        <f>'time-factors'!P$46</f>
        <v>20</v>
      </c>
      <c r="K6" s="170">
        <f>'time-factors'!J$46</f>
        <v>0.05</v>
      </c>
      <c r="L6" s="172">
        <f t="shared" si="0"/>
        <v>3.8115228915578371E-2</v>
      </c>
      <c r="M6" s="171">
        <v>0.02</v>
      </c>
      <c r="N6" s="168">
        <f t="shared" si="1"/>
        <v>9.4999999999999998E-3</v>
      </c>
      <c r="O6" s="168">
        <v>4.4000000000000004</v>
      </c>
      <c r="P6" s="111">
        <v>200</v>
      </c>
      <c r="Q6" s="115">
        <f t="shared" si="2"/>
        <v>0.88000000000000012</v>
      </c>
      <c r="R6" s="114">
        <f t="shared" si="3"/>
        <v>0.92761522891557846</v>
      </c>
      <c r="S6" s="114">
        <f>1.2*O6</f>
        <v>5.28</v>
      </c>
      <c r="T6" s="114">
        <v>0.1</v>
      </c>
      <c r="U6" s="111">
        <f t="shared" si="4"/>
        <v>0.52800000000000002</v>
      </c>
      <c r="V6" s="111">
        <f t="shared" si="5"/>
        <v>1.7568470244613228</v>
      </c>
      <c r="W6" s="111">
        <v>200</v>
      </c>
      <c r="X6" s="111">
        <f t="shared" si="6"/>
        <v>1.056</v>
      </c>
      <c r="Y6" s="111">
        <f t="shared" si="7"/>
        <v>0</v>
      </c>
      <c r="Z6" s="111">
        <f t="shared" si="8"/>
        <v>0</v>
      </c>
      <c r="AA6" s="114">
        <f t="shared" si="9"/>
        <v>-0.12838477108442159</v>
      </c>
      <c r="AB6" s="111">
        <f t="shared" si="10"/>
        <v>-0.24315297553867724</v>
      </c>
      <c r="AC6" s="111"/>
      <c r="AD6" s="107">
        <f t="shared" si="11"/>
        <v>7.2187933552231756E-2</v>
      </c>
      <c r="AE6" s="23">
        <f t="shared" si="12"/>
        <v>1.799242424242424E-2</v>
      </c>
      <c r="AF6" s="108">
        <f t="shared" si="13"/>
        <v>1.6666666666666667</v>
      </c>
      <c r="AH6" s="141">
        <f t="shared" si="15"/>
        <v>8.2147194644828154</v>
      </c>
      <c r="AJ6" s="104">
        <f t="shared" ref="AJ6:AJ28" si="16">AJ5+AH6</f>
        <v>31.489757947184128</v>
      </c>
      <c r="AK6" s="23">
        <f t="shared" si="14"/>
        <v>-0.24315297553867724</v>
      </c>
    </row>
    <row r="7" spans="1:37" ht="14.5" customHeight="1" x14ac:dyDescent="0.35">
      <c r="A7" s="23">
        <v>24</v>
      </c>
      <c r="B7" s="120" t="s">
        <v>165</v>
      </c>
      <c r="C7" s="120" t="s">
        <v>165</v>
      </c>
      <c r="D7" s="111" t="s">
        <v>170</v>
      </c>
      <c r="E7" s="111"/>
      <c r="F7" s="48" t="s">
        <v>158</v>
      </c>
      <c r="G7" s="141">
        <f>'time-factors'!C$35*'time-factors'!B74</f>
        <v>5.4764796429885436</v>
      </c>
      <c r="H7" s="174">
        <f>'time-factors'!K74</f>
        <v>0.47499999999999998</v>
      </c>
      <c r="I7" s="168" t="s">
        <v>166</v>
      </c>
      <c r="J7" s="96">
        <f>'time-factors'!P$46</f>
        <v>20</v>
      </c>
      <c r="K7" s="170">
        <f>'time-factors'!J$46</f>
        <v>0.05</v>
      </c>
      <c r="L7" s="172">
        <f t="shared" si="0"/>
        <v>3.8115228915578371E-2</v>
      </c>
      <c r="M7" s="171">
        <v>0.02</v>
      </c>
      <c r="N7" s="168">
        <f t="shared" si="1"/>
        <v>9.4999999999999998E-3</v>
      </c>
      <c r="O7" s="168">
        <v>4.4000000000000004</v>
      </c>
      <c r="P7" s="111">
        <v>200</v>
      </c>
      <c r="Q7" s="115">
        <f t="shared" si="2"/>
        <v>0.88000000000000012</v>
      </c>
      <c r="R7" s="114">
        <f t="shared" si="3"/>
        <v>0.92761522891557846</v>
      </c>
      <c r="S7" s="114">
        <f>1.2*O7</f>
        <v>5.28</v>
      </c>
      <c r="T7" s="114">
        <v>0.1</v>
      </c>
      <c r="U7" s="111">
        <f t="shared" si="4"/>
        <v>0.52800000000000002</v>
      </c>
      <c r="V7" s="111">
        <f t="shared" si="5"/>
        <v>1.7568470244613228</v>
      </c>
      <c r="W7" s="111">
        <v>200</v>
      </c>
      <c r="X7" s="111">
        <f t="shared" si="6"/>
        <v>1.056</v>
      </c>
      <c r="Y7" s="111">
        <f t="shared" si="7"/>
        <v>0</v>
      </c>
      <c r="Z7" s="111">
        <f t="shared" si="8"/>
        <v>0</v>
      </c>
      <c r="AA7" s="114">
        <f t="shared" si="9"/>
        <v>-0.12838477108442159</v>
      </c>
      <c r="AB7" s="111">
        <f t="shared" si="10"/>
        <v>-0.24315297553867724</v>
      </c>
      <c r="AC7" s="111"/>
      <c r="AD7" s="107">
        <f t="shared" si="11"/>
        <v>7.2187933552231756E-2</v>
      </c>
      <c r="AE7" s="23">
        <f t="shared" si="12"/>
        <v>1.799242424242424E-2</v>
      </c>
      <c r="AF7" s="108">
        <f t="shared" si="13"/>
        <v>1.6666666666666667</v>
      </c>
      <c r="AH7" s="141">
        <f t="shared" si="15"/>
        <v>5.4764796429885436</v>
      </c>
      <c r="AJ7" s="104">
        <f t="shared" si="16"/>
        <v>36.966237590172668</v>
      </c>
      <c r="AK7" s="23">
        <f t="shared" si="14"/>
        <v>-0.24315297553867724</v>
      </c>
    </row>
    <row r="8" spans="1:37" ht="14.5" customHeight="1" x14ac:dyDescent="0.35">
      <c r="A8" s="23">
        <v>23</v>
      </c>
      <c r="B8" s="120" t="s">
        <v>164</v>
      </c>
      <c r="C8" s="48" t="s">
        <v>163</v>
      </c>
      <c r="D8" s="111" t="s">
        <v>170</v>
      </c>
      <c r="E8" s="111"/>
      <c r="F8" s="48" t="s">
        <v>158</v>
      </c>
      <c r="G8" s="141">
        <f>'time-factors'!C$35*'time-factors'!B73</f>
        <v>13.691199107471359</v>
      </c>
      <c r="H8" s="174">
        <f>'time-factors'!K73</f>
        <v>0.95</v>
      </c>
      <c r="I8" s="168" t="s">
        <v>166</v>
      </c>
      <c r="J8" s="96">
        <f>'time-factors'!P$46</f>
        <v>20</v>
      </c>
      <c r="K8" s="170">
        <f>'time-factors'!J$46</f>
        <v>0.05</v>
      </c>
      <c r="L8" s="172">
        <f t="shared" si="0"/>
        <v>7.6230457831156742E-2</v>
      </c>
      <c r="M8" s="171">
        <v>0.02</v>
      </c>
      <c r="N8" s="168">
        <f t="shared" si="1"/>
        <v>1.9E-2</v>
      </c>
      <c r="O8" s="168">
        <v>4.4000000000000004</v>
      </c>
      <c r="P8" s="111">
        <v>200</v>
      </c>
      <c r="Q8" s="115">
        <f t="shared" si="2"/>
        <v>0.88000000000000012</v>
      </c>
      <c r="R8" s="114">
        <f t="shared" si="3"/>
        <v>0.97523045783115681</v>
      </c>
      <c r="S8" s="114">
        <f>1.2*O8</f>
        <v>5.28</v>
      </c>
      <c r="T8" s="114">
        <v>0.1</v>
      </c>
      <c r="U8" s="111">
        <f t="shared" si="4"/>
        <v>0.52800000000000002</v>
      </c>
      <c r="V8" s="111">
        <f t="shared" si="5"/>
        <v>1.8470273822559786</v>
      </c>
      <c r="W8" s="111">
        <v>200</v>
      </c>
      <c r="X8" s="111">
        <f t="shared" si="6"/>
        <v>1.056</v>
      </c>
      <c r="Y8" s="111">
        <f t="shared" si="7"/>
        <v>0</v>
      </c>
      <c r="Z8" s="111">
        <f t="shared" si="8"/>
        <v>0</v>
      </c>
      <c r="AA8" s="114">
        <f t="shared" si="9"/>
        <v>-8.0769542168843245E-2</v>
      </c>
      <c r="AB8" s="111">
        <f t="shared" si="10"/>
        <v>-0.15297261774402129</v>
      </c>
      <c r="AC8" s="111"/>
      <c r="AD8" s="107">
        <f t="shared" si="11"/>
        <v>0.14437586710446351</v>
      </c>
      <c r="AE8" s="23">
        <f t="shared" si="12"/>
        <v>3.5984848484848481E-2</v>
      </c>
      <c r="AF8" s="108">
        <f t="shared" si="13"/>
        <v>1.6666666666666667</v>
      </c>
      <c r="AH8" s="141">
        <f t="shared" si="15"/>
        <v>13.691199107471359</v>
      </c>
      <c r="AJ8" s="104">
        <f t="shared" si="16"/>
        <v>50.65743669764403</v>
      </c>
      <c r="AK8" s="23">
        <f t="shared" si="14"/>
        <v>-0.15297261774402129</v>
      </c>
    </row>
    <row r="9" spans="1:37" ht="14.5" customHeight="1" x14ac:dyDescent="0.35">
      <c r="A9" s="23">
        <v>19</v>
      </c>
      <c r="B9" s="120" t="s">
        <v>140</v>
      </c>
      <c r="C9" s="111" t="s">
        <v>157</v>
      </c>
      <c r="D9" s="111" t="s">
        <v>170</v>
      </c>
      <c r="E9" s="111"/>
      <c r="F9" s="111" t="s">
        <v>159</v>
      </c>
      <c r="G9" s="141">
        <f>'time-factors'!C$35*'time-factors'!B69</f>
        <v>17.1139988843392</v>
      </c>
      <c r="H9" s="174">
        <f>'time-factors'!K69</f>
        <v>1.9</v>
      </c>
      <c r="I9" s="168" t="s">
        <v>166</v>
      </c>
      <c r="J9" s="96">
        <f>'time-factors'!P$45</f>
        <v>15</v>
      </c>
      <c r="K9" s="170">
        <f>'time-factors'!J$45</f>
        <v>0.05</v>
      </c>
      <c r="L9" s="172">
        <f t="shared" si="0"/>
        <v>0.18305034645756429</v>
      </c>
      <c r="M9" s="171">
        <v>0</v>
      </c>
      <c r="N9" s="168">
        <f t="shared" si="1"/>
        <v>0</v>
      </c>
      <c r="O9" s="168">
        <v>2.63</v>
      </c>
      <c r="P9" s="111">
        <v>200</v>
      </c>
      <c r="Q9" s="115">
        <f t="shared" si="2"/>
        <v>0.52600000000000002</v>
      </c>
      <c r="R9" s="114">
        <f t="shared" si="3"/>
        <v>0.70905034645756437</v>
      </c>
      <c r="S9" s="114">
        <f>3.5*O9</f>
        <v>9.2050000000000001</v>
      </c>
      <c r="T9" s="114">
        <v>0.18</v>
      </c>
      <c r="U9" s="111">
        <f t="shared" si="4"/>
        <v>1.6569</v>
      </c>
      <c r="V9" s="111">
        <f t="shared" si="5"/>
        <v>0.42793792410982218</v>
      </c>
      <c r="W9" s="116">
        <v>103</v>
      </c>
      <c r="X9" s="111">
        <f t="shared" si="6"/>
        <v>0.94811500000000004</v>
      </c>
      <c r="Y9" s="111">
        <f t="shared" si="7"/>
        <v>0</v>
      </c>
      <c r="Z9" s="111">
        <f t="shared" si="8"/>
        <v>0</v>
      </c>
      <c r="AA9" s="114">
        <f t="shared" si="9"/>
        <v>-0.23906465354243567</v>
      </c>
      <c r="AB9" s="111">
        <f t="shared" si="10"/>
        <v>-0.14428429811240007</v>
      </c>
      <c r="AC9" s="111"/>
      <c r="AD9" s="107">
        <f t="shared" si="11"/>
        <v>0.11047760664950468</v>
      </c>
      <c r="AE9" s="23">
        <f t="shared" si="12"/>
        <v>0</v>
      </c>
      <c r="AF9" s="108">
        <f t="shared" si="13"/>
        <v>0.31746031746031744</v>
      </c>
      <c r="AH9" s="141">
        <f t="shared" si="15"/>
        <v>17.1139988843392</v>
      </c>
      <c r="AJ9" s="104">
        <f t="shared" si="16"/>
        <v>67.771435581983226</v>
      </c>
      <c r="AK9" s="23">
        <f t="shared" si="14"/>
        <v>-0.14428429811240007</v>
      </c>
    </row>
    <row r="10" spans="1:37" ht="14.5" customHeight="1" x14ac:dyDescent="0.35">
      <c r="A10" s="23">
        <v>25</v>
      </c>
      <c r="B10" s="121" t="s">
        <v>204</v>
      </c>
      <c r="C10" s="24" t="s">
        <v>41</v>
      </c>
      <c r="D10" s="24" t="s">
        <v>198</v>
      </c>
      <c r="E10" s="24"/>
      <c r="F10" s="24" t="s">
        <v>203</v>
      </c>
      <c r="G10" s="141">
        <f>'time-factors'!C$35*'time-factors'!B75</f>
        <v>17.1139988843392</v>
      </c>
      <c r="H10" s="175">
        <f>'time-factors'!K75</f>
        <v>3.8949999999999996</v>
      </c>
      <c r="I10" s="53" t="s">
        <v>166</v>
      </c>
      <c r="J10" s="96">
        <f>'time-factors'!P$47</f>
        <v>10</v>
      </c>
      <c r="K10" s="170">
        <f>'time-factors'!J$47</f>
        <v>0.05</v>
      </c>
      <c r="L10" s="55">
        <f t="shared" si="0"/>
        <v>0.50442031949045363</v>
      </c>
      <c r="M10" s="54">
        <v>0</v>
      </c>
      <c r="N10" s="53">
        <f t="shared" si="1"/>
        <v>0</v>
      </c>
      <c r="O10" s="53">
        <v>2.2000000000000002</v>
      </c>
      <c r="P10" s="53">
        <v>200</v>
      </c>
      <c r="Q10" s="56">
        <f t="shared" si="2"/>
        <v>0.44000000000000006</v>
      </c>
      <c r="R10" s="55">
        <f t="shared" si="3"/>
        <v>0.94442031949045369</v>
      </c>
      <c r="S10" s="59">
        <f>2*O10</f>
        <v>4.4000000000000004</v>
      </c>
      <c r="T10" s="59">
        <v>0.27</v>
      </c>
      <c r="U10" s="53">
        <f t="shared" si="4"/>
        <v>1.1880000000000002</v>
      </c>
      <c r="V10" s="53">
        <f t="shared" si="5"/>
        <v>0.79496659889768817</v>
      </c>
      <c r="W10" s="53">
        <v>200</v>
      </c>
      <c r="X10" s="57">
        <f t="shared" si="6"/>
        <v>0.88000000000000012</v>
      </c>
      <c r="Y10" s="53">
        <f t="shared" si="7"/>
        <v>0</v>
      </c>
      <c r="Z10" s="53">
        <f t="shared" si="8"/>
        <v>0</v>
      </c>
      <c r="AA10" s="55">
        <f t="shared" si="9"/>
        <v>6.442031949045357E-2</v>
      </c>
      <c r="AB10" s="53">
        <f t="shared" si="10"/>
        <v>5.4225858156947443E-2</v>
      </c>
      <c r="AC10" s="53"/>
      <c r="AD10" s="107">
        <f t="shared" si="11"/>
        <v>0.42459622852731782</v>
      </c>
      <c r="AE10" s="23">
        <f t="shared" si="12"/>
        <v>0</v>
      </c>
      <c r="AF10" s="108">
        <f t="shared" si="13"/>
        <v>0.37037037037037035</v>
      </c>
      <c r="AH10" s="141">
        <f t="shared" si="15"/>
        <v>17.1139988843392</v>
      </c>
      <c r="AJ10" s="104">
        <f t="shared" si="16"/>
        <v>84.885434466322423</v>
      </c>
      <c r="AK10" s="23">
        <f t="shared" si="14"/>
        <v>5.4225858156947443E-2</v>
      </c>
    </row>
    <row r="11" spans="1:37" ht="14.5" customHeight="1" x14ac:dyDescent="0.35">
      <c r="A11" s="23">
        <v>12</v>
      </c>
      <c r="B11" s="118" t="s">
        <v>151</v>
      </c>
      <c r="C11" s="23" t="s">
        <v>139</v>
      </c>
      <c r="D11" s="23" t="s">
        <v>171</v>
      </c>
      <c r="E11" s="23" t="s">
        <v>128</v>
      </c>
      <c r="F11" s="23" t="s">
        <v>83</v>
      </c>
      <c r="G11" s="141">
        <f>'time-factors'!C$35*'time-factors'!B62</f>
        <v>1.3691199107471359</v>
      </c>
      <c r="H11" s="166">
        <f>'time-factors'!K62</f>
        <v>42.75</v>
      </c>
      <c r="I11" s="96" t="s">
        <v>98</v>
      </c>
      <c r="J11" s="96">
        <f>'time-factors'!P$43</f>
        <v>10</v>
      </c>
      <c r="K11" s="170">
        <f>'time-factors'!J$43</f>
        <v>0.05</v>
      </c>
      <c r="L11" s="173">
        <f t="shared" si="0"/>
        <v>5.536320579773272</v>
      </c>
      <c r="M11" s="170">
        <v>0</v>
      </c>
      <c r="N11" s="96">
        <f t="shared" si="1"/>
        <v>0</v>
      </c>
      <c r="O11" s="167" cm="1">
        <f t="array" ref="O11">IFERROR(_xlfn.IFS(E11="Heavy", 'vehicle E calcs'!$H$33,E11="Cars/vans",'vehicle E calcs'!$H$32),"")</f>
        <v>6.3768270755398833</v>
      </c>
      <c r="P11" s="106">
        <v>200</v>
      </c>
      <c r="Q11" s="108">
        <f t="shared" si="2"/>
        <v>1.2753654151079765</v>
      </c>
      <c r="R11" s="107">
        <f t="shared" si="3"/>
        <v>6.8116859948812483</v>
      </c>
      <c r="S11" s="107" cm="1">
        <f t="array" ref="S11">_xlfn.IFS(E11="Heavy", 'vehicle E calcs'!$T$21,E11="Cars/vans",'vehicle E calcs'!$S$21)*O11</f>
        <v>23.354986057632608</v>
      </c>
      <c r="T11" s="109">
        <v>0.27</v>
      </c>
      <c r="U11" s="23">
        <f t="shared" si="4"/>
        <v>6.3058462355608045</v>
      </c>
      <c r="V11" s="23">
        <f t="shared" si="5"/>
        <v>1.0802175854634453</v>
      </c>
      <c r="W11" s="106">
        <f t="shared" ref="W11:W28" si="17">W$2*105</f>
        <v>168</v>
      </c>
      <c r="X11" s="23">
        <f t="shared" si="6"/>
        <v>3.9236376576822782</v>
      </c>
      <c r="Y11" s="96">
        <f t="shared" ref="Y11:Y28" si="18">$Z$2</f>
        <v>0</v>
      </c>
      <c r="Z11" s="23">
        <f t="shared" si="8"/>
        <v>0</v>
      </c>
      <c r="AA11" s="107">
        <f t="shared" si="9"/>
        <v>2.88804833719897</v>
      </c>
      <c r="AB11" s="23">
        <f t="shared" si="10"/>
        <v>0.45799536324122314</v>
      </c>
      <c r="AD11" s="107">
        <f t="shared" si="11"/>
        <v>0.87796631458472352</v>
      </c>
      <c r="AE11" s="23">
        <f t="shared" si="12"/>
        <v>0</v>
      </c>
      <c r="AF11" s="108">
        <f t="shared" si="13"/>
        <v>0.20225127087872183</v>
      </c>
      <c r="AH11" s="141">
        <f t="shared" si="15"/>
        <v>1.3691199107471359</v>
      </c>
      <c r="AJ11" s="104">
        <f t="shared" si="16"/>
        <v>86.254554377069553</v>
      </c>
      <c r="AK11" s="23">
        <f t="shared" si="14"/>
        <v>0.45799536324122314</v>
      </c>
    </row>
    <row r="12" spans="1:37" ht="14.5" customHeight="1" x14ac:dyDescent="0.35">
      <c r="A12" s="23">
        <v>16</v>
      </c>
      <c r="B12" s="118" t="s">
        <v>154</v>
      </c>
      <c r="C12" s="23" t="s">
        <v>139</v>
      </c>
      <c r="D12" s="23" t="s">
        <v>171</v>
      </c>
      <c r="E12" s="23" t="s">
        <v>128</v>
      </c>
      <c r="F12" s="23" t="s">
        <v>83</v>
      </c>
      <c r="G12" s="141">
        <f>'time-factors'!C$35*'time-factors'!B66</f>
        <v>1.3691199107471359</v>
      </c>
      <c r="H12" s="166">
        <f>'time-factors'!K66</f>
        <v>42.75</v>
      </c>
      <c r="I12" s="96" t="s">
        <v>98</v>
      </c>
      <c r="J12" s="96">
        <f>'time-factors'!P$43</f>
        <v>10</v>
      </c>
      <c r="K12" s="170">
        <f>'time-factors'!J$43</f>
        <v>0.05</v>
      </c>
      <c r="L12" s="173">
        <f t="shared" si="0"/>
        <v>5.536320579773272</v>
      </c>
      <c r="M12" s="170">
        <v>0</v>
      </c>
      <c r="N12" s="96">
        <f t="shared" si="1"/>
        <v>0</v>
      </c>
      <c r="O12" s="167" cm="1">
        <f t="array" ref="O12">IFERROR(_xlfn.IFS(E12="Heavy", 'vehicle E calcs'!$H$33,E12="Cars/vans",'vehicle E calcs'!$H$32),"")</f>
        <v>6.3768270755398833</v>
      </c>
      <c r="P12" s="106">
        <v>200</v>
      </c>
      <c r="Q12" s="108">
        <f t="shared" si="2"/>
        <v>1.2753654151079765</v>
      </c>
      <c r="R12" s="107">
        <f t="shared" si="3"/>
        <v>6.8116859948812483</v>
      </c>
      <c r="S12" s="107" cm="1">
        <f t="array" ref="S12">_xlfn.IFS(E12="Heavy", 'vehicle E calcs'!$T$21,E12="Cars/vans",'vehicle E calcs'!$S$21)*O12</f>
        <v>23.354986057632608</v>
      </c>
      <c r="T12" s="109">
        <v>0.27</v>
      </c>
      <c r="U12" s="23">
        <f t="shared" si="4"/>
        <v>6.3058462355608045</v>
      </c>
      <c r="V12" s="23">
        <f t="shared" si="5"/>
        <v>1.0802175854634453</v>
      </c>
      <c r="W12" s="106">
        <f t="shared" si="17"/>
        <v>168</v>
      </c>
      <c r="X12" s="23">
        <f t="shared" si="6"/>
        <v>3.9236376576822782</v>
      </c>
      <c r="Y12" s="96">
        <f t="shared" si="18"/>
        <v>0</v>
      </c>
      <c r="Z12" s="23">
        <f t="shared" si="8"/>
        <v>0</v>
      </c>
      <c r="AA12" s="107">
        <f t="shared" si="9"/>
        <v>2.88804833719897</v>
      </c>
      <c r="AB12" s="23">
        <f t="shared" si="10"/>
        <v>0.45799536324122314</v>
      </c>
      <c r="AD12" s="107">
        <f t="shared" si="11"/>
        <v>0.87796631458472352</v>
      </c>
      <c r="AE12" s="23">
        <f t="shared" si="12"/>
        <v>0</v>
      </c>
      <c r="AF12" s="108">
        <f t="shared" si="13"/>
        <v>0.20225127087872183</v>
      </c>
      <c r="AH12" s="141">
        <f t="shared" si="15"/>
        <v>1.3691199107471359</v>
      </c>
      <c r="AJ12" s="104">
        <f t="shared" si="16"/>
        <v>87.623674287816684</v>
      </c>
      <c r="AK12" s="23">
        <f t="shared" si="14"/>
        <v>0.45799536324122314</v>
      </c>
    </row>
    <row r="13" spans="1:37" ht="14.5" customHeight="1" x14ac:dyDescent="0.35">
      <c r="A13" s="23">
        <v>13</v>
      </c>
      <c r="B13" s="118" t="s">
        <v>232</v>
      </c>
      <c r="C13" s="23" t="s">
        <v>139</v>
      </c>
      <c r="D13" s="23" t="s">
        <v>171</v>
      </c>
      <c r="E13" s="23" t="s">
        <v>188</v>
      </c>
      <c r="F13" s="23" t="s">
        <v>83</v>
      </c>
      <c r="G13" s="141">
        <f>'time-factors'!C$35*'time-factors'!B63</f>
        <v>1.5060319018218495</v>
      </c>
      <c r="H13" s="166">
        <f>'time-factors'!K63</f>
        <v>73.625</v>
      </c>
      <c r="I13" s="96" t="s">
        <v>98</v>
      </c>
      <c r="J13" s="96">
        <f>'time-factors'!P$43</f>
        <v>10</v>
      </c>
      <c r="K13" s="170">
        <f>'time-factors'!J$43</f>
        <v>0.05</v>
      </c>
      <c r="L13" s="173">
        <f t="shared" si="0"/>
        <v>9.5347743318317466</v>
      </c>
      <c r="M13" s="170">
        <v>0</v>
      </c>
      <c r="N13" s="96">
        <f t="shared" si="1"/>
        <v>0</v>
      </c>
      <c r="O13" s="167" cm="1">
        <f t="array" ref="O13">IFERROR(_xlfn.IFS(E13="Heavy", 'vehicle E calcs'!$H$33,E13="Cars/vans",'vehicle E calcs'!$H$32),"")</f>
        <v>7.1233383316924828</v>
      </c>
      <c r="P13" s="106">
        <v>200</v>
      </c>
      <c r="Q13" s="108">
        <f t="shared" si="2"/>
        <v>1.4246676663384965</v>
      </c>
      <c r="R13" s="107">
        <f t="shared" si="3"/>
        <v>10.959441998170243</v>
      </c>
      <c r="S13" s="107" cm="1">
        <f t="array" ref="S13">_xlfn.IFS(E13="Heavy", 'vehicle E calcs'!$T$21,E13="Cars/vans",'vehicle E calcs'!$S$21)*O13</f>
        <v>24.362584419881831</v>
      </c>
      <c r="T13" s="109">
        <v>0.27</v>
      </c>
      <c r="U13" s="23">
        <f t="shared" si="4"/>
        <v>6.5778977933680949</v>
      </c>
      <c r="V13" s="23">
        <f t="shared" si="5"/>
        <v>1.666100985822502</v>
      </c>
      <c r="W13" s="106">
        <f t="shared" si="17"/>
        <v>168</v>
      </c>
      <c r="X13" s="23">
        <f t="shared" si="6"/>
        <v>4.0929141825401478</v>
      </c>
      <c r="Y13" s="96">
        <f t="shared" si="18"/>
        <v>0</v>
      </c>
      <c r="Z13" s="23">
        <f t="shared" si="8"/>
        <v>0</v>
      </c>
      <c r="AA13" s="107">
        <f t="shared" si="9"/>
        <v>6.8665278156300955</v>
      </c>
      <c r="AB13" s="23">
        <f t="shared" si="10"/>
        <v>1.0438787636002798</v>
      </c>
      <c r="AD13" s="107">
        <f t="shared" si="11"/>
        <v>1.4495169477161542</v>
      </c>
      <c r="AE13" s="23">
        <f t="shared" si="12"/>
        <v>0</v>
      </c>
      <c r="AF13" s="108">
        <f t="shared" si="13"/>
        <v>0.2165840381063478</v>
      </c>
      <c r="AH13" s="141">
        <f t="shared" si="15"/>
        <v>1.5060319018218495</v>
      </c>
      <c r="AJ13" s="104">
        <f t="shared" si="16"/>
        <v>89.12970618963854</v>
      </c>
      <c r="AK13" s="23">
        <f t="shared" si="14"/>
        <v>1.0438787636002798</v>
      </c>
    </row>
    <row r="14" spans="1:37" ht="14.5" customHeight="1" x14ac:dyDescent="0.35">
      <c r="A14" s="23">
        <v>11</v>
      </c>
      <c r="B14" s="118" t="s">
        <v>150</v>
      </c>
      <c r="C14" s="23" t="s">
        <v>139</v>
      </c>
      <c r="D14" s="23" t="s">
        <v>171</v>
      </c>
      <c r="E14" s="23" t="s">
        <v>128</v>
      </c>
      <c r="F14" s="23" t="s">
        <v>83</v>
      </c>
      <c r="G14" s="141">
        <f>'time-factors'!C$35*'time-factors'!B61</f>
        <v>0.68455995537356795</v>
      </c>
      <c r="H14" s="166">
        <f>'time-factors'!K61</f>
        <v>73.625</v>
      </c>
      <c r="I14" s="96" t="s">
        <v>98</v>
      </c>
      <c r="J14" s="96">
        <f>'time-factors'!P$43</f>
        <v>10</v>
      </c>
      <c r="K14" s="170">
        <f>'time-factors'!J$43</f>
        <v>0.05</v>
      </c>
      <c r="L14" s="173">
        <f t="shared" si="0"/>
        <v>9.5347743318317466</v>
      </c>
      <c r="M14" s="170">
        <v>0</v>
      </c>
      <c r="N14" s="96">
        <f t="shared" si="1"/>
        <v>0</v>
      </c>
      <c r="O14" s="167" cm="1">
        <f t="array" ref="O14">IFERROR(_xlfn.IFS(E14="Heavy", 'vehicle E calcs'!$H$33,E14="Cars/vans",'vehicle E calcs'!$H$32),"")</f>
        <v>6.3768270755398833</v>
      </c>
      <c r="P14" s="106">
        <v>200</v>
      </c>
      <c r="Q14" s="108">
        <f t="shared" si="2"/>
        <v>1.2753654151079765</v>
      </c>
      <c r="R14" s="107">
        <f t="shared" si="3"/>
        <v>10.810139746939724</v>
      </c>
      <c r="S14" s="107" cm="1">
        <f t="array" ref="S14">_xlfn.IFS(E14="Heavy", 'vehicle E calcs'!$T$21,E14="Cars/vans",'vehicle E calcs'!$S$21)*O14</f>
        <v>23.354986057632608</v>
      </c>
      <c r="T14" s="109">
        <v>0.27</v>
      </c>
      <c r="U14" s="23">
        <f t="shared" si="4"/>
        <v>6.3058462355608045</v>
      </c>
      <c r="V14" s="23">
        <f t="shared" si="5"/>
        <v>1.7143043682190793</v>
      </c>
      <c r="W14" s="106">
        <f t="shared" si="17"/>
        <v>168</v>
      </c>
      <c r="X14" s="23">
        <f t="shared" si="6"/>
        <v>3.9236376576822782</v>
      </c>
      <c r="Y14" s="96">
        <f t="shared" si="18"/>
        <v>0</v>
      </c>
      <c r="Z14" s="23">
        <f t="shared" si="8"/>
        <v>0</v>
      </c>
      <c r="AA14" s="107">
        <f t="shared" si="9"/>
        <v>6.886502089257446</v>
      </c>
      <c r="AB14" s="23">
        <f t="shared" si="10"/>
        <v>1.092082145996857</v>
      </c>
      <c r="AD14" s="107">
        <f t="shared" si="11"/>
        <v>1.5120530973403572</v>
      </c>
      <c r="AE14" s="23">
        <f t="shared" si="12"/>
        <v>0</v>
      </c>
      <c r="AF14" s="108">
        <f t="shared" si="13"/>
        <v>0.20225127087872183</v>
      </c>
      <c r="AH14" s="141">
        <f t="shared" si="15"/>
        <v>0.68455995537356795</v>
      </c>
      <c r="AJ14" s="104">
        <f t="shared" si="16"/>
        <v>89.814266145012112</v>
      </c>
      <c r="AK14" s="23">
        <f t="shared" si="14"/>
        <v>1.092082145996857</v>
      </c>
    </row>
    <row r="15" spans="1:37" ht="14.5" customHeight="1" x14ac:dyDescent="0.35">
      <c r="A15" s="23">
        <v>6</v>
      </c>
      <c r="B15" s="118" t="s">
        <v>146</v>
      </c>
      <c r="C15" s="23" t="s">
        <v>139</v>
      </c>
      <c r="D15" s="23" t="s">
        <v>171</v>
      </c>
      <c r="E15" s="23" t="s">
        <v>188</v>
      </c>
      <c r="F15" s="23" t="s">
        <v>83</v>
      </c>
      <c r="G15" s="141">
        <f>'time-factors'!C$35*'time-factors'!B56</f>
        <v>1.9852238705833469</v>
      </c>
      <c r="H15" s="166">
        <f>'time-factors'!K56</f>
        <v>141.21301600000001</v>
      </c>
      <c r="I15" s="96" t="s">
        <v>98</v>
      </c>
      <c r="J15" s="96">
        <f>'time-factors'!P$43</f>
        <v>10</v>
      </c>
      <c r="K15" s="170">
        <f>'time-factors'!J$43</f>
        <v>0.05</v>
      </c>
      <c r="L15" s="173">
        <f t="shared" si="0"/>
        <v>18.287731616670232</v>
      </c>
      <c r="M15" s="170">
        <v>0</v>
      </c>
      <c r="N15" s="96">
        <f t="shared" si="1"/>
        <v>0</v>
      </c>
      <c r="O15" s="167" cm="1">
        <f t="array" ref="O15">IFERROR(_xlfn.IFS(E15="Heavy", 'vehicle E calcs'!$H$33,E15="Cars/vans",'vehicle E calcs'!$H$32),"")</f>
        <v>7.1233383316924828</v>
      </c>
      <c r="P15" s="106">
        <v>200</v>
      </c>
      <c r="Q15" s="108">
        <f t="shared" si="2"/>
        <v>1.4246676663384965</v>
      </c>
      <c r="R15" s="107">
        <f t="shared" si="3"/>
        <v>19.712399283008729</v>
      </c>
      <c r="S15" s="107" cm="1">
        <f t="array" ref="S15">_xlfn.IFS(E15="Heavy", 'vehicle E calcs'!$T$21,E15="Cars/vans",'vehicle E calcs'!$S$21)*O15</f>
        <v>24.362584419881831</v>
      </c>
      <c r="T15" s="109">
        <v>0.27</v>
      </c>
      <c r="U15" s="23">
        <f t="shared" si="4"/>
        <v>6.5778977933680949</v>
      </c>
      <c r="V15" s="23">
        <f t="shared" si="5"/>
        <v>2.9967627807903878</v>
      </c>
      <c r="W15" s="106">
        <f t="shared" si="17"/>
        <v>168</v>
      </c>
      <c r="X15" s="23">
        <f t="shared" si="6"/>
        <v>4.0929141825401478</v>
      </c>
      <c r="Y15" s="96">
        <f t="shared" si="18"/>
        <v>0</v>
      </c>
      <c r="Z15" s="23">
        <f t="shared" si="8"/>
        <v>0</v>
      </c>
      <c r="AA15" s="107">
        <f t="shared" si="9"/>
        <v>15.61948510046858</v>
      </c>
      <c r="AB15" s="23">
        <f t="shared" si="10"/>
        <v>2.3745405585681656</v>
      </c>
      <c r="AD15" s="107">
        <f t="shared" si="11"/>
        <v>2.7801787426840403</v>
      </c>
      <c r="AE15" s="23">
        <f t="shared" si="12"/>
        <v>0</v>
      </c>
      <c r="AF15" s="108">
        <f t="shared" si="13"/>
        <v>0.2165840381063478</v>
      </c>
      <c r="AH15" s="141">
        <f t="shared" si="15"/>
        <v>1.9852238705833469</v>
      </c>
      <c r="AJ15" s="104">
        <f t="shared" si="16"/>
        <v>91.799490015595453</v>
      </c>
      <c r="AK15" s="23">
        <f t="shared" si="14"/>
        <v>2.3745405585681656</v>
      </c>
    </row>
    <row r="16" spans="1:37" ht="14.5" customHeight="1" x14ac:dyDescent="0.35">
      <c r="A16" s="23">
        <v>1</v>
      </c>
      <c r="B16" s="118" t="s">
        <v>141</v>
      </c>
      <c r="C16" s="23" t="s">
        <v>139</v>
      </c>
      <c r="D16" s="23" t="s">
        <v>171</v>
      </c>
      <c r="E16" s="23" t="s">
        <v>128</v>
      </c>
      <c r="F16" s="23" t="s">
        <v>83</v>
      </c>
      <c r="G16" s="141">
        <f>'time-factors'!C$35*'time-factors'!B51</f>
        <v>2.3959598438074878</v>
      </c>
      <c r="H16" s="166">
        <f>'time-factors'!K51</f>
        <v>189.12457499999999</v>
      </c>
      <c r="I16" s="96" t="s">
        <v>98</v>
      </c>
      <c r="J16" s="96">
        <f>'time-factors'!P$43</f>
        <v>10</v>
      </c>
      <c r="K16" s="170">
        <f>'time-factors'!J$43</f>
        <v>0.05</v>
      </c>
      <c r="L16" s="173">
        <f t="shared" si="0"/>
        <v>24.49249770089763</v>
      </c>
      <c r="M16" s="170">
        <v>0</v>
      </c>
      <c r="N16" s="96">
        <f t="shared" si="1"/>
        <v>0</v>
      </c>
      <c r="O16" s="167" cm="1">
        <f t="array" ref="O16">IFERROR(_xlfn.IFS(E16="Heavy", 'vehicle E calcs'!$H$33,E16="Cars/vans",'vehicle E calcs'!$H$32),"")</f>
        <v>6.3768270755398833</v>
      </c>
      <c r="P16" s="106">
        <v>200</v>
      </c>
      <c r="Q16" s="108">
        <f t="shared" si="2"/>
        <v>1.2753654151079765</v>
      </c>
      <c r="R16" s="107">
        <f t="shared" si="3"/>
        <v>25.767863116005607</v>
      </c>
      <c r="S16" s="107" cm="1">
        <f t="array" ref="S16">_xlfn.IFS(E16="Heavy", 'vehicle E calcs'!$T$21,E16="Cars/vans",'vehicle E calcs'!$S$21)*O16</f>
        <v>23.354986057632608</v>
      </c>
      <c r="T16" s="109">
        <v>0.27</v>
      </c>
      <c r="U16" s="23">
        <f t="shared" si="4"/>
        <v>6.3058462355608045</v>
      </c>
      <c r="V16" s="23">
        <f t="shared" si="5"/>
        <v>4.086344981057719</v>
      </c>
      <c r="W16" s="106">
        <f t="shared" si="17"/>
        <v>168</v>
      </c>
      <c r="X16" s="23">
        <f t="shared" si="6"/>
        <v>3.9236376576822782</v>
      </c>
      <c r="Y16" s="96">
        <f t="shared" si="18"/>
        <v>0</v>
      </c>
      <c r="Z16" s="23">
        <f t="shared" si="8"/>
        <v>0</v>
      </c>
      <c r="AA16" s="107">
        <f t="shared" si="9"/>
        <v>21.844225458323329</v>
      </c>
      <c r="AB16" s="23">
        <f t="shared" si="10"/>
        <v>3.4641227588354973</v>
      </c>
      <c r="AD16" s="107">
        <f t="shared" si="11"/>
        <v>3.8840937101789974</v>
      </c>
      <c r="AE16" s="23">
        <f t="shared" si="12"/>
        <v>0</v>
      </c>
      <c r="AF16" s="108">
        <f t="shared" si="13"/>
        <v>0.20225127087872183</v>
      </c>
      <c r="AH16" s="141">
        <f t="shared" si="15"/>
        <v>2.3959598438074878</v>
      </c>
      <c r="AJ16" s="104">
        <f t="shared" si="16"/>
        <v>94.195449859402942</v>
      </c>
      <c r="AK16" s="23">
        <f t="shared" si="14"/>
        <v>3.4641227588354973</v>
      </c>
    </row>
    <row r="17" spans="1:37" ht="14.5" customHeight="1" x14ac:dyDescent="0.35">
      <c r="A17" s="23">
        <v>4</v>
      </c>
      <c r="B17" s="118" t="s">
        <v>144</v>
      </c>
      <c r="C17" s="23" t="s">
        <v>139</v>
      </c>
      <c r="D17" s="23" t="s">
        <v>171</v>
      </c>
      <c r="E17" s="23" t="s">
        <v>188</v>
      </c>
      <c r="F17" s="23" t="s">
        <v>83</v>
      </c>
      <c r="G17" s="141">
        <f>'time-factors'!C$35*'time-factors'!B54</f>
        <v>1.0268399330603519</v>
      </c>
      <c r="H17" s="166">
        <f>'time-factors'!K54</f>
        <v>273.59999999999997</v>
      </c>
      <c r="I17" s="96" t="s">
        <v>98</v>
      </c>
      <c r="J17" s="96">
        <f>'time-factors'!P$43</f>
        <v>10</v>
      </c>
      <c r="K17" s="170">
        <f>'time-factors'!J$43</f>
        <v>0.05</v>
      </c>
      <c r="L17" s="173">
        <f t="shared" si="0"/>
        <v>35.432451710548939</v>
      </c>
      <c r="M17" s="170">
        <v>0</v>
      </c>
      <c r="N17" s="96">
        <f t="shared" si="1"/>
        <v>0</v>
      </c>
      <c r="O17" s="167" cm="1">
        <f t="array" ref="O17">IFERROR(_xlfn.IFS(E17="Heavy", 'vehicle E calcs'!$H$33,E17="Cars/vans",'vehicle E calcs'!$H$32),"")</f>
        <v>7.1233383316924828</v>
      </c>
      <c r="P17" s="106">
        <v>200</v>
      </c>
      <c r="Q17" s="108">
        <f t="shared" si="2"/>
        <v>1.4246676663384965</v>
      </c>
      <c r="R17" s="107">
        <f t="shared" si="3"/>
        <v>36.857119376887432</v>
      </c>
      <c r="S17" s="107" cm="1">
        <f t="array" ref="S17">_xlfn.IFS(E17="Heavy", 'vehicle E calcs'!$T$21,E17="Cars/vans",'vehicle E calcs'!$S$21)*O17</f>
        <v>24.362584419881831</v>
      </c>
      <c r="T17" s="109">
        <v>0.27</v>
      </c>
      <c r="U17" s="23">
        <f t="shared" si="4"/>
        <v>6.5778977933680949</v>
      </c>
      <c r="V17" s="23">
        <f t="shared" si="5"/>
        <v>5.6031760502644419</v>
      </c>
      <c r="W17" s="106">
        <f t="shared" si="17"/>
        <v>168</v>
      </c>
      <c r="X17" s="23">
        <f t="shared" si="6"/>
        <v>4.0929141825401478</v>
      </c>
      <c r="Y17" s="96">
        <f t="shared" si="18"/>
        <v>0</v>
      </c>
      <c r="Z17" s="23">
        <f t="shared" si="8"/>
        <v>0</v>
      </c>
      <c r="AA17" s="107">
        <f t="shared" si="9"/>
        <v>32.764205194347284</v>
      </c>
      <c r="AB17" s="23">
        <f t="shared" si="10"/>
        <v>4.9809538280422201</v>
      </c>
      <c r="AD17" s="107">
        <f t="shared" si="11"/>
        <v>5.3865920121580952</v>
      </c>
      <c r="AE17" s="23">
        <f t="shared" si="12"/>
        <v>0</v>
      </c>
      <c r="AF17" s="108">
        <f t="shared" si="13"/>
        <v>0.2165840381063478</v>
      </c>
      <c r="AH17" s="141">
        <f t="shared" si="15"/>
        <v>1.0268399330603519</v>
      </c>
      <c r="AJ17" s="104">
        <f t="shared" si="16"/>
        <v>95.2222897924633</v>
      </c>
      <c r="AK17" s="23">
        <f t="shared" si="14"/>
        <v>4.9809538280422201</v>
      </c>
    </row>
    <row r="18" spans="1:37" ht="14.5" customHeight="1" x14ac:dyDescent="0.35">
      <c r="A18" s="23">
        <v>7</v>
      </c>
      <c r="B18" s="118" t="s">
        <v>147</v>
      </c>
      <c r="C18" s="23" t="s">
        <v>139</v>
      </c>
      <c r="D18" s="23" t="s">
        <v>171</v>
      </c>
      <c r="E18" s="23" t="s">
        <v>188</v>
      </c>
      <c r="F18" s="23" t="s">
        <v>83</v>
      </c>
      <c r="G18" s="141">
        <f>'time-factors'!C$35*'time-factors'!B57</f>
        <v>1.7113998884339199</v>
      </c>
      <c r="H18" s="166">
        <f>'time-factors'!K57</f>
        <v>273.59999999999997</v>
      </c>
      <c r="I18" s="96" t="s">
        <v>98</v>
      </c>
      <c r="J18" s="96">
        <f>'time-factors'!P$43</f>
        <v>10</v>
      </c>
      <c r="K18" s="170">
        <f>'time-factors'!J$43</f>
        <v>0.05</v>
      </c>
      <c r="L18" s="173">
        <f t="shared" si="0"/>
        <v>35.432451710548939</v>
      </c>
      <c r="M18" s="170">
        <v>0</v>
      </c>
      <c r="N18" s="96">
        <f t="shared" si="1"/>
        <v>0</v>
      </c>
      <c r="O18" s="167" cm="1">
        <f t="array" ref="O18">IFERROR(_xlfn.IFS(E18="Heavy", 'vehicle E calcs'!$H$33,E18="Cars/vans",'vehicle E calcs'!$H$32),"")</f>
        <v>7.1233383316924828</v>
      </c>
      <c r="P18" s="106">
        <v>200</v>
      </c>
      <c r="Q18" s="108">
        <f t="shared" si="2"/>
        <v>1.4246676663384965</v>
      </c>
      <c r="R18" s="107">
        <f t="shared" si="3"/>
        <v>36.857119376887432</v>
      </c>
      <c r="S18" s="107" cm="1">
        <f t="array" ref="S18">_xlfn.IFS(E18="Heavy", 'vehicle E calcs'!$T$21,E18="Cars/vans",'vehicle E calcs'!$S$21)*O18</f>
        <v>24.362584419881831</v>
      </c>
      <c r="T18" s="109">
        <v>0.27</v>
      </c>
      <c r="U18" s="23">
        <f t="shared" si="4"/>
        <v>6.5778977933680949</v>
      </c>
      <c r="V18" s="23">
        <f t="shared" si="5"/>
        <v>5.6031760502644419</v>
      </c>
      <c r="W18" s="106">
        <f t="shared" si="17"/>
        <v>168</v>
      </c>
      <c r="X18" s="23">
        <f t="shared" si="6"/>
        <v>4.0929141825401478</v>
      </c>
      <c r="Y18" s="96">
        <f t="shared" si="18"/>
        <v>0</v>
      </c>
      <c r="Z18" s="23">
        <f t="shared" si="8"/>
        <v>0</v>
      </c>
      <c r="AA18" s="107">
        <f t="shared" si="9"/>
        <v>32.764205194347284</v>
      </c>
      <c r="AB18" s="23">
        <f t="shared" si="10"/>
        <v>4.9809538280422201</v>
      </c>
      <c r="AD18" s="107">
        <f t="shared" si="11"/>
        <v>5.3865920121580952</v>
      </c>
      <c r="AE18" s="23">
        <f t="shared" si="12"/>
        <v>0</v>
      </c>
      <c r="AF18" s="108">
        <f t="shared" si="13"/>
        <v>0.2165840381063478</v>
      </c>
      <c r="AH18" s="141">
        <f t="shared" si="15"/>
        <v>1.7113998884339199</v>
      </c>
      <c r="AJ18" s="104">
        <f t="shared" si="16"/>
        <v>96.933689680897217</v>
      </c>
      <c r="AK18" s="23">
        <f t="shared" si="14"/>
        <v>4.9809538280422201</v>
      </c>
    </row>
    <row r="19" spans="1:37" ht="14.5" customHeight="1" x14ac:dyDescent="0.35">
      <c r="A19" s="23">
        <v>9</v>
      </c>
      <c r="B19" s="118" t="s">
        <v>149</v>
      </c>
      <c r="C19" s="23" t="s">
        <v>139</v>
      </c>
      <c r="D19" s="23" t="s">
        <v>171</v>
      </c>
      <c r="E19" s="23" t="s">
        <v>188</v>
      </c>
      <c r="F19" s="23" t="s">
        <v>83</v>
      </c>
      <c r="G19" s="141">
        <f>'time-factors'!C$35*'time-factors'!B59</f>
        <v>0.68455995537356795</v>
      </c>
      <c r="H19" s="166">
        <f>'time-factors'!K59</f>
        <v>273.59999999999997</v>
      </c>
      <c r="I19" s="96" t="s">
        <v>98</v>
      </c>
      <c r="J19" s="96">
        <f>'time-factors'!P$43</f>
        <v>10</v>
      </c>
      <c r="K19" s="170">
        <f>'time-factors'!J$43</f>
        <v>0.05</v>
      </c>
      <c r="L19" s="173">
        <f t="shared" si="0"/>
        <v>35.432451710548939</v>
      </c>
      <c r="M19" s="170">
        <v>0</v>
      </c>
      <c r="N19" s="96">
        <f t="shared" si="1"/>
        <v>0</v>
      </c>
      <c r="O19" s="167" cm="1">
        <f t="array" ref="O19">IFERROR(_xlfn.IFS(E19="Heavy", 'vehicle E calcs'!$H$33,E19="Cars/vans",'vehicle E calcs'!$H$32),"")</f>
        <v>7.1233383316924828</v>
      </c>
      <c r="P19" s="106">
        <v>200</v>
      </c>
      <c r="Q19" s="108">
        <f t="shared" si="2"/>
        <v>1.4246676663384965</v>
      </c>
      <c r="R19" s="107">
        <f t="shared" si="3"/>
        <v>36.857119376887432</v>
      </c>
      <c r="S19" s="107" cm="1">
        <f t="array" ref="S19">_xlfn.IFS(E19="Heavy", 'vehicle E calcs'!$T$21,E19="Cars/vans",'vehicle E calcs'!$S$21)*O19</f>
        <v>24.362584419881831</v>
      </c>
      <c r="T19" s="109">
        <v>0.27</v>
      </c>
      <c r="U19" s="23">
        <f t="shared" si="4"/>
        <v>6.5778977933680949</v>
      </c>
      <c r="V19" s="23">
        <f t="shared" si="5"/>
        <v>5.6031760502644419</v>
      </c>
      <c r="W19" s="106">
        <f t="shared" si="17"/>
        <v>168</v>
      </c>
      <c r="X19" s="23">
        <f t="shared" si="6"/>
        <v>4.0929141825401478</v>
      </c>
      <c r="Y19" s="96">
        <f t="shared" si="18"/>
        <v>0</v>
      </c>
      <c r="Z19" s="23">
        <f t="shared" si="8"/>
        <v>0</v>
      </c>
      <c r="AA19" s="107">
        <f t="shared" si="9"/>
        <v>32.764205194347284</v>
      </c>
      <c r="AB19" s="23">
        <f t="shared" si="10"/>
        <v>4.9809538280422201</v>
      </c>
      <c r="AD19" s="107">
        <f t="shared" si="11"/>
        <v>5.3865920121580952</v>
      </c>
      <c r="AE19" s="23">
        <f t="shared" si="12"/>
        <v>0</v>
      </c>
      <c r="AF19" s="108">
        <f t="shared" si="13"/>
        <v>0.2165840381063478</v>
      </c>
      <c r="AH19" s="141">
        <f t="shared" si="15"/>
        <v>0.68455995537356795</v>
      </c>
      <c r="AJ19" s="104">
        <f t="shared" si="16"/>
        <v>97.618249636270789</v>
      </c>
      <c r="AK19" s="23">
        <f t="shared" si="14"/>
        <v>4.9809538280422201</v>
      </c>
    </row>
    <row r="20" spans="1:37" ht="14.5" customHeight="1" x14ac:dyDescent="0.35">
      <c r="A20" s="23">
        <v>15</v>
      </c>
      <c r="B20" s="118" t="s">
        <v>153</v>
      </c>
      <c r="C20" s="23" t="s">
        <v>139</v>
      </c>
      <c r="D20" s="23" t="s">
        <v>171</v>
      </c>
      <c r="E20" s="23" t="s">
        <v>188</v>
      </c>
      <c r="F20" s="23" t="s">
        <v>83</v>
      </c>
      <c r="G20" s="141">
        <f>'time-factors'!C$35*'time-factors'!B65</f>
        <v>1.0952959285977089</v>
      </c>
      <c r="H20" s="166">
        <f>'time-factors'!K65</f>
        <v>273.59999999999997</v>
      </c>
      <c r="I20" s="96" t="s">
        <v>98</v>
      </c>
      <c r="J20" s="96">
        <f>'time-factors'!P$43</f>
        <v>10</v>
      </c>
      <c r="K20" s="170">
        <f>'time-factors'!J$43</f>
        <v>0.05</v>
      </c>
      <c r="L20" s="173">
        <f t="shared" si="0"/>
        <v>35.432451710548939</v>
      </c>
      <c r="M20" s="170">
        <v>0</v>
      </c>
      <c r="N20" s="96">
        <f t="shared" si="1"/>
        <v>0</v>
      </c>
      <c r="O20" s="167" cm="1">
        <f t="array" ref="O20">IFERROR(_xlfn.IFS(E20="Heavy", 'vehicle E calcs'!$H$33,E20="Cars/vans",'vehicle E calcs'!$H$32),"")</f>
        <v>7.1233383316924828</v>
      </c>
      <c r="P20" s="106">
        <v>200</v>
      </c>
      <c r="Q20" s="108">
        <f t="shared" si="2"/>
        <v>1.4246676663384965</v>
      </c>
      <c r="R20" s="107">
        <f t="shared" si="3"/>
        <v>36.857119376887432</v>
      </c>
      <c r="S20" s="107" cm="1">
        <f t="array" ref="S20">_xlfn.IFS(E20="Heavy", 'vehicle E calcs'!$T$21,E20="Cars/vans",'vehicle E calcs'!$S$21)*O20</f>
        <v>24.362584419881831</v>
      </c>
      <c r="T20" s="109">
        <v>0.27</v>
      </c>
      <c r="U20" s="23">
        <f t="shared" si="4"/>
        <v>6.5778977933680949</v>
      </c>
      <c r="V20" s="23">
        <f t="shared" si="5"/>
        <v>5.6031760502644419</v>
      </c>
      <c r="W20" s="106">
        <f t="shared" si="17"/>
        <v>168</v>
      </c>
      <c r="X20" s="23">
        <f t="shared" si="6"/>
        <v>4.0929141825401478</v>
      </c>
      <c r="Y20" s="96">
        <f t="shared" si="18"/>
        <v>0</v>
      </c>
      <c r="Z20" s="23">
        <f t="shared" si="8"/>
        <v>0</v>
      </c>
      <c r="AA20" s="107">
        <f t="shared" si="9"/>
        <v>32.764205194347284</v>
      </c>
      <c r="AB20" s="23">
        <f t="shared" si="10"/>
        <v>4.9809538280422201</v>
      </c>
      <c r="AD20" s="107">
        <f t="shared" si="11"/>
        <v>5.3865920121580952</v>
      </c>
      <c r="AE20" s="23">
        <f t="shared" si="12"/>
        <v>0</v>
      </c>
      <c r="AF20" s="108">
        <f t="shared" si="13"/>
        <v>0.2165840381063478</v>
      </c>
      <c r="AH20" s="141">
        <f t="shared" si="15"/>
        <v>1.0952959285977089</v>
      </c>
      <c r="AJ20" s="104">
        <f t="shared" si="16"/>
        <v>98.713545564868497</v>
      </c>
      <c r="AK20" s="23">
        <f t="shared" si="14"/>
        <v>4.9809538280422201</v>
      </c>
    </row>
    <row r="21" spans="1:37" ht="14.5" customHeight="1" x14ac:dyDescent="0.35">
      <c r="A21" s="23">
        <v>3</v>
      </c>
      <c r="B21" s="118" t="s">
        <v>143</v>
      </c>
      <c r="C21" s="23" t="s">
        <v>139</v>
      </c>
      <c r="D21" s="23" t="s">
        <v>171</v>
      </c>
      <c r="E21" s="23" t="s">
        <v>188</v>
      </c>
      <c r="F21" s="23" t="s">
        <v>83</v>
      </c>
      <c r="G21" s="141">
        <f>'time-factors'!C$35*'time-factors'!B53</f>
        <v>1.5060319018218495</v>
      </c>
      <c r="H21" s="166">
        <f>'time-factors'!K53</f>
        <v>289.351</v>
      </c>
      <c r="I21" s="96" t="s">
        <v>98</v>
      </c>
      <c r="J21" s="96">
        <f>'time-factors'!P$43</f>
        <v>10</v>
      </c>
      <c r="K21" s="170">
        <f>'time-factors'!J$43</f>
        <v>0.05</v>
      </c>
      <c r="L21" s="173">
        <f t="shared" si="0"/>
        <v>37.472278270829854</v>
      </c>
      <c r="M21" s="170">
        <v>0</v>
      </c>
      <c r="N21" s="96">
        <f t="shared" si="1"/>
        <v>0</v>
      </c>
      <c r="O21" s="167" cm="1">
        <f t="array" ref="O21">IFERROR(_xlfn.IFS(E21="Heavy", 'vehicle E calcs'!$H$33,E21="Cars/vans",'vehicle E calcs'!$H$32),"")</f>
        <v>7.1233383316924828</v>
      </c>
      <c r="P21" s="106">
        <v>200</v>
      </c>
      <c r="Q21" s="108">
        <f t="shared" si="2"/>
        <v>1.4246676663384965</v>
      </c>
      <c r="R21" s="107">
        <f t="shared" si="3"/>
        <v>38.896945937168347</v>
      </c>
      <c r="S21" s="107" cm="1">
        <f t="array" ref="S21">_xlfn.IFS(E21="Heavy", 'vehicle E calcs'!$T$21,E21="Cars/vans",'vehicle E calcs'!$S$21)*O21</f>
        <v>24.362584419881831</v>
      </c>
      <c r="T21" s="109">
        <v>0.27</v>
      </c>
      <c r="U21" s="23">
        <f t="shared" si="4"/>
        <v>6.5778977933680949</v>
      </c>
      <c r="V21" s="23">
        <f t="shared" si="5"/>
        <v>5.9132791598532668</v>
      </c>
      <c r="W21" s="106">
        <f t="shared" si="17"/>
        <v>168</v>
      </c>
      <c r="X21" s="23">
        <f t="shared" si="6"/>
        <v>4.0929141825401478</v>
      </c>
      <c r="Y21" s="96">
        <f t="shared" si="18"/>
        <v>0</v>
      </c>
      <c r="Z21" s="23">
        <f t="shared" si="8"/>
        <v>0</v>
      </c>
      <c r="AA21" s="107">
        <f t="shared" si="9"/>
        <v>34.804031754628198</v>
      </c>
      <c r="AB21" s="23">
        <f t="shared" si="10"/>
        <v>5.291056937631045</v>
      </c>
      <c r="AD21" s="107">
        <f t="shared" si="11"/>
        <v>5.6966951217469202</v>
      </c>
      <c r="AE21" s="23">
        <f t="shared" si="12"/>
        <v>0</v>
      </c>
      <c r="AF21" s="108">
        <f t="shared" si="13"/>
        <v>0.2165840381063478</v>
      </c>
      <c r="AH21" s="141">
        <f t="shared" si="15"/>
        <v>1.5060319018218495</v>
      </c>
      <c r="AJ21" s="104">
        <f t="shared" si="16"/>
        <v>100.21957746669035</v>
      </c>
      <c r="AK21" s="23">
        <f t="shared" si="14"/>
        <v>5.291056937631045</v>
      </c>
    </row>
    <row r="22" spans="1:37" ht="14.5" customHeight="1" x14ac:dyDescent="0.35">
      <c r="A22" s="23">
        <v>17</v>
      </c>
      <c r="B22" s="118" t="s">
        <v>143</v>
      </c>
      <c r="C22" s="23" t="s">
        <v>156</v>
      </c>
      <c r="D22" s="23" t="s">
        <v>171</v>
      </c>
      <c r="E22" s="23" t="s">
        <v>188</v>
      </c>
      <c r="F22" s="23" t="s">
        <v>83</v>
      </c>
      <c r="G22" s="141">
        <f>'time-factors'!C$35*'time-factors'!B67</f>
        <v>1.3691199107471359</v>
      </c>
      <c r="H22" s="166">
        <f>'time-factors'!K67</f>
        <v>292.59999999999997</v>
      </c>
      <c r="I22" s="96" t="s">
        <v>98</v>
      </c>
      <c r="J22" s="96">
        <f>'time-factors'!P$44</f>
        <v>10</v>
      </c>
      <c r="K22" s="170">
        <f>'time-factors'!J$44</f>
        <v>0.05</v>
      </c>
      <c r="L22" s="173">
        <f t="shared" si="0"/>
        <v>37.893038634892619</v>
      </c>
      <c r="M22" s="170">
        <v>0</v>
      </c>
      <c r="N22" s="96">
        <f t="shared" si="1"/>
        <v>0</v>
      </c>
      <c r="O22" s="167" cm="1">
        <f t="array" ref="O22">IFERROR(_xlfn.IFS(E22="Heavy", 'vehicle E calcs'!$H$33,E22="Cars/vans",'vehicle E calcs'!$H$32),"")</f>
        <v>7.1233383316924828</v>
      </c>
      <c r="P22" s="106">
        <v>250</v>
      </c>
      <c r="Q22" s="108">
        <f t="shared" si="2"/>
        <v>1.7808345829231207</v>
      </c>
      <c r="R22" s="107">
        <f t="shared" si="3"/>
        <v>39.673873217815739</v>
      </c>
      <c r="S22" s="107" cm="1">
        <f t="array" ref="S22">_xlfn.IFS(E22="Heavy", 'vehicle E calcs'!$T$21,E22="Cars/vans",'vehicle E calcs'!$S$21)*O22</f>
        <v>24.362584419881831</v>
      </c>
      <c r="T22" s="109">
        <v>0.27</v>
      </c>
      <c r="U22" s="23">
        <f t="shared" si="4"/>
        <v>6.5778977933680949</v>
      </c>
      <c r="V22" s="23">
        <f t="shared" si="5"/>
        <v>6.0313909495242308</v>
      </c>
      <c r="W22" s="106">
        <f t="shared" si="17"/>
        <v>168</v>
      </c>
      <c r="X22" s="23">
        <f t="shared" si="6"/>
        <v>4.0929141825401478</v>
      </c>
      <c r="Y22" s="96">
        <f t="shared" si="18"/>
        <v>0</v>
      </c>
      <c r="Z22" s="23">
        <f t="shared" si="8"/>
        <v>0</v>
      </c>
      <c r="AA22" s="107">
        <f t="shared" si="9"/>
        <v>35.58095903527559</v>
      </c>
      <c r="AB22" s="23">
        <f t="shared" si="10"/>
        <v>5.409168727302009</v>
      </c>
      <c r="AD22" s="107">
        <f t="shared" si="11"/>
        <v>5.7606609018912964</v>
      </c>
      <c r="AE22" s="23">
        <f t="shared" si="12"/>
        <v>0</v>
      </c>
      <c r="AF22" s="108">
        <f t="shared" si="13"/>
        <v>0.27073004763293473</v>
      </c>
      <c r="AH22" s="141">
        <f t="shared" si="15"/>
        <v>1.3691199107471359</v>
      </c>
      <c r="AJ22" s="104">
        <f t="shared" si="16"/>
        <v>101.58869737743748</v>
      </c>
      <c r="AK22" s="23">
        <f t="shared" si="14"/>
        <v>5.409168727302009</v>
      </c>
    </row>
    <row r="23" spans="1:37" ht="14.5" customHeight="1" x14ac:dyDescent="0.35">
      <c r="A23" s="23">
        <v>18</v>
      </c>
      <c r="B23" s="119" t="s">
        <v>148</v>
      </c>
      <c r="C23" s="23" t="s">
        <v>156</v>
      </c>
      <c r="D23" s="23" t="s">
        <v>171</v>
      </c>
      <c r="E23" s="23" t="s">
        <v>188</v>
      </c>
      <c r="F23" s="23" t="s">
        <v>83</v>
      </c>
      <c r="G23" s="141">
        <f>'time-factors'!C$35*'time-factors'!B68</f>
        <v>1.3691199107471359</v>
      </c>
      <c r="H23" s="166">
        <f>'time-factors'!K68</f>
        <v>292.59999999999997</v>
      </c>
      <c r="I23" s="96" t="s">
        <v>98</v>
      </c>
      <c r="J23" s="96">
        <f>'time-factors'!P$44</f>
        <v>10</v>
      </c>
      <c r="K23" s="170">
        <f>'time-factors'!J$44</f>
        <v>0.05</v>
      </c>
      <c r="L23" s="173">
        <f t="shared" si="0"/>
        <v>37.893038634892619</v>
      </c>
      <c r="M23" s="170">
        <v>0</v>
      </c>
      <c r="N23" s="96">
        <f t="shared" si="1"/>
        <v>0</v>
      </c>
      <c r="O23" s="167" cm="1">
        <f t="array" ref="O23">IFERROR(_xlfn.IFS(E23="Heavy", 'vehicle E calcs'!$H$33,E23="Cars/vans",'vehicle E calcs'!$H$32),"")</f>
        <v>7.1233383316924828</v>
      </c>
      <c r="P23" s="106">
        <v>250</v>
      </c>
      <c r="Q23" s="108">
        <f t="shared" si="2"/>
        <v>1.7808345829231207</v>
      </c>
      <c r="R23" s="107">
        <f t="shared" si="3"/>
        <v>39.673873217815739</v>
      </c>
      <c r="S23" s="107" cm="1">
        <f t="array" ref="S23">_xlfn.IFS(E23="Heavy", 'vehicle E calcs'!$T$21,E23="Cars/vans",'vehicle E calcs'!$S$21)*O23</f>
        <v>24.362584419881831</v>
      </c>
      <c r="T23" s="109">
        <v>0.27</v>
      </c>
      <c r="U23" s="23">
        <f t="shared" si="4"/>
        <v>6.5778977933680949</v>
      </c>
      <c r="V23" s="23">
        <f t="shared" si="5"/>
        <v>6.0313909495242308</v>
      </c>
      <c r="W23" s="106">
        <f t="shared" si="17"/>
        <v>168</v>
      </c>
      <c r="X23" s="23">
        <f t="shared" si="6"/>
        <v>4.0929141825401478</v>
      </c>
      <c r="Y23" s="96">
        <f t="shared" si="18"/>
        <v>0</v>
      </c>
      <c r="Z23" s="23">
        <f t="shared" si="8"/>
        <v>0</v>
      </c>
      <c r="AA23" s="107">
        <f t="shared" si="9"/>
        <v>35.58095903527559</v>
      </c>
      <c r="AB23" s="23">
        <f t="shared" si="10"/>
        <v>5.409168727302009</v>
      </c>
      <c r="AD23" s="107">
        <f t="shared" si="11"/>
        <v>5.7606609018912964</v>
      </c>
      <c r="AE23" s="23">
        <f t="shared" si="12"/>
        <v>0</v>
      </c>
      <c r="AF23" s="108">
        <f t="shared" si="13"/>
        <v>0.27073004763293473</v>
      </c>
      <c r="AH23" s="141">
        <f t="shared" si="15"/>
        <v>1.3691199107471359</v>
      </c>
      <c r="AJ23" s="104">
        <f t="shared" si="16"/>
        <v>102.95781728818461</v>
      </c>
      <c r="AK23" s="23">
        <f t="shared" si="14"/>
        <v>5.409168727302009</v>
      </c>
    </row>
    <row r="24" spans="1:37" ht="14.5" customHeight="1" x14ac:dyDescent="0.35">
      <c r="A24" s="23">
        <v>2</v>
      </c>
      <c r="B24" s="118" t="s">
        <v>142</v>
      </c>
      <c r="C24" s="23" t="s">
        <v>139</v>
      </c>
      <c r="D24" s="23" t="s">
        <v>171</v>
      </c>
      <c r="E24" s="23" t="s">
        <v>128</v>
      </c>
      <c r="F24" s="23" t="s">
        <v>83</v>
      </c>
      <c r="G24" s="141">
        <f>'time-factors'!C$35*'time-factors'!B52</f>
        <v>2.0536798661207039</v>
      </c>
      <c r="H24" s="166">
        <f>'time-factors'!K52</f>
        <v>289.351</v>
      </c>
      <c r="I24" s="96" t="s">
        <v>98</v>
      </c>
      <c r="J24" s="96">
        <f>'time-factors'!P$43</f>
        <v>10</v>
      </c>
      <c r="K24" s="170">
        <f>'time-factors'!J$43</f>
        <v>0.05</v>
      </c>
      <c r="L24" s="173">
        <f t="shared" si="0"/>
        <v>37.472278270829854</v>
      </c>
      <c r="M24" s="170">
        <v>0</v>
      </c>
      <c r="N24" s="96">
        <f t="shared" si="1"/>
        <v>0</v>
      </c>
      <c r="O24" s="167" cm="1">
        <f t="array" ref="O24">IFERROR(_xlfn.IFS(E24="Heavy", 'vehicle E calcs'!$H$33,E24="Cars/vans",'vehicle E calcs'!$H$32),"")</f>
        <v>6.3768270755398833</v>
      </c>
      <c r="P24" s="106">
        <v>200</v>
      </c>
      <c r="Q24" s="108">
        <f t="shared" si="2"/>
        <v>1.2753654151079765</v>
      </c>
      <c r="R24" s="107">
        <f t="shared" si="3"/>
        <v>38.747643685937831</v>
      </c>
      <c r="S24" s="107" cm="1">
        <f t="array" ref="S24">_xlfn.IFS(E24="Heavy", 'vehicle E calcs'!$T$21,E24="Cars/vans",'vehicle E calcs'!$S$21)*O24</f>
        <v>23.354986057632608</v>
      </c>
      <c r="T24" s="109">
        <v>0.27</v>
      </c>
      <c r="U24" s="23">
        <f t="shared" si="4"/>
        <v>6.3058462355608045</v>
      </c>
      <c r="V24" s="23">
        <f t="shared" si="5"/>
        <v>6.1447174952390586</v>
      </c>
      <c r="W24" s="106">
        <f t="shared" si="17"/>
        <v>168</v>
      </c>
      <c r="X24" s="23">
        <f t="shared" si="6"/>
        <v>3.9236376576822782</v>
      </c>
      <c r="Y24" s="96">
        <f t="shared" si="18"/>
        <v>0</v>
      </c>
      <c r="Z24" s="23">
        <f t="shared" si="8"/>
        <v>0</v>
      </c>
      <c r="AA24" s="107">
        <f t="shared" si="9"/>
        <v>34.824006028255553</v>
      </c>
      <c r="AB24" s="23">
        <f t="shared" si="10"/>
        <v>5.522495273016836</v>
      </c>
      <c r="AD24" s="107">
        <f t="shared" si="11"/>
        <v>5.9424662243603361</v>
      </c>
      <c r="AE24" s="23">
        <f t="shared" si="12"/>
        <v>0</v>
      </c>
      <c r="AF24" s="108">
        <f t="shared" si="13"/>
        <v>0.20225127087872183</v>
      </c>
      <c r="AH24" s="141">
        <f t="shared" si="15"/>
        <v>2.0536798661207039</v>
      </c>
      <c r="AJ24" s="104">
        <f t="shared" si="16"/>
        <v>105.01149715430532</v>
      </c>
      <c r="AK24" s="23">
        <f t="shared" si="14"/>
        <v>5.522495273016836</v>
      </c>
    </row>
    <row r="25" spans="1:37" ht="14.5" customHeight="1" x14ac:dyDescent="0.35">
      <c r="A25" s="23">
        <v>5</v>
      </c>
      <c r="B25" s="118" t="s">
        <v>145</v>
      </c>
      <c r="C25" s="23" t="s">
        <v>139</v>
      </c>
      <c r="D25" s="23" t="s">
        <v>171</v>
      </c>
      <c r="E25" s="23" t="s">
        <v>188</v>
      </c>
      <c r="F25" s="23" t="s">
        <v>83</v>
      </c>
      <c r="G25" s="141">
        <f>'time-factors'!C$35*'time-factors'!B55</f>
        <v>1.4375759062844928</v>
      </c>
      <c r="H25" s="166">
        <f>'time-factors'!K55</f>
        <v>467.4</v>
      </c>
      <c r="I25" s="96" t="s">
        <v>98</v>
      </c>
      <c r="J25" s="96">
        <f>'time-factors'!P$43</f>
        <v>10</v>
      </c>
      <c r="K25" s="170">
        <f>'time-factors'!J$43</f>
        <v>0.05</v>
      </c>
      <c r="L25" s="173">
        <f t="shared" si="0"/>
        <v>60.530438338854438</v>
      </c>
      <c r="M25" s="170">
        <v>0</v>
      </c>
      <c r="N25" s="96">
        <f t="shared" si="1"/>
        <v>0</v>
      </c>
      <c r="O25" s="167" cm="1">
        <f t="array" ref="O25">IFERROR(_xlfn.IFS(E25="Heavy", 'vehicle E calcs'!$H$33,E25="Cars/vans",'vehicle E calcs'!$H$32),"")</f>
        <v>7.1233383316924828</v>
      </c>
      <c r="P25" s="106">
        <v>200</v>
      </c>
      <c r="Q25" s="108">
        <f t="shared" si="2"/>
        <v>1.4246676663384965</v>
      </c>
      <c r="R25" s="107">
        <f t="shared" si="3"/>
        <v>61.955106005192931</v>
      </c>
      <c r="S25" s="107" cm="1">
        <f t="array" ref="S25">_xlfn.IFS(E25="Heavy", 'vehicle E calcs'!$T$21,E25="Cars/vans",'vehicle E calcs'!$S$21)*O25</f>
        <v>24.362584419881831</v>
      </c>
      <c r="T25" s="109">
        <v>0.27</v>
      </c>
      <c r="U25" s="23">
        <f t="shared" si="4"/>
        <v>6.5778977933680949</v>
      </c>
      <c r="V25" s="23">
        <f t="shared" si="5"/>
        <v>9.4186787255430922</v>
      </c>
      <c r="W25" s="106">
        <f t="shared" si="17"/>
        <v>168</v>
      </c>
      <c r="X25" s="23">
        <f t="shared" si="6"/>
        <v>4.0929141825401478</v>
      </c>
      <c r="Y25" s="96">
        <f t="shared" si="18"/>
        <v>0</v>
      </c>
      <c r="Z25" s="23">
        <f t="shared" si="8"/>
        <v>0</v>
      </c>
      <c r="AA25" s="107">
        <f t="shared" si="9"/>
        <v>57.862191822652782</v>
      </c>
      <c r="AB25" s="23">
        <f t="shared" si="10"/>
        <v>8.7964565033208704</v>
      </c>
      <c r="AD25" s="107">
        <f t="shared" si="11"/>
        <v>9.2020946874367464</v>
      </c>
      <c r="AE25" s="23">
        <f t="shared" si="12"/>
        <v>0</v>
      </c>
      <c r="AF25" s="108">
        <f t="shared" si="13"/>
        <v>0.2165840381063478</v>
      </c>
      <c r="AH25" s="141">
        <f t="shared" si="15"/>
        <v>1.4375759062844928</v>
      </c>
      <c r="AJ25" s="104">
        <f t="shared" si="16"/>
        <v>106.44907306058981</v>
      </c>
      <c r="AK25" s="23">
        <f t="shared" si="14"/>
        <v>8.7964565033208704</v>
      </c>
    </row>
    <row r="26" spans="1:37" ht="14.5" customHeight="1" x14ac:dyDescent="0.35">
      <c r="A26" s="23">
        <v>8</v>
      </c>
      <c r="B26" s="119" t="s">
        <v>148</v>
      </c>
      <c r="C26" s="23" t="s">
        <v>139</v>
      </c>
      <c r="D26" s="23" t="s">
        <v>171</v>
      </c>
      <c r="E26" s="23" t="s">
        <v>188</v>
      </c>
      <c r="F26" s="23" t="s">
        <v>83</v>
      </c>
      <c r="G26" s="141">
        <f>'time-factors'!C$35*'time-factors'!B58</f>
        <v>1.0268399330603519</v>
      </c>
      <c r="H26" s="166">
        <f>'time-factors'!K58</f>
        <v>467.4</v>
      </c>
      <c r="I26" s="96" t="s">
        <v>98</v>
      </c>
      <c r="J26" s="96">
        <f>'time-factors'!P$43</f>
        <v>10</v>
      </c>
      <c r="K26" s="170">
        <f>'time-factors'!J$43</f>
        <v>0.05</v>
      </c>
      <c r="L26" s="173">
        <f t="shared" si="0"/>
        <v>60.530438338854438</v>
      </c>
      <c r="M26" s="170">
        <v>0</v>
      </c>
      <c r="N26" s="96">
        <f t="shared" si="1"/>
        <v>0</v>
      </c>
      <c r="O26" s="167" cm="1">
        <f t="array" ref="O26">IFERROR(_xlfn.IFS(E26="Heavy", 'vehicle E calcs'!$H$33,E26="Cars/vans",'vehicle E calcs'!$H$32),"")</f>
        <v>7.1233383316924828</v>
      </c>
      <c r="P26" s="106">
        <v>200</v>
      </c>
      <c r="Q26" s="108">
        <f t="shared" si="2"/>
        <v>1.4246676663384965</v>
      </c>
      <c r="R26" s="107">
        <f t="shared" si="3"/>
        <v>61.955106005192931</v>
      </c>
      <c r="S26" s="107" cm="1">
        <f t="array" ref="S26">_xlfn.IFS(E26="Heavy", 'vehicle E calcs'!$T$21,E26="Cars/vans",'vehicle E calcs'!$S$21)*O26</f>
        <v>24.362584419881831</v>
      </c>
      <c r="T26" s="109">
        <v>0.27</v>
      </c>
      <c r="U26" s="23">
        <f t="shared" si="4"/>
        <v>6.5778977933680949</v>
      </c>
      <c r="V26" s="23">
        <f t="shared" si="5"/>
        <v>9.4186787255430922</v>
      </c>
      <c r="W26" s="106">
        <f t="shared" si="17"/>
        <v>168</v>
      </c>
      <c r="X26" s="23">
        <f t="shared" si="6"/>
        <v>4.0929141825401478</v>
      </c>
      <c r="Y26" s="96">
        <f t="shared" si="18"/>
        <v>0</v>
      </c>
      <c r="Z26" s="23">
        <f t="shared" si="8"/>
        <v>0</v>
      </c>
      <c r="AA26" s="107">
        <f t="shared" si="9"/>
        <v>57.862191822652782</v>
      </c>
      <c r="AB26" s="23">
        <f t="shared" si="10"/>
        <v>8.7964565033208704</v>
      </c>
      <c r="AD26" s="107">
        <f t="shared" si="11"/>
        <v>9.2020946874367464</v>
      </c>
      <c r="AE26" s="23">
        <f t="shared" si="12"/>
        <v>0</v>
      </c>
      <c r="AF26" s="108">
        <f t="shared" si="13"/>
        <v>0.2165840381063478</v>
      </c>
      <c r="AH26" s="141">
        <f t="shared" si="15"/>
        <v>1.0268399330603519</v>
      </c>
      <c r="AJ26" s="104">
        <f t="shared" si="16"/>
        <v>107.47591299365017</v>
      </c>
      <c r="AK26" s="23">
        <f t="shared" si="14"/>
        <v>8.7964565033208704</v>
      </c>
    </row>
    <row r="27" spans="1:37" ht="14.5" customHeight="1" x14ac:dyDescent="0.35">
      <c r="A27" s="23">
        <v>10</v>
      </c>
      <c r="B27" s="118" t="s">
        <v>58</v>
      </c>
      <c r="C27" s="23" t="s">
        <v>139</v>
      </c>
      <c r="D27" s="23" t="s">
        <v>171</v>
      </c>
      <c r="E27" s="23" t="s">
        <v>188</v>
      </c>
      <c r="F27" s="23" t="s">
        <v>83</v>
      </c>
      <c r="G27" s="141">
        <f>'time-factors'!C$35*'time-factors'!B60</f>
        <v>1.3691199107471359</v>
      </c>
      <c r="H27" s="166">
        <f>'time-factors'!K60</f>
        <v>737.19999999999993</v>
      </c>
      <c r="I27" s="96" t="s">
        <v>98</v>
      </c>
      <c r="J27" s="96">
        <f>'time-factors'!P$43</f>
        <v>10</v>
      </c>
      <c r="K27" s="170">
        <f>'time-factors'!J$43</f>
        <v>0.05</v>
      </c>
      <c r="L27" s="173">
        <f t="shared" si="0"/>
        <v>95.47077266453465</v>
      </c>
      <c r="M27" s="170">
        <v>0</v>
      </c>
      <c r="N27" s="96">
        <f t="shared" si="1"/>
        <v>0</v>
      </c>
      <c r="O27" s="167" cm="1">
        <f t="array" ref="O27">IFERROR(_xlfn.IFS(E27="Heavy", 'vehicle E calcs'!$H$33,E27="Cars/vans",'vehicle E calcs'!$H$32),"")</f>
        <v>7.1233383316924828</v>
      </c>
      <c r="P27" s="106">
        <v>200</v>
      </c>
      <c r="Q27" s="108">
        <f t="shared" si="2"/>
        <v>1.4246676663384965</v>
      </c>
      <c r="R27" s="107">
        <f t="shared" si="3"/>
        <v>96.895440330873143</v>
      </c>
      <c r="S27" s="107" cm="1">
        <f t="array" ref="S27">_xlfn.IFS(E27="Heavy", 'vehicle E calcs'!$T$21,E27="Cars/vans",'vehicle E calcs'!$S$21)*O27</f>
        <v>24.362584419881831</v>
      </c>
      <c r="T27" s="109">
        <v>0.27</v>
      </c>
      <c r="U27" s="23">
        <f t="shared" si="4"/>
        <v>6.5778977933680949</v>
      </c>
      <c r="V27" s="23">
        <f t="shared" si="5"/>
        <v>14.730456959754548</v>
      </c>
      <c r="W27" s="106">
        <f t="shared" si="17"/>
        <v>168</v>
      </c>
      <c r="X27" s="23">
        <f t="shared" si="6"/>
        <v>4.0929141825401478</v>
      </c>
      <c r="Y27" s="96">
        <f t="shared" si="18"/>
        <v>0</v>
      </c>
      <c r="Z27" s="23">
        <f t="shared" si="8"/>
        <v>0</v>
      </c>
      <c r="AA27" s="107">
        <f t="shared" si="9"/>
        <v>92.802526148333001</v>
      </c>
      <c r="AB27" s="23">
        <f t="shared" si="10"/>
        <v>14.108234737532328</v>
      </c>
      <c r="AD27" s="107">
        <f t="shared" si="11"/>
        <v>14.513872921648202</v>
      </c>
      <c r="AE27" s="23">
        <f t="shared" si="12"/>
        <v>0</v>
      </c>
      <c r="AF27" s="108">
        <f t="shared" si="13"/>
        <v>0.2165840381063478</v>
      </c>
      <c r="AH27" s="141">
        <f t="shared" si="15"/>
        <v>1.3691199107471359</v>
      </c>
      <c r="AJ27" s="104">
        <f t="shared" si="16"/>
        <v>108.8450329043973</v>
      </c>
      <c r="AK27" s="23">
        <f t="shared" si="14"/>
        <v>14.108234737532328</v>
      </c>
    </row>
    <row r="28" spans="1:37" ht="14.5" customHeight="1" x14ac:dyDescent="0.35">
      <c r="A28" s="23">
        <v>14</v>
      </c>
      <c r="B28" s="118" t="s">
        <v>152</v>
      </c>
      <c r="C28" s="23" t="s">
        <v>139</v>
      </c>
      <c r="D28" s="23" t="s">
        <v>171</v>
      </c>
      <c r="E28" s="23" t="s">
        <v>188</v>
      </c>
      <c r="F28" s="23" t="s">
        <v>83</v>
      </c>
      <c r="G28" s="141">
        <f>'time-factors'!C$35*'time-factors'!B64</f>
        <v>0.8899279419856384</v>
      </c>
      <c r="H28" s="166">
        <f>'time-factors'!K64</f>
        <v>737.19999999999993</v>
      </c>
      <c r="I28" s="96" t="s">
        <v>98</v>
      </c>
      <c r="J28" s="96">
        <f>'time-factors'!P$43</f>
        <v>10</v>
      </c>
      <c r="K28" s="170">
        <f>'time-factors'!J$43</f>
        <v>0.05</v>
      </c>
      <c r="L28" s="173">
        <f t="shared" si="0"/>
        <v>95.47077266453465</v>
      </c>
      <c r="M28" s="170">
        <v>0</v>
      </c>
      <c r="N28" s="96">
        <f t="shared" si="1"/>
        <v>0</v>
      </c>
      <c r="O28" s="167" cm="1">
        <f t="array" ref="O28">IFERROR(_xlfn.IFS(E28="Heavy", 'vehicle E calcs'!$H$33,E28="Cars/vans",'vehicle E calcs'!$H$32),"")</f>
        <v>7.1233383316924828</v>
      </c>
      <c r="P28" s="106">
        <v>200</v>
      </c>
      <c r="Q28" s="108">
        <f t="shared" si="2"/>
        <v>1.4246676663384965</v>
      </c>
      <c r="R28" s="107">
        <f t="shared" si="3"/>
        <v>96.895440330873143</v>
      </c>
      <c r="S28" s="107" cm="1">
        <f t="array" ref="S28">_xlfn.IFS(E28="Heavy", 'vehicle E calcs'!$T$21,E28="Cars/vans",'vehicle E calcs'!$S$21)*O28</f>
        <v>24.362584419881831</v>
      </c>
      <c r="T28" s="109">
        <v>0.27</v>
      </c>
      <c r="U28" s="23">
        <f t="shared" si="4"/>
        <v>6.5778977933680949</v>
      </c>
      <c r="V28" s="23">
        <f t="shared" si="5"/>
        <v>14.730456959754548</v>
      </c>
      <c r="W28" s="106">
        <f t="shared" si="17"/>
        <v>168</v>
      </c>
      <c r="X28" s="23">
        <f t="shared" si="6"/>
        <v>4.0929141825401478</v>
      </c>
      <c r="Y28" s="96">
        <f t="shared" si="18"/>
        <v>0</v>
      </c>
      <c r="Z28" s="23">
        <f t="shared" si="8"/>
        <v>0</v>
      </c>
      <c r="AA28" s="107">
        <f t="shared" si="9"/>
        <v>92.802526148333001</v>
      </c>
      <c r="AB28" s="23">
        <f t="shared" si="10"/>
        <v>14.108234737532328</v>
      </c>
      <c r="AD28" s="107">
        <f t="shared" si="11"/>
        <v>14.513872921648202</v>
      </c>
      <c r="AE28" s="23">
        <f t="shared" si="12"/>
        <v>0</v>
      </c>
      <c r="AF28" s="108">
        <f t="shared" si="13"/>
        <v>0.2165840381063478</v>
      </c>
      <c r="AH28" s="141">
        <f t="shared" si="15"/>
        <v>0.8899279419856384</v>
      </c>
      <c r="AJ28" s="104">
        <f t="shared" si="16"/>
        <v>109.73496084638293</v>
      </c>
      <c r="AK28" s="23">
        <f t="shared" si="14"/>
        <v>14.108234737532328</v>
      </c>
    </row>
    <row r="29" spans="1:37" x14ac:dyDescent="0.35">
      <c r="B29" s="122"/>
      <c r="C29" s="24"/>
      <c r="D29" s="24"/>
      <c r="E29" s="24"/>
      <c r="F29" s="131" t="s">
        <v>50</v>
      </c>
      <c r="G29" s="104">
        <f>SUM(G4:G28)</f>
        <v>109.73496084638293</v>
      </c>
      <c r="H29" s="96"/>
      <c r="I29" s="96"/>
      <c r="J29" s="96"/>
      <c r="K29" s="96"/>
      <c r="L29" s="96"/>
      <c r="M29" s="96"/>
      <c r="N29" s="96"/>
      <c r="O29" s="96"/>
    </row>
    <row r="30" spans="1:37" x14ac:dyDescent="0.35">
      <c r="B30" s="122"/>
      <c r="C30" s="24"/>
      <c r="D30" s="24"/>
      <c r="E30" s="24"/>
      <c r="F30" s="24"/>
      <c r="H30" s="96"/>
      <c r="I30" s="96"/>
      <c r="J30" s="96"/>
      <c r="K30" s="96"/>
      <c r="L30" s="96"/>
      <c r="M30" s="96"/>
      <c r="N30" s="96"/>
      <c r="O30" s="96"/>
    </row>
    <row r="31" spans="1:37" x14ac:dyDescent="0.35">
      <c r="B31" s="123"/>
      <c r="C31" s="125"/>
      <c r="F31" s="24"/>
      <c r="H31" s="96"/>
      <c r="I31" s="96"/>
      <c r="J31" s="96"/>
      <c r="K31" s="96"/>
      <c r="L31" s="96"/>
      <c r="M31" s="96"/>
      <c r="N31" s="96"/>
      <c r="O31" s="96"/>
    </row>
    <row r="32" spans="1:37" x14ac:dyDescent="0.35">
      <c r="B32" s="123"/>
      <c r="C32" s="125"/>
      <c r="H32" s="96"/>
      <c r="I32" s="96"/>
      <c r="J32" s="96"/>
      <c r="K32" s="96"/>
      <c r="L32" s="96"/>
      <c r="M32" s="96"/>
      <c r="N32" s="96"/>
      <c r="O32" s="96"/>
    </row>
    <row r="33" spans="1:39" x14ac:dyDescent="0.35">
      <c r="B33" s="96"/>
      <c r="C33" s="96"/>
      <c r="H33" s="96"/>
      <c r="I33" s="96"/>
      <c r="J33" s="96"/>
      <c r="K33" s="96"/>
      <c r="L33" s="96"/>
      <c r="M33" s="96"/>
      <c r="N33" s="96"/>
      <c r="O33" s="96"/>
    </row>
    <row r="34" spans="1:39" x14ac:dyDescent="0.35">
      <c r="B34" s="96"/>
      <c r="C34" s="96"/>
      <c r="H34" s="96"/>
      <c r="I34" s="96"/>
      <c r="J34" s="96"/>
      <c r="K34" s="96"/>
      <c r="L34" s="96"/>
      <c r="M34" s="96"/>
      <c r="N34" s="96"/>
      <c r="O34" s="96"/>
    </row>
    <row r="35" spans="1:39" x14ac:dyDescent="0.35">
      <c r="H35" s="96"/>
      <c r="I35" s="96"/>
      <c r="J35" s="96"/>
      <c r="K35" s="96"/>
      <c r="L35" s="96"/>
      <c r="M35" s="96"/>
      <c r="N35" s="96"/>
      <c r="O35" s="96"/>
    </row>
    <row r="36" spans="1:39" x14ac:dyDescent="0.35">
      <c r="H36" s="96"/>
      <c r="I36" s="96"/>
      <c r="J36" s="96"/>
      <c r="K36" s="96"/>
      <c r="L36" s="96"/>
      <c r="M36" s="96"/>
      <c r="N36" s="96"/>
      <c r="O36" s="96"/>
    </row>
    <row r="37" spans="1:39" x14ac:dyDescent="0.35">
      <c r="H37" s="96"/>
      <c r="I37" s="96"/>
      <c r="J37" s="96"/>
      <c r="K37" s="96"/>
      <c r="L37" s="96"/>
      <c r="M37" s="96"/>
      <c r="N37" s="96"/>
      <c r="O37" s="96"/>
    </row>
    <row r="38" spans="1:39" x14ac:dyDescent="0.35">
      <c r="H38" s="96"/>
      <c r="I38" s="96"/>
      <c r="J38" s="96"/>
      <c r="K38" s="96"/>
      <c r="L38" s="96"/>
      <c r="M38" s="96"/>
      <c r="N38" s="96"/>
      <c r="O38" s="96"/>
    </row>
    <row r="39" spans="1:39" x14ac:dyDescent="0.35">
      <c r="H39" s="96"/>
      <c r="I39" s="96"/>
      <c r="J39" s="96"/>
      <c r="K39" s="96"/>
      <c r="L39" s="96"/>
      <c r="M39" s="96"/>
      <c r="N39" s="96"/>
      <c r="O39" s="96"/>
    </row>
    <row r="40" spans="1:39" x14ac:dyDescent="0.35">
      <c r="H40" s="96"/>
      <c r="I40" s="96"/>
      <c r="J40" s="96"/>
      <c r="K40" s="96"/>
      <c r="L40" s="96"/>
      <c r="M40" s="96"/>
      <c r="N40" s="96"/>
      <c r="O40" s="96"/>
    </row>
    <row r="41" spans="1:39" x14ac:dyDescent="0.35">
      <c r="H41" s="96"/>
      <c r="I41" s="96"/>
      <c r="J41" s="96"/>
      <c r="K41" s="96"/>
      <c r="L41" s="96"/>
      <c r="M41" s="96"/>
      <c r="N41" s="96"/>
      <c r="O41" s="96"/>
    </row>
    <row r="42" spans="1:39" x14ac:dyDescent="0.35">
      <c r="H42" s="96"/>
      <c r="I42" s="96"/>
      <c r="J42" s="96"/>
      <c r="K42" s="96"/>
      <c r="L42" s="96"/>
      <c r="M42" s="96"/>
      <c r="N42" s="96"/>
      <c r="O42" s="96"/>
    </row>
    <row r="43" spans="1:39" x14ac:dyDescent="0.35">
      <c r="H43" s="96"/>
      <c r="I43" s="96"/>
      <c r="J43" s="96"/>
      <c r="K43" s="96"/>
      <c r="L43" s="96"/>
      <c r="M43" s="96"/>
      <c r="N43" s="96"/>
      <c r="O43" s="96"/>
    </row>
    <row r="44" spans="1:39" x14ac:dyDescent="0.35">
      <c r="H44" s="96"/>
      <c r="I44" s="96"/>
      <c r="J44" s="96"/>
      <c r="K44" s="96"/>
      <c r="L44" s="96"/>
      <c r="M44" s="96"/>
      <c r="N44" s="96"/>
      <c r="O44" s="96"/>
    </row>
    <row r="45" spans="1:39" s="132" customFormat="1" x14ac:dyDescent="0.35">
      <c r="H45" s="96"/>
      <c r="I45" s="96"/>
      <c r="J45" s="96"/>
      <c r="K45" s="96"/>
      <c r="L45" s="96"/>
      <c r="M45" s="96"/>
      <c r="N45" s="96"/>
      <c r="O45" s="96"/>
      <c r="AL45" s="135"/>
      <c r="AM45" s="96"/>
    </row>
    <row r="46" spans="1:39" ht="21" x14ac:dyDescent="0.5">
      <c r="A46" s="96"/>
      <c r="B46" s="134" t="s">
        <v>254</v>
      </c>
      <c r="C46" s="136">
        <f>C1</f>
        <v>2025</v>
      </c>
      <c r="H46" s="96"/>
      <c r="I46" s="96"/>
      <c r="J46" s="96"/>
      <c r="K46" s="96"/>
      <c r="L46" s="96"/>
      <c r="M46" s="96"/>
      <c r="N46" s="96"/>
      <c r="O46" s="96"/>
      <c r="W46" s="23" t="s">
        <v>202</v>
      </c>
      <c r="AB46" s="95"/>
    </row>
    <row r="47" spans="1:39" x14ac:dyDescent="0.35">
      <c r="A47" s="96"/>
      <c r="H47" s="96"/>
      <c r="I47" s="96"/>
      <c r="J47" s="96"/>
      <c r="K47" s="96"/>
      <c r="L47" s="96"/>
      <c r="M47" s="96"/>
      <c r="N47" s="96"/>
      <c r="O47" s="96"/>
      <c r="T47" s="99" t="s">
        <v>138</v>
      </c>
      <c r="W47" s="99">
        <v>1.7</v>
      </c>
      <c r="X47" s="23" t="s">
        <v>174</v>
      </c>
      <c r="Z47" s="100">
        <v>0</v>
      </c>
      <c r="AA47" s="23" t="s">
        <v>175</v>
      </c>
      <c r="AC47" s="101">
        <v>0</v>
      </c>
    </row>
    <row r="48" spans="1:39" ht="72.5" x14ac:dyDescent="0.35">
      <c r="A48" s="96"/>
      <c r="B48" s="102" t="s">
        <v>173</v>
      </c>
      <c r="C48" s="103" t="s">
        <v>95</v>
      </c>
      <c r="D48" s="103" t="s">
        <v>172</v>
      </c>
      <c r="E48" s="103" t="s">
        <v>231</v>
      </c>
      <c r="F48" s="103" t="s">
        <v>96</v>
      </c>
      <c r="G48" s="103" t="s">
        <v>205</v>
      </c>
      <c r="H48" s="176" t="s">
        <v>99</v>
      </c>
      <c r="I48" s="176" t="s">
        <v>97</v>
      </c>
      <c r="J48" s="176" t="s">
        <v>100</v>
      </c>
      <c r="K48" s="176" t="s">
        <v>101</v>
      </c>
      <c r="L48" s="176" t="s">
        <v>102</v>
      </c>
      <c r="M48" s="176" t="s">
        <v>129</v>
      </c>
      <c r="N48" s="176" t="s">
        <v>130</v>
      </c>
      <c r="O48" s="176" t="s">
        <v>132</v>
      </c>
      <c r="P48" s="103" t="s">
        <v>133</v>
      </c>
      <c r="Q48" s="103" t="s">
        <v>131</v>
      </c>
      <c r="R48" s="117" t="s">
        <v>136</v>
      </c>
      <c r="S48" s="103" t="s">
        <v>135</v>
      </c>
      <c r="T48" s="103" t="s">
        <v>134</v>
      </c>
      <c r="U48" s="103" t="s">
        <v>103</v>
      </c>
      <c r="V48" s="117" t="s">
        <v>108</v>
      </c>
      <c r="W48" s="103" t="s">
        <v>199</v>
      </c>
      <c r="X48" s="103" t="s">
        <v>104</v>
      </c>
      <c r="Y48" s="103" t="s">
        <v>105</v>
      </c>
      <c r="Z48" s="103" t="s">
        <v>106</v>
      </c>
      <c r="AA48" s="103" t="s">
        <v>137</v>
      </c>
      <c r="AB48" s="117" t="s">
        <v>107</v>
      </c>
      <c r="AD48" s="103" t="s">
        <v>167</v>
      </c>
      <c r="AE48" s="103" t="s">
        <v>168</v>
      </c>
      <c r="AF48" s="103" t="s">
        <v>169</v>
      </c>
      <c r="AJ48" s="103" t="s">
        <v>177</v>
      </c>
      <c r="AK48" s="103" t="s">
        <v>176</v>
      </c>
    </row>
    <row r="49" spans="1:37" x14ac:dyDescent="0.35">
      <c r="A49" s="96">
        <v>20</v>
      </c>
      <c r="B49" s="120" t="s">
        <v>162</v>
      </c>
      <c r="C49" s="111" t="s">
        <v>157</v>
      </c>
      <c r="D49" s="111" t="s">
        <v>170</v>
      </c>
      <c r="E49" s="111"/>
      <c r="F49" s="111" t="s">
        <v>158</v>
      </c>
      <c r="G49" s="146">
        <f>'time-factors'!C$36*'time-factors'!B70</f>
        <v>2.3465092973186188</v>
      </c>
      <c r="H49" s="166">
        <f>'time-factors'!K70</f>
        <v>0.14249999999999999</v>
      </c>
      <c r="I49" s="168" t="s">
        <v>166</v>
      </c>
      <c r="J49" s="96">
        <f>'time-factors'!P$46</f>
        <v>20</v>
      </c>
      <c r="K49" s="170">
        <f>'time-factors'!J$46</f>
        <v>0.05</v>
      </c>
      <c r="L49" s="172">
        <f t="shared" ref="L49:L73" si="19">PMT(K49,J49,-H49)</f>
        <v>1.1434568674673511E-2</v>
      </c>
      <c r="M49" s="171">
        <v>0.02</v>
      </c>
      <c r="N49" s="168">
        <f t="shared" ref="N49:N73" si="20">M49*H49</f>
        <v>2.8499999999999997E-3</v>
      </c>
      <c r="O49" s="168">
        <v>1.5</v>
      </c>
      <c r="P49" s="111">
        <v>200</v>
      </c>
      <c r="Q49" s="115">
        <f t="shared" ref="Q49:Q73" si="21">P49*O49*0.001</f>
        <v>0.3</v>
      </c>
      <c r="R49" s="114">
        <f t="shared" ref="R49:R73" si="22">L49+N49+Q49</f>
        <v>0.31428456867467353</v>
      </c>
      <c r="S49" s="114">
        <f>2*O49</f>
        <v>3</v>
      </c>
      <c r="T49" s="114">
        <v>0.1</v>
      </c>
      <c r="U49" s="111">
        <f t="shared" ref="U49:U73" si="23">T49*S49</f>
        <v>0.30000000000000004</v>
      </c>
      <c r="V49" s="111">
        <f t="shared" ref="V49:V73" si="24">R49/U49</f>
        <v>1.0476152289155782</v>
      </c>
      <c r="W49" s="111">
        <v>200</v>
      </c>
      <c r="X49" s="111">
        <f t="shared" ref="X49:X73" si="25">W49*S49*0.001</f>
        <v>0.6</v>
      </c>
      <c r="Y49" s="111">
        <f t="shared" ref="Y49:Y55" si="26">$AC$2</f>
        <v>0</v>
      </c>
      <c r="Z49" s="111">
        <f t="shared" ref="Z49:Z73" si="27">Y49*U49</f>
        <v>0</v>
      </c>
      <c r="AA49" s="114">
        <f t="shared" ref="AA49:AA73" si="28">R49-X49-Z49</f>
        <v>-0.28571543132532645</v>
      </c>
      <c r="AB49" s="111">
        <f t="shared" ref="AB49:AB73" si="29">AA49/U49</f>
        <v>-0.95238477108442132</v>
      </c>
      <c r="AC49" s="111"/>
      <c r="AD49" s="107">
        <f t="shared" ref="AD49:AD73" si="30">L49/U49</f>
        <v>3.8115228915578364E-2</v>
      </c>
      <c r="AE49" s="23">
        <f t="shared" ref="AE49:AE73" si="31">N49/U49</f>
        <v>9.499999999999998E-3</v>
      </c>
      <c r="AF49" s="108">
        <f t="shared" ref="AF49:AF73" si="32">Q49/U49</f>
        <v>0.99999999999999978</v>
      </c>
      <c r="AH49" s="104">
        <f>G49</f>
        <v>2.3465092973186188</v>
      </c>
      <c r="AJ49" s="104">
        <f>AH49</f>
        <v>2.3465092973186188</v>
      </c>
      <c r="AK49" s="23">
        <f t="shared" ref="AK49:AK73" si="33">AB49</f>
        <v>-0.95238477108442132</v>
      </c>
    </row>
    <row r="50" spans="1:37" x14ac:dyDescent="0.35">
      <c r="A50" s="96">
        <v>21</v>
      </c>
      <c r="B50" s="120" t="s">
        <v>160</v>
      </c>
      <c r="C50" s="48" t="s">
        <v>163</v>
      </c>
      <c r="D50" s="111" t="s">
        <v>170</v>
      </c>
      <c r="E50" s="111"/>
      <c r="F50" s="48" t="s">
        <v>158</v>
      </c>
      <c r="G50" s="146">
        <f>'time-factors'!C$36*'time-factors'!B71</f>
        <v>4.3019337117508005</v>
      </c>
      <c r="H50" s="166">
        <f>'time-factors'!K71</f>
        <v>0.23749999999999999</v>
      </c>
      <c r="I50" s="168" t="s">
        <v>166</v>
      </c>
      <c r="J50" s="96">
        <f>'time-factors'!P$46</f>
        <v>20</v>
      </c>
      <c r="K50" s="170">
        <f>'time-factors'!J$46</f>
        <v>0.05</v>
      </c>
      <c r="L50" s="172">
        <f t="shared" si="19"/>
        <v>1.9057614457789186E-2</v>
      </c>
      <c r="M50" s="171">
        <v>0.02</v>
      </c>
      <c r="N50" s="168">
        <f t="shared" si="20"/>
        <v>4.7499999999999999E-3</v>
      </c>
      <c r="O50" s="168">
        <v>4.4000000000000004</v>
      </c>
      <c r="P50" s="111">
        <v>200</v>
      </c>
      <c r="Q50" s="115">
        <f t="shared" si="21"/>
        <v>0.88000000000000012</v>
      </c>
      <c r="R50" s="114">
        <f t="shared" si="22"/>
        <v>0.90380761445778934</v>
      </c>
      <c r="S50" s="114">
        <f>1.2*O50</f>
        <v>5.28</v>
      </c>
      <c r="T50" s="114">
        <v>0.1</v>
      </c>
      <c r="U50" s="111">
        <f t="shared" si="23"/>
        <v>0.52800000000000002</v>
      </c>
      <c r="V50" s="111">
        <f t="shared" si="24"/>
        <v>1.7117568455639949</v>
      </c>
      <c r="W50" s="111">
        <v>200</v>
      </c>
      <c r="X50" s="111">
        <f t="shared" si="25"/>
        <v>1.056</v>
      </c>
      <c r="Y50" s="111">
        <f t="shared" si="26"/>
        <v>0</v>
      </c>
      <c r="Z50" s="111">
        <f t="shared" si="27"/>
        <v>0</v>
      </c>
      <c r="AA50" s="114">
        <f t="shared" si="28"/>
        <v>-0.15219238554221071</v>
      </c>
      <c r="AB50" s="111">
        <f t="shared" si="29"/>
        <v>-0.28824315443600512</v>
      </c>
      <c r="AC50" s="111"/>
      <c r="AD50" s="107">
        <f t="shared" si="30"/>
        <v>3.6093966776115878E-2</v>
      </c>
      <c r="AE50" s="23">
        <f t="shared" si="31"/>
        <v>8.9962121212121202E-3</v>
      </c>
      <c r="AF50" s="108">
        <f t="shared" si="32"/>
        <v>1.6666666666666667</v>
      </c>
      <c r="AH50" s="104">
        <f t="shared" ref="AH50:AH73" si="34">G50</f>
        <v>4.3019337117508005</v>
      </c>
      <c r="AJ50" s="104">
        <f>AJ49+AH50</f>
        <v>6.6484430090694193</v>
      </c>
      <c r="AK50" s="23">
        <f t="shared" si="33"/>
        <v>-0.28824315443600512</v>
      </c>
    </row>
    <row r="51" spans="1:37" ht="29" x14ac:dyDescent="0.35">
      <c r="A51" s="96">
        <v>22</v>
      </c>
      <c r="B51" s="120" t="s">
        <v>161</v>
      </c>
      <c r="C51" s="48" t="s">
        <v>163</v>
      </c>
      <c r="D51" s="111" t="s">
        <v>170</v>
      </c>
      <c r="E51" s="111"/>
      <c r="F51" s="48" t="s">
        <v>158</v>
      </c>
      <c r="G51" s="146">
        <f>'time-factors'!C$36*'time-factors'!B72</f>
        <v>2.3465092973186188</v>
      </c>
      <c r="H51" s="166">
        <f>'time-factors'!K72</f>
        <v>0.47499999999999998</v>
      </c>
      <c r="I51" s="168" t="s">
        <v>166</v>
      </c>
      <c r="J51" s="96">
        <f>'time-factors'!P$46</f>
        <v>20</v>
      </c>
      <c r="K51" s="170">
        <f>'time-factors'!J$46</f>
        <v>0.05</v>
      </c>
      <c r="L51" s="172">
        <f t="shared" si="19"/>
        <v>3.8115228915578371E-2</v>
      </c>
      <c r="M51" s="171">
        <v>0.02</v>
      </c>
      <c r="N51" s="168">
        <f t="shared" si="20"/>
        <v>9.4999999999999998E-3</v>
      </c>
      <c r="O51" s="168">
        <v>4.4000000000000004</v>
      </c>
      <c r="P51" s="111">
        <v>200</v>
      </c>
      <c r="Q51" s="115">
        <f t="shared" si="21"/>
        <v>0.88000000000000012</v>
      </c>
      <c r="R51" s="114">
        <f t="shared" si="22"/>
        <v>0.92761522891557846</v>
      </c>
      <c r="S51" s="114">
        <f>1.2*O51</f>
        <v>5.28</v>
      </c>
      <c r="T51" s="114">
        <v>0.1</v>
      </c>
      <c r="U51" s="111">
        <f t="shared" si="23"/>
        <v>0.52800000000000002</v>
      </c>
      <c r="V51" s="111">
        <f t="shared" si="24"/>
        <v>1.7568470244613228</v>
      </c>
      <c r="W51" s="111">
        <v>200</v>
      </c>
      <c r="X51" s="111">
        <f t="shared" si="25"/>
        <v>1.056</v>
      </c>
      <c r="Y51" s="111">
        <f t="shared" si="26"/>
        <v>0</v>
      </c>
      <c r="Z51" s="111">
        <f t="shared" si="27"/>
        <v>0</v>
      </c>
      <c r="AA51" s="114">
        <f t="shared" si="28"/>
        <v>-0.12838477108442159</v>
      </c>
      <c r="AB51" s="111">
        <f t="shared" si="29"/>
        <v>-0.24315297553867724</v>
      </c>
      <c r="AC51" s="111"/>
      <c r="AD51" s="107">
        <f t="shared" si="30"/>
        <v>7.2187933552231756E-2</v>
      </c>
      <c r="AE51" s="23">
        <f t="shared" si="31"/>
        <v>1.799242424242424E-2</v>
      </c>
      <c r="AF51" s="108">
        <f t="shared" si="32"/>
        <v>1.6666666666666667</v>
      </c>
      <c r="AH51" s="104">
        <f t="shared" si="34"/>
        <v>2.3465092973186188</v>
      </c>
      <c r="AJ51" s="104">
        <f t="shared" ref="AJ51:AJ73" si="35">AJ50+AH51</f>
        <v>8.9949523063880381</v>
      </c>
      <c r="AK51" s="23">
        <f t="shared" si="33"/>
        <v>-0.24315297553867724</v>
      </c>
    </row>
    <row r="52" spans="1:37" x14ac:dyDescent="0.35">
      <c r="A52" s="96">
        <v>24</v>
      </c>
      <c r="B52" s="120" t="s">
        <v>165</v>
      </c>
      <c r="C52" s="120" t="s">
        <v>165</v>
      </c>
      <c r="D52" s="111" t="s">
        <v>170</v>
      </c>
      <c r="E52" s="111"/>
      <c r="F52" s="48" t="s">
        <v>158</v>
      </c>
      <c r="G52" s="146">
        <f>'time-factors'!C$36*'time-factors'!B74</f>
        <v>1.5643395315457458</v>
      </c>
      <c r="H52" s="166">
        <f>'time-factors'!K74</f>
        <v>0.47499999999999998</v>
      </c>
      <c r="I52" s="168" t="s">
        <v>166</v>
      </c>
      <c r="J52" s="96">
        <f>'time-factors'!P$46</f>
        <v>20</v>
      </c>
      <c r="K52" s="170">
        <f>'time-factors'!J$46</f>
        <v>0.05</v>
      </c>
      <c r="L52" s="172">
        <f t="shared" si="19"/>
        <v>3.8115228915578371E-2</v>
      </c>
      <c r="M52" s="171">
        <v>0.02</v>
      </c>
      <c r="N52" s="168">
        <f t="shared" si="20"/>
        <v>9.4999999999999998E-3</v>
      </c>
      <c r="O52" s="168">
        <v>4.4000000000000004</v>
      </c>
      <c r="P52" s="111">
        <v>200</v>
      </c>
      <c r="Q52" s="115">
        <f t="shared" si="21"/>
        <v>0.88000000000000012</v>
      </c>
      <c r="R52" s="114">
        <f t="shared" si="22"/>
        <v>0.92761522891557846</v>
      </c>
      <c r="S52" s="114">
        <f>1.2*O52</f>
        <v>5.28</v>
      </c>
      <c r="T52" s="114">
        <v>0.1</v>
      </c>
      <c r="U52" s="111">
        <f t="shared" si="23"/>
        <v>0.52800000000000002</v>
      </c>
      <c r="V52" s="111">
        <f t="shared" si="24"/>
        <v>1.7568470244613228</v>
      </c>
      <c r="W52" s="111">
        <v>200</v>
      </c>
      <c r="X52" s="111">
        <f t="shared" si="25"/>
        <v>1.056</v>
      </c>
      <c r="Y52" s="111">
        <f t="shared" si="26"/>
        <v>0</v>
      </c>
      <c r="Z52" s="111">
        <f t="shared" si="27"/>
        <v>0</v>
      </c>
      <c r="AA52" s="114">
        <f t="shared" si="28"/>
        <v>-0.12838477108442159</v>
      </c>
      <c r="AB52" s="111">
        <f t="shared" si="29"/>
        <v>-0.24315297553867724</v>
      </c>
      <c r="AC52" s="111"/>
      <c r="AD52" s="107">
        <f t="shared" si="30"/>
        <v>7.2187933552231756E-2</v>
      </c>
      <c r="AE52" s="23">
        <f t="shared" si="31"/>
        <v>1.799242424242424E-2</v>
      </c>
      <c r="AF52" s="108">
        <f t="shared" si="32"/>
        <v>1.6666666666666667</v>
      </c>
      <c r="AH52" s="104">
        <f t="shared" si="34"/>
        <v>1.5643395315457458</v>
      </c>
      <c r="AJ52" s="104">
        <f t="shared" si="35"/>
        <v>10.559291837933785</v>
      </c>
      <c r="AK52" s="23">
        <f t="shared" si="33"/>
        <v>-0.24315297553867724</v>
      </c>
    </row>
    <row r="53" spans="1:37" x14ac:dyDescent="0.35">
      <c r="A53" s="96">
        <v>23</v>
      </c>
      <c r="B53" s="120" t="s">
        <v>164</v>
      </c>
      <c r="C53" s="48" t="s">
        <v>163</v>
      </c>
      <c r="D53" s="111" t="s">
        <v>170</v>
      </c>
      <c r="E53" s="111"/>
      <c r="F53" s="48" t="s">
        <v>158</v>
      </c>
      <c r="G53" s="146">
        <f>'time-factors'!C$36*'time-factors'!B73</f>
        <v>3.9108488288643644</v>
      </c>
      <c r="H53" s="166">
        <f>'time-factors'!K73</f>
        <v>0.95</v>
      </c>
      <c r="I53" s="168" t="s">
        <v>166</v>
      </c>
      <c r="J53" s="96">
        <f>'time-factors'!P$46</f>
        <v>20</v>
      </c>
      <c r="K53" s="170">
        <f>'time-factors'!J$46</f>
        <v>0.05</v>
      </c>
      <c r="L53" s="172">
        <f t="shared" si="19"/>
        <v>7.6230457831156742E-2</v>
      </c>
      <c r="M53" s="171">
        <v>0.02</v>
      </c>
      <c r="N53" s="168">
        <f t="shared" si="20"/>
        <v>1.9E-2</v>
      </c>
      <c r="O53" s="168">
        <v>4.4000000000000004</v>
      </c>
      <c r="P53" s="111">
        <v>200</v>
      </c>
      <c r="Q53" s="115">
        <f t="shared" si="21"/>
        <v>0.88000000000000012</v>
      </c>
      <c r="R53" s="114">
        <f t="shared" si="22"/>
        <v>0.97523045783115681</v>
      </c>
      <c r="S53" s="114">
        <f>1.2*O53</f>
        <v>5.28</v>
      </c>
      <c r="T53" s="114">
        <v>0.1</v>
      </c>
      <c r="U53" s="111">
        <f t="shared" si="23"/>
        <v>0.52800000000000002</v>
      </c>
      <c r="V53" s="111">
        <f t="shared" si="24"/>
        <v>1.8470273822559786</v>
      </c>
      <c r="W53" s="111">
        <v>200</v>
      </c>
      <c r="X53" s="111">
        <f t="shared" si="25"/>
        <v>1.056</v>
      </c>
      <c r="Y53" s="111">
        <f t="shared" si="26"/>
        <v>0</v>
      </c>
      <c r="Z53" s="111">
        <f t="shared" si="27"/>
        <v>0</v>
      </c>
      <c r="AA53" s="114">
        <f t="shared" si="28"/>
        <v>-8.0769542168843245E-2</v>
      </c>
      <c r="AB53" s="111">
        <f t="shared" si="29"/>
        <v>-0.15297261774402129</v>
      </c>
      <c r="AC53" s="111"/>
      <c r="AD53" s="107">
        <f t="shared" si="30"/>
        <v>0.14437586710446351</v>
      </c>
      <c r="AE53" s="23">
        <f t="shared" si="31"/>
        <v>3.5984848484848481E-2</v>
      </c>
      <c r="AF53" s="108">
        <f t="shared" si="32"/>
        <v>1.6666666666666667</v>
      </c>
      <c r="AH53" s="104">
        <f t="shared" si="34"/>
        <v>3.9108488288643644</v>
      </c>
      <c r="AJ53" s="104">
        <f t="shared" si="35"/>
        <v>14.470140666798148</v>
      </c>
      <c r="AK53" s="23">
        <f t="shared" si="33"/>
        <v>-0.15297261774402129</v>
      </c>
    </row>
    <row r="54" spans="1:37" x14ac:dyDescent="0.35">
      <c r="A54" s="96">
        <v>19</v>
      </c>
      <c r="B54" s="120" t="s">
        <v>140</v>
      </c>
      <c r="C54" s="111" t="s">
        <v>157</v>
      </c>
      <c r="D54" s="111" t="s">
        <v>170</v>
      </c>
      <c r="E54" s="111"/>
      <c r="F54" s="111" t="s">
        <v>159</v>
      </c>
      <c r="G54" s="146">
        <f>'time-factors'!C$36*'time-factors'!B69</f>
        <v>4.8885610360804552</v>
      </c>
      <c r="H54" s="166">
        <f>'time-factors'!K69</f>
        <v>1.9</v>
      </c>
      <c r="I54" s="168" t="s">
        <v>166</v>
      </c>
      <c r="J54" s="96">
        <f>'time-factors'!P$45</f>
        <v>15</v>
      </c>
      <c r="K54" s="170">
        <f>'time-factors'!J$45</f>
        <v>0.05</v>
      </c>
      <c r="L54" s="172">
        <f t="shared" si="19"/>
        <v>0.18305034645756429</v>
      </c>
      <c r="M54" s="171">
        <v>0</v>
      </c>
      <c r="N54" s="168">
        <f t="shared" si="20"/>
        <v>0</v>
      </c>
      <c r="O54" s="168">
        <v>2.63</v>
      </c>
      <c r="P54" s="111">
        <v>200</v>
      </c>
      <c r="Q54" s="115">
        <f t="shared" si="21"/>
        <v>0.52600000000000002</v>
      </c>
      <c r="R54" s="114">
        <f t="shared" si="22"/>
        <v>0.70905034645756437</v>
      </c>
      <c r="S54" s="114">
        <f>3.5*O54</f>
        <v>9.2050000000000001</v>
      </c>
      <c r="T54" s="114">
        <v>0.18</v>
      </c>
      <c r="U54" s="111">
        <f t="shared" si="23"/>
        <v>1.6569</v>
      </c>
      <c r="V54" s="111">
        <f t="shared" si="24"/>
        <v>0.42793792410982218</v>
      </c>
      <c r="W54" s="116">
        <v>103</v>
      </c>
      <c r="X54" s="111">
        <f t="shared" si="25"/>
        <v>0.94811500000000004</v>
      </c>
      <c r="Y54" s="111">
        <f t="shared" si="26"/>
        <v>0</v>
      </c>
      <c r="Z54" s="111">
        <f t="shared" si="27"/>
        <v>0</v>
      </c>
      <c r="AA54" s="114">
        <f t="shared" si="28"/>
        <v>-0.23906465354243567</v>
      </c>
      <c r="AB54" s="111">
        <f t="shared" si="29"/>
        <v>-0.14428429811240007</v>
      </c>
      <c r="AC54" s="111"/>
      <c r="AD54" s="107">
        <f t="shared" si="30"/>
        <v>0.11047760664950468</v>
      </c>
      <c r="AE54" s="23">
        <f t="shared" si="31"/>
        <v>0</v>
      </c>
      <c r="AF54" s="108">
        <f t="shared" si="32"/>
        <v>0.31746031746031744</v>
      </c>
      <c r="AH54" s="104">
        <f t="shared" si="34"/>
        <v>4.8885610360804552</v>
      </c>
      <c r="AJ54" s="104">
        <f t="shared" si="35"/>
        <v>19.358701702878605</v>
      </c>
      <c r="AK54" s="23">
        <f t="shared" si="33"/>
        <v>-0.14428429811240007</v>
      </c>
    </row>
    <row r="55" spans="1:37" ht="29" x14ac:dyDescent="0.35">
      <c r="A55" s="96">
        <v>25</v>
      </c>
      <c r="B55" s="121" t="s">
        <v>204</v>
      </c>
      <c r="C55" s="24" t="s">
        <v>41</v>
      </c>
      <c r="D55" s="24" t="s">
        <v>198</v>
      </c>
      <c r="E55" s="24"/>
      <c r="F55" s="24" t="s">
        <v>203</v>
      </c>
      <c r="G55" s="147">
        <f>'time-factors'!C$36*'time-factors'!B75</f>
        <v>4.8885610360804552</v>
      </c>
      <c r="H55" s="166">
        <f>'time-factors'!K75</f>
        <v>3.8949999999999996</v>
      </c>
      <c r="I55" s="53" t="s">
        <v>166</v>
      </c>
      <c r="J55" s="96">
        <f>'time-factors'!P$47</f>
        <v>10</v>
      </c>
      <c r="K55" s="170">
        <f>'time-factors'!J$47</f>
        <v>0.05</v>
      </c>
      <c r="L55" s="55">
        <f t="shared" si="19"/>
        <v>0.50442031949045363</v>
      </c>
      <c r="M55" s="54">
        <v>0</v>
      </c>
      <c r="N55" s="53">
        <f t="shared" si="20"/>
        <v>0</v>
      </c>
      <c r="O55" s="53">
        <v>2.2000000000000002</v>
      </c>
      <c r="P55" s="53">
        <v>200</v>
      </c>
      <c r="Q55" s="56">
        <f t="shared" si="21"/>
        <v>0.44000000000000006</v>
      </c>
      <c r="R55" s="55">
        <f t="shared" si="22"/>
        <v>0.94442031949045369</v>
      </c>
      <c r="S55" s="59">
        <f>2*O55</f>
        <v>4.4000000000000004</v>
      </c>
      <c r="T55" s="59">
        <v>0.27</v>
      </c>
      <c r="U55" s="53">
        <f t="shared" si="23"/>
        <v>1.1880000000000002</v>
      </c>
      <c r="V55" s="53">
        <f t="shared" si="24"/>
        <v>0.79496659889768817</v>
      </c>
      <c r="W55" s="53">
        <v>200</v>
      </c>
      <c r="X55" s="57">
        <f t="shared" si="25"/>
        <v>0.88000000000000012</v>
      </c>
      <c r="Y55" s="53">
        <f t="shared" si="26"/>
        <v>0</v>
      </c>
      <c r="Z55" s="53">
        <f t="shared" si="27"/>
        <v>0</v>
      </c>
      <c r="AA55" s="55">
        <f t="shared" si="28"/>
        <v>6.442031949045357E-2</v>
      </c>
      <c r="AB55" s="53">
        <f t="shared" si="29"/>
        <v>5.4225858156947443E-2</v>
      </c>
      <c r="AC55" s="53"/>
      <c r="AD55" s="107">
        <f t="shared" si="30"/>
        <v>0.42459622852731782</v>
      </c>
      <c r="AE55" s="23">
        <f t="shared" si="31"/>
        <v>0</v>
      </c>
      <c r="AF55" s="108">
        <f t="shared" si="32"/>
        <v>0.37037037037037035</v>
      </c>
      <c r="AH55" s="104">
        <f t="shared" si="34"/>
        <v>4.8885610360804552</v>
      </c>
      <c r="AJ55" s="104">
        <f t="shared" si="35"/>
        <v>24.247262738959058</v>
      </c>
      <c r="AK55" s="23">
        <f t="shared" si="33"/>
        <v>5.4225858156947443E-2</v>
      </c>
    </row>
    <row r="56" spans="1:37" x14ac:dyDescent="0.35">
      <c r="A56" s="96">
        <v>12</v>
      </c>
      <c r="B56" s="118" t="s">
        <v>151</v>
      </c>
      <c r="C56" s="23" t="s">
        <v>139</v>
      </c>
      <c r="D56" s="23" t="s">
        <v>171</v>
      </c>
      <c r="E56" s="23" t="s">
        <v>128</v>
      </c>
      <c r="F56" s="23" t="s">
        <v>83</v>
      </c>
      <c r="G56" s="108">
        <f>'time-factors'!C$36*'time-factors'!B62</f>
        <v>0.39108488288643645</v>
      </c>
      <c r="H56" s="166">
        <f>'time-factors'!K62</f>
        <v>42.75</v>
      </c>
      <c r="I56" s="96" t="s">
        <v>98</v>
      </c>
      <c r="J56" s="96">
        <f>'time-factors'!P$43</f>
        <v>10</v>
      </c>
      <c r="K56" s="170">
        <f>'time-factors'!J$43</f>
        <v>0.05</v>
      </c>
      <c r="L56" s="173">
        <f t="shared" si="19"/>
        <v>5.536320579773272</v>
      </c>
      <c r="M56" s="170">
        <v>0</v>
      </c>
      <c r="N56" s="96">
        <f t="shared" si="20"/>
        <v>0</v>
      </c>
      <c r="O56" s="167" cm="1">
        <f t="array" ref="O56">IFERROR(_xlfn.IFS(E56="Heavy", 'vehicle E calcs'!$H$33,E56="Cars/vans",'vehicle E calcs'!$H$32),"")</f>
        <v>6.3768270755398833</v>
      </c>
      <c r="P56" s="106">
        <v>200</v>
      </c>
      <c r="Q56" s="108">
        <f t="shared" si="21"/>
        <v>1.2753654151079765</v>
      </c>
      <c r="R56" s="107">
        <f t="shared" si="22"/>
        <v>6.8116859948812483</v>
      </c>
      <c r="S56" s="107" cm="1">
        <f t="array" ref="S56">_xlfn.IFS(E56="Heavy", 'vehicle E calcs'!$T$21,E56="Cars/vans",'vehicle E calcs'!$S$21)*O56</f>
        <v>23.354986057632608</v>
      </c>
      <c r="T56" s="109">
        <v>0.27</v>
      </c>
      <c r="U56" s="23">
        <f t="shared" si="23"/>
        <v>6.3058462355608045</v>
      </c>
      <c r="V56" s="23">
        <f t="shared" si="24"/>
        <v>1.0802175854634453</v>
      </c>
      <c r="W56" s="106">
        <f t="shared" ref="W56:W73" si="36">W$2*105</f>
        <v>168</v>
      </c>
      <c r="X56" s="23">
        <f t="shared" si="25"/>
        <v>3.9236376576822782</v>
      </c>
      <c r="Y56" s="96">
        <f t="shared" ref="Y56:Y73" si="37">$Z$2</f>
        <v>0</v>
      </c>
      <c r="Z56" s="23">
        <f t="shared" si="27"/>
        <v>0</v>
      </c>
      <c r="AA56" s="107">
        <f t="shared" si="28"/>
        <v>2.88804833719897</v>
      </c>
      <c r="AB56" s="23">
        <f t="shared" si="29"/>
        <v>0.45799536324122314</v>
      </c>
      <c r="AD56" s="107">
        <f t="shared" si="30"/>
        <v>0.87796631458472352</v>
      </c>
      <c r="AE56" s="23">
        <f t="shared" si="31"/>
        <v>0</v>
      </c>
      <c r="AF56" s="108">
        <f t="shared" si="32"/>
        <v>0.20225127087872183</v>
      </c>
      <c r="AH56" s="104">
        <f t="shared" si="34"/>
        <v>0.39108488288643645</v>
      </c>
      <c r="AJ56" s="104">
        <f t="shared" si="35"/>
        <v>24.638347621845494</v>
      </c>
      <c r="AK56" s="23">
        <f t="shared" si="33"/>
        <v>0.45799536324122314</v>
      </c>
    </row>
    <row r="57" spans="1:37" x14ac:dyDescent="0.35">
      <c r="A57" s="96">
        <v>16</v>
      </c>
      <c r="B57" s="118" t="s">
        <v>154</v>
      </c>
      <c r="C57" s="23" t="s">
        <v>139</v>
      </c>
      <c r="D57" s="23" t="s">
        <v>171</v>
      </c>
      <c r="E57" s="23" t="s">
        <v>128</v>
      </c>
      <c r="F57" s="23" t="s">
        <v>83</v>
      </c>
      <c r="G57" s="108">
        <f>'time-factors'!C$36*'time-factors'!B66</f>
        <v>0.39108488288643645</v>
      </c>
      <c r="H57" s="166">
        <f>'time-factors'!K66</f>
        <v>42.75</v>
      </c>
      <c r="I57" s="96" t="s">
        <v>98</v>
      </c>
      <c r="J57" s="96">
        <f>'time-factors'!P$43</f>
        <v>10</v>
      </c>
      <c r="K57" s="170">
        <f>'time-factors'!J$43</f>
        <v>0.05</v>
      </c>
      <c r="L57" s="173">
        <f t="shared" si="19"/>
        <v>5.536320579773272</v>
      </c>
      <c r="M57" s="170">
        <v>0</v>
      </c>
      <c r="N57" s="96">
        <f t="shared" si="20"/>
        <v>0</v>
      </c>
      <c r="O57" s="167" cm="1">
        <f t="array" ref="O57">IFERROR(_xlfn.IFS(E57="Heavy", 'vehicle E calcs'!$H$33,E57="Cars/vans",'vehicle E calcs'!$H$32),"")</f>
        <v>6.3768270755398833</v>
      </c>
      <c r="P57" s="106">
        <v>200</v>
      </c>
      <c r="Q57" s="108">
        <f t="shared" si="21"/>
        <v>1.2753654151079765</v>
      </c>
      <c r="R57" s="107">
        <f t="shared" si="22"/>
        <v>6.8116859948812483</v>
      </c>
      <c r="S57" s="107" cm="1">
        <f t="array" ref="S57">_xlfn.IFS(E57="Heavy", 'vehicle E calcs'!$T$21,E57="Cars/vans",'vehicle E calcs'!$S$21)*O57</f>
        <v>23.354986057632608</v>
      </c>
      <c r="T57" s="109">
        <v>0.27</v>
      </c>
      <c r="U57" s="23">
        <f t="shared" si="23"/>
        <v>6.3058462355608045</v>
      </c>
      <c r="V57" s="23">
        <f t="shared" si="24"/>
        <v>1.0802175854634453</v>
      </c>
      <c r="W57" s="106">
        <f t="shared" si="36"/>
        <v>168</v>
      </c>
      <c r="X57" s="23">
        <f t="shared" si="25"/>
        <v>3.9236376576822782</v>
      </c>
      <c r="Y57" s="96">
        <f t="shared" si="37"/>
        <v>0</v>
      </c>
      <c r="Z57" s="23">
        <f t="shared" si="27"/>
        <v>0</v>
      </c>
      <c r="AA57" s="107">
        <f t="shared" si="28"/>
        <v>2.88804833719897</v>
      </c>
      <c r="AB57" s="23">
        <f t="shared" si="29"/>
        <v>0.45799536324122314</v>
      </c>
      <c r="AD57" s="107">
        <f t="shared" si="30"/>
        <v>0.87796631458472352</v>
      </c>
      <c r="AE57" s="23">
        <f t="shared" si="31"/>
        <v>0</v>
      </c>
      <c r="AF57" s="108">
        <f t="shared" si="32"/>
        <v>0.20225127087872183</v>
      </c>
      <c r="AH57" s="104">
        <f t="shared" si="34"/>
        <v>0.39108488288643645</v>
      </c>
      <c r="AJ57" s="104">
        <f t="shared" si="35"/>
        <v>25.029432504731929</v>
      </c>
      <c r="AK57" s="23">
        <f t="shared" si="33"/>
        <v>0.45799536324122314</v>
      </c>
    </row>
    <row r="58" spans="1:37" ht="45.5" x14ac:dyDescent="0.35">
      <c r="A58" s="96">
        <v>13</v>
      </c>
      <c r="B58" s="118" t="s">
        <v>232</v>
      </c>
      <c r="C58" s="23" t="s">
        <v>139</v>
      </c>
      <c r="D58" s="23" t="s">
        <v>171</v>
      </c>
      <c r="E58" s="23" t="s">
        <v>188</v>
      </c>
      <c r="F58" s="23" t="s">
        <v>83</v>
      </c>
      <c r="G58" s="108">
        <f>'time-factors'!C$36*'time-factors'!B63</f>
        <v>0.43019337117508011</v>
      </c>
      <c r="H58" s="166">
        <f>'time-factors'!K63</f>
        <v>73.625</v>
      </c>
      <c r="I58" s="96" t="s">
        <v>98</v>
      </c>
      <c r="J58" s="96">
        <f>'time-factors'!P$43</f>
        <v>10</v>
      </c>
      <c r="K58" s="170">
        <f>'time-factors'!J$43</f>
        <v>0.05</v>
      </c>
      <c r="L58" s="173">
        <f t="shared" si="19"/>
        <v>9.5347743318317466</v>
      </c>
      <c r="M58" s="170">
        <v>0</v>
      </c>
      <c r="N58" s="96">
        <f t="shared" si="20"/>
        <v>0</v>
      </c>
      <c r="O58" s="167" cm="1">
        <f t="array" ref="O58">IFERROR(_xlfn.IFS(E58="Heavy", 'vehicle E calcs'!$H$33,E58="Cars/vans",'vehicle E calcs'!$H$32),"")</f>
        <v>7.1233383316924828</v>
      </c>
      <c r="P58" s="106">
        <v>200</v>
      </c>
      <c r="Q58" s="108">
        <f t="shared" si="21"/>
        <v>1.4246676663384965</v>
      </c>
      <c r="R58" s="107">
        <f t="shared" si="22"/>
        <v>10.959441998170243</v>
      </c>
      <c r="S58" s="107" cm="1">
        <f t="array" ref="S58">_xlfn.IFS(E58="Heavy", 'vehicle E calcs'!$T$21,E58="Cars/vans",'vehicle E calcs'!$S$21)*O58</f>
        <v>24.362584419881831</v>
      </c>
      <c r="T58" s="109">
        <v>0.27</v>
      </c>
      <c r="U58" s="23">
        <f t="shared" si="23"/>
        <v>6.5778977933680949</v>
      </c>
      <c r="V58" s="23">
        <f t="shared" si="24"/>
        <v>1.666100985822502</v>
      </c>
      <c r="W58" s="106">
        <f t="shared" si="36"/>
        <v>168</v>
      </c>
      <c r="X58" s="23">
        <f t="shared" si="25"/>
        <v>4.0929141825401478</v>
      </c>
      <c r="Y58" s="96">
        <f t="shared" si="37"/>
        <v>0</v>
      </c>
      <c r="Z58" s="23">
        <f t="shared" si="27"/>
        <v>0</v>
      </c>
      <c r="AA58" s="107">
        <f t="shared" si="28"/>
        <v>6.8665278156300955</v>
      </c>
      <c r="AB58" s="23">
        <f t="shared" si="29"/>
        <v>1.0438787636002798</v>
      </c>
      <c r="AD58" s="107">
        <f t="shared" si="30"/>
        <v>1.4495169477161542</v>
      </c>
      <c r="AE58" s="23">
        <f t="shared" si="31"/>
        <v>0</v>
      </c>
      <c r="AF58" s="108">
        <f t="shared" si="32"/>
        <v>0.2165840381063478</v>
      </c>
      <c r="AH58" s="104">
        <f t="shared" si="34"/>
        <v>0.43019337117508011</v>
      </c>
      <c r="AJ58" s="104">
        <f t="shared" si="35"/>
        <v>25.459625875907008</v>
      </c>
      <c r="AK58" s="23">
        <f t="shared" si="33"/>
        <v>1.0438787636002798</v>
      </c>
    </row>
    <row r="59" spans="1:37" x14ac:dyDescent="0.35">
      <c r="A59" s="96">
        <v>11</v>
      </c>
      <c r="B59" s="118" t="s">
        <v>150</v>
      </c>
      <c r="C59" s="23" t="s">
        <v>139</v>
      </c>
      <c r="D59" s="23" t="s">
        <v>171</v>
      </c>
      <c r="E59" s="23" t="s">
        <v>128</v>
      </c>
      <c r="F59" s="23" t="s">
        <v>83</v>
      </c>
      <c r="G59" s="108">
        <f>'time-factors'!C$36*'time-factors'!B61</f>
        <v>0.19554244144321822</v>
      </c>
      <c r="H59" s="166">
        <f>'time-factors'!K61</f>
        <v>73.625</v>
      </c>
      <c r="I59" s="96" t="s">
        <v>98</v>
      </c>
      <c r="J59" s="96">
        <f>'time-factors'!P$43</f>
        <v>10</v>
      </c>
      <c r="K59" s="170">
        <f>'time-factors'!J$43</f>
        <v>0.05</v>
      </c>
      <c r="L59" s="173">
        <f t="shared" si="19"/>
        <v>9.5347743318317466</v>
      </c>
      <c r="M59" s="170">
        <v>0</v>
      </c>
      <c r="N59" s="96">
        <f t="shared" si="20"/>
        <v>0</v>
      </c>
      <c r="O59" s="167" cm="1">
        <f t="array" ref="O59">IFERROR(_xlfn.IFS(E59="Heavy", 'vehicle E calcs'!$H$33,E59="Cars/vans",'vehicle E calcs'!$H$32),"")</f>
        <v>6.3768270755398833</v>
      </c>
      <c r="P59" s="106">
        <v>200</v>
      </c>
      <c r="Q59" s="108">
        <f t="shared" si="21"/>
        <v>1.2753654151079765</v>
      </c>
      <c r="R59" s="107">
        <f t="shared" si="22"/>
        <v>10.810139746939724</v>
      </c>
      <c r="S59" s="107" cm="1">
        <f t="array" ref="S59">_xlfn.IFS(E59="Heavy", 'vehicle E calcs'!$T$21,E59="Cars/vans",'vehicle E calcs'!$S$21)*O59</f>
        <v>23.354986057632608</v>
      </c>
      <c r="T59" s="109">
        <v>0.27</v>
      </c>
      <c r="U59" s="23">
        <f t="shared" si="23"/>
        <v>6.3058462355608045</v>
      </c>
      <c r="V59" s="23">
        <f t="shared" si="24"/>
        <v>1.7143043682190793</v>
      </c>
      <c r="W59" s="106">
        <f t="shared" si="36"/>
        <v>168</v>
      </c>
      <c r="X59" s="23">
        <f t="shared" si="25"/>
        <v>3.9236376576822782</v>
      </c>
      <c r="Y59" s="96">
        <f t="shared" si="37"/>
        <v>0</v>
      </c>
      <c r="Z59" s="23">
        <f t="shared" si="27"/>
        <v>0</v>
      </c>
      <c r="AA59" s="107">
        <f t="shared" si="28"/>
        <v>6.886502089257446</v>
      </c>
      <c r="AB59" s="23">
        <f t="shared" si="29"/>
        <v>1.092082145996857</v>
      </c>
      <c r="AD59" s="107">
        <f t="shared" si="30"/>
        <v>1.5120530973403572</v>
      </c>
      <c r="AE59" s="23">
        <f t="shared" si="31"/>
        <v>0</v>
      </c>
      <c r="AF59" s="108">
        <f t="shared" si="32"/>
        <v>0.20225127087872183</v>
      </c>
      <c r="AH59" s="104">
        <f t="shared" si="34"/>
        <v>0.19554244144321822</v>
      </c>
      <c r="AJ59" s="104">
        <f t="shared" si="35"/>
        <v>25.655168317350228</v>
      </c>
      <c r="AK59" s="23">
        <f t="shared" si="33"/>
        <v>1.092082145996857</v>
      </c>
    </row>
    <row r="60" spans="1:37" x14ac:dyDescent="0.35">
      <c r="A60" s="96">
        <v>6</v>
      </c>
      <c r="B60" s="118" t="s">
        <v>146</v>
      </c>
      <c r="C60" s="23" t="s">
        <v>139</v>
      </c>
      <c r="D60" s="23" t="s">
        <v>171</v>
      </c>
      <c r="E60" s="23" t="s">
        <v>188</v>
      </c>
      <c r="F60" s="23" t="s">
        <v>83</v>
      </c>
      <c r="G60" s="108">
        <f>'time-factors'!C$36*'time-factors'!B56</f>
        <v>0.56707308018533287</v>
      </c>
      <c r="H60" s="166">
        <f>'time-factors'!K56</f>
        <v>141.21301600000001</v>
      </c>
      <c r="I60" s="96" t="s">
        <v>98</v>
      </c>
      <c r="J60" s="96">
        <f>'time-factors'!P$43</f>
        <v>10</v>
      </c>
      <c r="K60" s="170">
        <f>'time-factors'!J$43</f>
        <v>0.05</v>
      </c>
      <c r="L60" s="173">
        <f t="shared" si="19"/>
        <v>18.287731616670232</v>
      </c>
      <c r="M60" s="170">
        <v>0</v>
      </c>
      <c r="N60" s="96">
        <f t="shared" si="20"/>
        <v>0</v>
      </c>
      <c r="O60" s="167" cm="1">
        <f t="array" ref="O60">IFERROR(_xlfn.IFS(E60="Heavy", 'vehicle E calcs'!$H$33,E60="Cars/vans",'vehicle E calcs'!$H$32),"")</f>
        <v>7.1233383316924828</v>
      </c>
      <c r="P60" s="106">
        <v>200</v>
      </c>
      <c r="Q60" s="108">
        <f t="shared" si="21"/>
        <v>1.4246676663384965</v>
      </c>
      <c r="R60" s="107">
        <f t="shared" si="22"/>
        <v>19.712399283008729</v>
      </c>
      <c r="S60" s="107" cm="1">
        <f t="array" ref="S60">_xlfn.IFS(E60="Heavy", 'vehicle E calcs'!$T$21,E60="Cars/vans",'vehicle E calcs'!$S$21)*O60</f>
        <v>24.362584419881831</v>
      </c>
      <c r="T60" s="109">
        <v>0.27</v>
      </c>
      <c r="U60" s="23">
        <f t="shared" si="23"/>
        <v>6.5778977933680949</v>
      </c>
      <c r="V60" s="23">
        <f t="shared" si="24"/>
        <v>2.9967627807903878</v>
      </c>
      <c r="W60" s="106">
        <f t="shared" si="36"/>
        <v>168</v>
      </c>
      <c r="X60" s="23">
        <f t="shared" si="25"/>
        <v>4.0929141825401478</v>
      </c>
      <c r="Y60" s="96">
        <f t="shared" si="37"/>
        <v>0</v>
      </c>
      <c r="Z60" s="23">
        <f t="shared" si="27"/>
        <v>0</v>
      </c>
      <c r="AA60" s="107">
        <f t="shared" si="28"/>
        <v>15.61948510046858</v>
      </c>
      <c r="AB60" s="23">
        <f t="shared" si="29"/>
        <v>2.3745405585681656</v>
      </c>
      <c r="AD60" s="107">
        <f t="shared" si="30"/>
        <v>2.7801787426840403</v>
      </c>
      <c r="AE60" s="23">
        <f t="shared" si="31"/>
        <v>0</v>
      </c>
      <c r="AF60" s="108">
        <f t="shared" si="32"/>
        <v>0.2165840381063478</v>
      </c>
      <c r="AH60" s="104">
        <f t="shared" si="34"/>
        <v>0.56707308018533287</v>
      </c>
      <c r="AJ60" s="104">
        <f t="shared" si="35"/>
        <v>26.222241397535562</v>
      </c>
      <c r="AK60" s="23">
        <f t="shared" si="33"/>
        <v>2.3745405585681656</v>
      </c>
    </row>
    <row r="61" spans="1:37" x14ac:dyDescent="0.35">
      <c r="A61" s="96">
        <v>1</v>
      </c>
      <c r="B61" s="118" t="s">
        <v>141</v>
      </c>
      <c r="C61" s="23" t="s">
        <v>139</v>
      </c>
      <c r="D61" s="23" t="s">
        <v>171</v>
      </c>
      <c r="E61" s="23" t="s">
        <v>128</v>
      </c>
      <c r="F61" s="23" t="s">
        <v>83</v>
      </c>
      <c r="G61" s="108">
        <f>'time-factors'!C$36*'time-factors'!B51</f>
        <v>0.68439854505126374</v>
      </c>
      <c r="H61" s="166">
        <f>'time-factors'!K51</f>
        <v>189.12457499999999</v>
      </c>
      <c r="I61" s="96" t="s">
        <v>98</v>
      </c>
      <c r="J61" s="96">
        <f>'time-factors'!P$43</f>
        <v>10</v>
      </c>
      <c r="K61" s="170">
        <f>'time-factors'!J$43</f>
        <v>0.05</v>
      </c>
      <c r="L61" s="173">
        <f t="shared" si="19"/>
        <v>24.49249770089763</v>
      </c>
      <c r="M61" s="170">
        <v>0</v>
      </c>
      <c r="N61" s="96">
        <f t="shared" si="20"/>
        <v>0</v>
      </c>
      <c r="O61" s="167" cm="1">
        <f t="array" ref="O61">IFERROR(_xlfn.IFS(E61="Heavy", 'vehicle E calcs'!$H$33,E61="Cars/vans",'vehicle E calcs'!$H$32),"")</f>
        <v>6.3768270755398833</v>
      </c>
      <c r="P61" s="106">
        <v>200</v>
      </c>
      <c r="Q61" s="108">
        <f t="shared" si="21"/>
        <v>1.2753654151079765</v>
      </c>
      <c r="R61" s="107">
        <f t="shared" si="22"/>
        <v>25.767863116005607</v>
      </c>
      <c r="S61" s="107" cm="1">
        <f t="array" ref="S61">_xlfn.IFS(E61="Heavy", 'vehicle E calcs'!$T$21,E61="Cars/vans",'vehicle E calcs'!$S$21)*O61</f>
        <v>23.354986057632608</v>
      </c>
      <c r="T61" s="109">
        <v>0.27</v>
      </c>
      <c r="U61" s="23">
        <f t="shared" si="23"/>
        <v>6.3058462355608045</v>
      </c>
      <c r="V61" s="23">
        <f t="shared" si="24"/>
        <v>4.086344981057719</v>
      </c>
      <c r="W61" s="106">
        <f t="shared" si="36"/>
        <v>168</v>
      </c>
      <c r="X61" s="23">
        <f t="shared" si="25"/>
        <v>3.9236376576822782</v>
      </c>
      <c r="Y61" s="96">
        <f t="shared" si="37"/>
        <v>0</v>
      </c>
      <c r="Z61" s="23">
        <f t="shared" si="27"/>
        <v>0</v>
      </c>
      <c r="AA61" s="107">
        <f t="shared" si="28"/>
        <v>21.844225458323329</v>
      </c>
      <c r="AB61" s="23">
        <f t="shared" si="29"/>
        <v>3.4641227588354973</v>
      </c>
      <c r="AD61" s="107">
        <f t="shared" si="30"/>
        <v>3.8840937101789974</v>
      </c>
      <c r="AE61" s="23">
        <f t="shared" si="31"/>
        <v>0</v>
      </c>
      <c r="AF61" s="108">
        <f t="shared" si="32"/>
        <v>0.20225127087872183</v>
      </c>
      <c r="AH61" s="104">
        <f t="shared" si="34"/>
        <v>0.68439854505126374</v>
      </c>
      <c r="AJ61" s="104">
        <f t="shared" si="35"/>
        <v>26.906639942586825</v>
      </c>
      <c r="AK61" s="23">
        <f t="shared" si="33"/>
        <v>3.4641227588354973</v>
      </c>
    </row>
    <row r="62" spans="1:37" x14ac:dyDescent="0.35">
      <c r="A62" s="96">
        <v>4</v>
      </c>
      <c r="B62" s="118" t="s">
        <v>144</v>
      </c>
      <c r="C62" s="23" t="s">
        <v>139</v>
      </c>
      <c r="D62" s="23" t="s">
        <v>171</v>
      </c>
      <c r="E62" s="23" t="s">
        <v>188</v>
      </c>
      <c r="F62" s="23" t="s">
        <v>83</v>
      </c>
      <c r="G62" s="108">
        <f>'time-factors'!C$36*'time-factors'!B54</f>
        <v>0.29331366216482735</v>
      </c>
      <c r="H62" s="166">
        <f>'time-factors'!K54</f>
        <v>273.59999999999997</v>
      </c>
      <c r="I62" s="96" t="s">
        <v>98</v>
      </c>
      <c r="J62" s="96">
        <f>'time-factors'!P$43</f>
        <v>10</v>
      </c>
      <c r="K62" s="170">
        <f>'time-factors'!J$43</f>
        <v>0.05</v>
      </c>
      <c r="L62" s="173">
        <f t="shared" si="19"/>
        <v>35.432451710548939</v>
      </c>
      <c r="M62" s="170">
        <v>0</v>
      </c>
      <c r="N62" s="96">
        <f t="shared" si="20"/>
        <v>0</v>
      </c>
      <c r="O62" s="167" cm="1">
        <f t="array" ref="O62">IFERROR(_xlfn.IFS(E62="Heavy", 'vehicle E calcs'!$H$33,E62="Cars/vans",'vehicle E calcs'!$H$32),"")</f>
        <v>7.1233383316924828</v>
      </c>
      <c r="P62" s="106">
        <v>200</v>
      </c>
      <c r="Q62" s="108">
        <f t="shared" si="21"/>
        <v>1.4246676663384965</v>
      </c>
      <c r="R62" s="107">
        <f t="shared" si="22"/>
        <v>36.857119376887432</v>
      </c>
      <c r="S62" s="107" cm="1">
        <f t="array" ref="S62">_xlfn.IFS(E62="Heavy", 'vehicle E calcs'!$T$21,E62="Cars/vans",'vehicle E calcs'!$S$21)*O62</f>
        <v>24.362584419881831</v>
      </c>
      <c r="T62" s="109">
        <v>0.27</v>
      </c>
      <c r="U62" s="23">
        <f t="shared" si="23"/>
        <v>6.5778977933680949</v>
      </c>
      <c r="V62" s="23">
        <f t="shared" si="24"/>
        <v>5.6031760502644419</v>
      </c>
      <c r="W62" s="106">
        <f t="shared" si="36"/>
        <v>168</v>
      </c>
      <c r="X62" s="23">
        <f t="shared" si="25"/>
        <v>4.0929141825401478</v>
      </c>
      <c r="Y62" s="96">
        <f t="shared" si="37"/>
        <v>0</v>
      </c>
      <c r="Z62" s="23">
        <f t="shared" si="27"/>
        <v>0</v>
      </c>
      <c r="AA62" s="107">
        <f t="shared" si="28"/>
        <v>32.764205194347284</v>
      </c>
      <c r="AB62" s="23">
        <f t="shared" si="29"/>
        <v>4.9809538280422201</v>
      </c>
      <c r="AD62" s="107">
        <f t="shared" si="30"/>
        <v>5.3865920121580952</v>
      </c>
      <c r="AE62" s="23">
        <f t="shared" si="31"/>
        <v>0</v>
      </c>
      <c r="AF62" s="108">
        <f t="shared" si="32"/>
        <v>0.2165840381063478</v>
      </c>
      <c r="AH62" s="104">
        <f t="shared" si="34"/>
        <v>0.29331366216482735</v>
      </c>
      <c r="AJ62" s="104">
        <f t="shared" si="35"/>
        <v>27.199953604751652</v>
      </c>
      <c r="AK62" s="23">
        <f t="shared" si="33"/>
        <v>4.9809538280422201</v>
      </c>
    </row>
    <row r="63" spans="1:37" ht="29" x14ac:dyDescent="0.35">
      <c r="A63" s="96">
        <v>7</v>
      </c>
      <c r="B63" s="118" t="s">
        <v>147</v>
      </c>
      <c r="C63" s="23" t="s">
        <v>139</v>
      </c>
      <c r="D63" s="23" t="s">
        <v>171</v>
      </c>
      <c r="E63" s="23" t="s">
        <v>188</v>
      </c>
      <c r="F63" s="23" t="s">
        <v>83</v>
      </c>
      <c r="G63" s="108">
        <f>'time-factors'!C$36*'time-factors'!B57</f>
        <v>0.48885610360804554</v>
      </c>
      <c r="H63" s="166">
        <f>'time-factors'!K57</f>
        <v>273.59999999999997</v>
      </c>
      <c r="I63" s="96" t="s">
        <v>98</v>
      </c>
      <c r="J63" s="96">
        <f>'time-factors'!P$43</f>
        <v>10</v>
      </c>
      <c r="K63" s="170">
        <f>'time-factors'!J$43</f>
        <v>0.05</v>
      </c>
      <c r="L63" s="173">
        <f t="shared" si="19"/>
        <v>35.432451710548939</v>
      </c>
      <c r="M63" s="170">
        <v>0</v>
      </c>
      <c r="N63" s="96">
        <f t="shared" si="20"/>
        <v>0</v>
      </c>
      <c r="O63" s="167" cm="1">
        <f t="array" ref="O63">IFERROR(_xlfn.IFS(E63="Heavy", 'vehicle E calcs'!$H$33,E63="Cars/vans",'vehicle E calcs'!$H$32),"")</f>
        <v>7.1233383316924828</v>
      </c>
      <c r="P63" s="106">
        <v>200</v>
      </c>
      <c r="Q63" s="108">
        <f t="shared" si="21"/>
        <v>1.4246676663384965</v>
      </c>
      <c r="R63" s="107">
        <f t="shared" si="22"/>
        <v>36.857119376887432</v>
      </c>
      <c r="S63" s="107" cm="1">
        <f t="array" ref="S63">_xlfn.IFS(E63="Heavy", 'vehicle E calcs'!$T$21,E63="Cars/vans",'vehicle E calcs'!$S$21)*O63</f>
        <v>24.362584419881831</v>
      </c>
      <c r="T63" s="109">
        <v>0.27</v>
      </c>
      <c r="U63" s="23">
        <f t="shared" si="23"/>
        <v>6.5778977933680949</v>
      </c>
      <c r="V63" s="23">
        <f t="shared" si="24"/>
        <v>5.6031760502644419</v>
      </c>
      <c r="W63" s="106">
        <f t="shared" si="36"/>
        <v>168</v>
      </c>
      <c r="X63" s="23">
        <f t="shared" si="25"/>
        <v>4.0929141825401478</v>
      </c>
      <c r="Y63" s="96">
        <f t="shared" si="37"/>
        <v>0</v>
      </c>
      <c r="Z63" s="23">
        <f t="shared" si="27"/>
        <v>0</v>
      </c>
      <c r="AA63" s="107">
        <f t="shared" si="28"/>
        <v>32.764205194347284</v>
      </c>
      <c r="AB63" s="23">
        <f t="shared" si="29"/>
        <v>4.9809538280422201</v>
      </c>
      <c r="AD63" s="107">
        <f t="shared" si="30"/>
        <v>5.3865920121580952</v>
      </c>
      <c r="AE63" s="23">
        <f t="shared" si="31"/>
        <v>0</v>
      </c>
      <c r="AF63" s="108">
        <f t="shared" si="32"/>
        <v>0.2165840381063478</v>
      </c>
      <c r="AH63" s="104">
        <f t="shared" si="34"/>
        <v>0.48885610360804554</v>
      </c>
      <c r="AJ63" s="104">
        <f t="shared" si="35"/>
        <v>27.688809708359699</v>
      </c>
      <c r="AK63" s="23">
        <f t="shared" si="33"/>
        <v>4.9809538280422201</v>
      </c>
    </row>
    <row r="64" spans="1:37" x14ac:dyDescent="0.35">
      <c r="A64" s="96">
        <v>9</v>
      </c>
      <c r="B64" s="118" t="s">
        <v>149</v>
      </c>
      <c r="C64" s="23" t="s">
        <v>139</v>
      </c>
      <c r="D64" s="23" t="s">
        <v>171</v>
      </c>
      <c r="E64" s="23" t="s">
        <v>188</v>
      </c>
      <c r="F64" s="23" t="s">
        <v>83</v>
      </c>
      <c r="G64" s="108">
        <f>'time-factors'!C$36*'time-factors'!B59</f>
        <v>0.19554244144321822</v>
      </c>
      <c r="H64" s="166">
        <f>'time-factors'!K59</f>
        <v>273.59999999999997</v>
      </c>
      <c r="I64" s="96" t="s">
        <v>98</v>
      </c>
      <c r="J64" s="96">
        <f>'time-factors'!P$43</f>
        <v>10</v>
      </c>
      <c r="K64" s="170">
        <f>'time-factors'!J$43</f>
        <v>0.05</v>
      </c>
      <c r="L64" s="173">
        <f t="shared" si="19"/>
        <v>35.432451710548939</v>
      </c>
      <c r="M64" s="170">
        <v>0</v>
      </c>
      <c r="N64" s="96">
        <f t="shared" si="20"/>
        <v>0</v>
      </c>
      <c r="O64" s="167" cm="1">
        <f t="array" ref="O64">IFERROR(_xlfn.IFS(E64="Heavy", 'vehicle E calcs'!$H$33,E64="Cars/vans",'vehicle E calcs'!$H$32),"")</f>
        <v>7.1233383316924828</v>
      </c>
      <c r="P64" s="106">
        <v>200</v>
      </c>
      <c r="Q64" s="108">
        <f t="shared" si="21"/>
        <v>1.4246676663384965</v>
      </c>
      <c r="R64" s="107">
        <f t="shared" si="22"/>
        <v>36.857119376887432</v>
      </c>
      <c r="S64" s="107" cm="1">
        <f t="array" ref="S64">_xlfn.IFS(E64="Heavy", 'vehicle E calcs'!$T$21,E64="Cars/vans",'vehicle E calcs'!$S$21)*O64</f>
        <v>24.362584419881831</v>
      </c>
      <c r="T64" s="109">
        <v>0.27</v>
      </c>
      <c r="U64" s="23">
        <f t="shared" si="23"/>
        <v>6.5778977933680949</v>
      </c>
      <c r="V64" s="23">
        <f t="shared" si="24"/>
        <v>5.6031760502644419</v>
      </c>
      <c r="W64" s="106">
        <f t="shared" si="36"/>
        <v>168</v>
      </c>
      <c r="X64" s="23">
        <f t="shared" si="25"/>
        <v>4.0929141825401478</v>
      </c>
      <c r="Y64" s="96">
        <f t="shared" si="37"/>
        <v>0</v>
      </c>
      <c r="Z64" s="23">
        <f t="shared" si="27"/>
        <v>0</v>
      </c>
      <c r="AA64" s="107">
        <f t="shared" si="28"/>
        <v>32.764205194347284</v>
      </c>
      <c r="AB64" s="23">
        <f t="shared" si="29"/>
        <v>4.9809538280422201</v>
      </c>
      <c r="AD64" s="107">
        <f t="shared" si="30"/>
        <v>5.3865920121580952</v>
      </c>
      <c r="AE64" s="23">
        <f t="shared" si="31"/>
        <v>0</v>
      </c>
      <c r="AF64" s="108">
        <f t="shared" si="32"/>
        <v>0.2165840381063478</v>
      </c>
      <c r="AH64" s="104">
        <f t="shared" si="34"/>
        <v>0.19554244144321822</v>
      </c>
      <c r="AJ64" s="104">
        <f t="shared" si="35"/>
        <v>27.884352149802918</v>
      </c>
      <c r="AK64" s="23">
        <f t="shared" si="33"/>
        <v>4.9809538280422201</v>
      </c>
    </row>
    <row r="65" spans="1:37" x14ac:dyDescent="0.35">
      <c r="A65" s="96">
        <v>15</v>
      </c>
      <c r="B65" s="118" t="s">
        <v>153</v>
      </c>
      <c r="C65" s="23" t="s">
        <v>139</v>
      </c>
      <c r="D65" s="23" t="s">
        <v>171</v>
      </c>
      <c r="E65" s="23" t="s">
        <v>188</v>
      </c>
      <c r="F65" s="23" t="s">
        <v>83</v>
      </c>
      <c r="G65" s="108">
        <f>'time-factors'!C$36*'time-factors'!B65</f>
        <v>0.31286790630914918</v>
      </c>
      <c r="H65" s="166">
        <f>'time-factors'!K65</f>
        <v>273.59999999999997</v>
      </c>
      <c r="I65" s="96" t="s">
        <v>98</v>
      </c>
      <c r="J65" s="96">
        <f>'time-factors'!P$43</f>
        <v>10</v>
      </c>
      <c r="K65" s="170">
        <f>'time-factors'!J$43</f>
        <v>0.05</v>
      </c>
      <c r="L65" s="173">
        <f t="shared" si="19"/>
        <v>35.432451710548939</v>
      </c>
      <c r="M65" s="170">
        <v>0</v>
      </c>
      <c r="N65" s="96">
        <f t="shared" si="20"/>
        <v>0</v>
      </c>
      <c r="O65" s="167" cm="1">
        <f t="array" ref="O65">IFERROR(_xlfn.IFS(E65="Heavy", 'vehicle E calcs'!$H$33,E65="Cars/vans",'vehicle E calcs'!$H$32),"")</f>
        <v>7.1233383316924828</v>
      </c>
      <c r="P65" s="106">
        <v>200</v>
      </c>
      <c r="Q65" s="108">
        <f t="shared" si="21"/>
        <v>1.4246676663384965</v>
      </c>
      <c r="R65" s="107">
        <f t="shared" si="22"/>
        <v>36.857119376887432</v>
      </c>
      <c r="S65" s="107" cm="1">
        <f t="array" ref="S65">_xlfn.IFS(E65="Heavy", 'vehicle E calcs'!$T$21,E65="Cars/vans",'vehicle E calcs'!$S$21)*O65</f>
        <v>24.362584419881831</v>
      </c>
      <c r="T65" s="109">
        <v>0.27</v>
      </c>
      <c r="U65" s="23">
        <f t="shared" si="23"/>
        <v>6.5778977933680949</v>
      </c>
      <c r="V65" s="23">
        <f t="shared" si="24"/>
        <v>5.6031760502644419</v>
      </c>
      <c r="W65" s="106">
        <f t="shared" si="36"/>
        <v>168</v>
      </c>
      <c r="X65" s="23">
        <f t="shared" si="25"/>
        <v>4.0929141825401478</v>
      </c>
      <c r="Y65" s="96">
        <f t="shared" si="37"/>
        <v>0</v>
      </c>
      <c r="Z65" s="23">
        <f t="shared" si="27"/>
        <v>0</v>
      </c>
      <c r="AA65" s="107">
        <f t="shared" si="28"/>
        <v>32.764205194347284</v>
      </c>
      <c r="AB65" s="23">
        <f t="shared" si="29"/>
        <v>4.9809538280422201</v>
      </c>
      <c r="AD65" s="107">
        <f t="shared" si="30"/>
        <v>5.3865920121580952</v>
      </c>
      <c r="AE65" s="23">
        <f t="shared" si="31"/>
        <v>0</v>
      </c>
      <c r="AF65" s="108">
        <f t="shared" si="32"/>
        <v>0.2165840381063478</v>
      </c>
      <c r="AH65" s="104">
        <f t="shared" si="34"/>
        <v>0.31286790630914918</v>
      </c>
      <c r="AJ65" s="104">
        <f t="shared" si="35"/>
        <v>28.197220056112066</v>
      </c>
      <c r="AK65" s="23">
        <f t="shared" si="33"/>
        <v>4.9809538280422201</v>
      </c>
    </row>
    <row r="66" spans="1:37" x14ac:dyDescent="0.35">
      <c r="A66" s="96">
        <v>3</v>
      </c>
      <c r="B66" s="118" t="s">
        <v>143</v>
      </c>
      <c r="C66" s="23" t="s">
        <v>139</v>
      </c>
      <c r="D66" s="23" t="s">
        <v>171</v>
      </c>
      <c r="E66" s="23" t="s">
        <v>188</v>
      </c>
      <c r="F66" s="23" t="s">
        <v>83</v>
      </c>
      <c r="G66" s="108">
        <f>'time-factors'!C$36*'time-factors'!B53</f>
        <v>0.43019337117508011</v>
      </c>
      <c r="H66" s="166">
        <f>'time-factors'!K53</f>
        <v>289.351</v>
      </c>
      <c r="I66" s="96" t="s">
        <v>98</v>
      </c>
      <c r="J66" s="96">
        <f>'time-factors'!P$43</f>
        <v>10</v>
      </c>
      <c r="K66" s="170">
        <f>'time-factors'!J$43</f>
        <v>0.05</v>
      </c>
      <c r="L66" s="173">
        <f t="shared" si="19"/>
        <v>37.472278270829854</v>
      </c>
      <c r="M66" s="170">
        <v>0</v>
      </c>
      <c r="N66" s="96">
        <f t="shared" si="20"/>
        <v>0</v>
      </c>
      <c r="O66" s="167" cm="1">
        <f t="array" ref="O66">IFERROR(_xlfn.IFS(E66="Heavy", 'vehicle E calcs'!$H$33,E66="Cars/vans",'vehicle E calcs'!$H$32),"")</f>
        <v>7.1233383316924828</v>
      </c>
      <c r="P66" s="106">
        <v>200</v>
      </c>
      <c r="Q66" s="108">
        <f t="shared" si="21"/>
        <v>1.4246676663384965</v>
      </c>
      <c r="R66" s="107">
        <f t="shared" si="22"/>
        <v>38.896945937168347</v>
      </c>
      <c r="S66" s="107" cm="1">
        <f t="array" ref="S66">_xlfn.IFS(E66="Heavy", 'vehicle E calcs'!$T$21,E66="Cars/vans",'vehicle E calcs'!$S$21)*O66</f>
        <v>24.362584419881831</v>
      </c>
      <c r="T66" s="109">
        <v>0.27</v>
      </c>
      <c r="U66" s="23">
        <f t="shared" si="23"/>
        <v>6.5778977933680949</v>
      </c>
      <c r="V66" s="23">
        <f t="shared" si="24"/>
        <v>5.9132791598532668</v>
      </c>
      <c r="W66" s="106">
        <f t="shared" si="36"/>
        <v>168</v>
      </c>
      <c r="X66" s="23">
        <f t="shared" si="25"/>
        <v>4.0929141825401478</v>
      </c>
      <c r="Y66" s="96">
        <f t="shared" si="37"/>
        <v>0</v>
      </c>
      <c r="Z66" s="23">
        <f t="shared" si="27"/>
        <v>0</v>
      </c>
      <c r="AA66" s="107">
        <f t="shared" si="28"/>
        <v>34.804031754628198</v>
      </c>
      <c r="AB66" s="23">
        <f t="shared" si="29"/>
        <v>5.291056937631045</v>
      </c>
      <c r="AD66" s="107">
        <f t="shared" si="30"/>
        <v>5.6966951217469202</v>
      </c>
      <c r="AE66" s="23">
        <f t="shared" si="31"/>
        <v>0</v>
      </c>
      <c r="AF66" s="108">
        <f t="shared" si="32"/>
        <v>0.2165840381063478</v>
      </c>
      <c r="AH66" s="104">
        <f t="shared" si="34"/>
        <v>0.43019337117508011</v>
      </c>
      <c r="AJ66" s="104">
        <f t="shared" si="35"/>
        <v>28.627413427287145</v>
      </c>
      <c r="AK66" s="23">
        <f t="shared" si="33"/>
        <v>5.291056937631045</v>
      </c>
    </row>
    <row r="67" spans="1:37" x14ac:dyDescent="0.35">
      <c r="A67" s="96">
        <v>17</v>
      </c>
      <c r="B67" s="118" t="s">
        <v>143</v>
      </c>
      <c r="C67" s="23" t="s">
        <v>156</v>
      </c>
      <c r="D67" s="23" t="s">
        <v>171</v>
      </c>
      <c r="E67" s="23" t="s">
        <v>188</v>
      </c>
      <c r="F67" s="23" t="s">
        <v>83</v>
      </c>
      <c r="G67" s="108">
        <f>'time-factors'!C$36*'time-factors'!B67</f>
        <v>0.39108488288643645</v>
      </c>
      <c r="H67" s="166">
        <f>'time-factors'!K67</f>
        <v>292.59999999999997</v>
      </c>
      <c r="I67" s="96" t="s">
        <v>98</v>
      </c>
      <c r="J67" s="96">
        <f>'time-factors'!P$44</f>
        <v>10</v>
      </c>
      <c r="K67" s="170">
        <f>'time-factors'!J$44</f>
        <v>0.05</v>
      </c>
      <c r="L67" s="173">
        <f t="shared" si="19"/>
        <v>37.893038634892619</v>
      </c>
      <c r="M67" s="170">
        <v>0</v>
      </c>
      <c r="N67" s="96">
        <f t="shared" si="20"/>
        <v>0</v>
      </c>
      <c r="O67" s="167" cm="1">
        <f t="array" ref="O67">IFERROR(_xlfn.IFS(E67="Heavy", 'vehicle E calcs'!$H$33,E67="Cars/vans",'vehicle E calcs'!$H$32),"")</f>
        <v>7.1233383316924828</v>
      </c>
      <c r="P67" s="106">
        <v>300</v>
      </c>
      <c r="Q67" s="108">
        <f t="shared" si="21"/>
        <v>2.1370014995077451</v>
      </c>
      <c r="R67" s="107">
        <f t="shared" si="22"/>
        <v>40.030040134400366</v>
      </c>
      <c r="S67" s="107" cm="1">
        <f t="array" ref="S67">_xlfn.IFS(E67="Heavy", 'vehicle E calcs'!$T$21,E67="Cars/vans",'vehicle E calcs'!$S$21)*O67</f>
        <v>24.362584419881831</v>
      </c>
      <c r="T67" s="109">
        <v>0.27</v>
      </c>
      <c r="U67" s="23">
        <f t="shared" si="23"/>
        <v>6.5778977933680949</v>
      </c>
      <c r="V67" s="23">
        <f t="shared" si="24"/>
        <v>6.0855369590508186</v>
      </c>
      <c r="W67" s="106">
        <f t="shared" si="36"/>
        <v>168</v>
      </c>
      <c r="X67" s="23">
        <f t="shared" si="25"/>
        <v>4.0929141825401478</v>
      </c>
      <c r="Y67" s="96">
        <f t="shared" si="37"/>
        <v>0</v>
      </c>
      <c r="Z67" s="23">
        <f t="shared" si="27"/>
        <v>0</v>
      </c>
      <c r="AA67" s="107">
        <f t="shared" si="28"/>
        <v>35.937125951860217</v>
      </c>
      <c r="AB67" s="23">
        <f t="shared" si="29"/>
        <v>5.4633147368285959</v>
      </c>
      <c r="AD67" s="107">
        <f t="shared" si="30"/>
        <v>5.7606609018912964</v>
      </c>
      <c r="AE67" s="23">
        <f t="shared" si="31"/>
        <v>0</v>
      </c>
      <c r="AF67" s="108">
        <f t="shared" si="32"/>
        <v>0.32487605715952173</v>
      </c>
      <c r="AH67" s="104">
        <f t="shared" si="34"/>
        <v>0.39108488288643645</v>
      </c>
      <c r="AJ67" s="104">
        <f t="shared" si="35"/>
        <v>29.01849831017358</v>
      </c>
      <c r="AK67" s="23">
        <f t="shared" si="33"/>
        <v>5.4633147368285959</v>
      </c>
    </row>
    <row r="68" spans="1:37" x14ac:dyDescent="0.35">
      <c r="A68" s="96">
        <v>18</v>
      </c>
      <c r="B68" s="119" t="s">
        <v>148</v>
      </c>
      <c r="C68" s="23" t="s">
        <v>156</v>
      </c>
      <c r="D68" s="23" t="s">
        <v>171</v>
      </c>
      <c r="E68" s="23" t="s">
        <v>188</v>
      </c>
      <c r="F68" s="23" t="s">
        <v>83</v>
      </c>
      <c r="G68" s="108">
        <f>'time-factors'!C$36*'time-factors'!B68</f>
        <v>0.39108488288643645</v>
      </c>
      <c r="H68" s="166">
        <f>'time-factors'!K68</f>
        <v>292.59999999999997</v>
      </c>
      <c r="I68" s="96" t="s">
        <v>98</v>
      </c>
      <c r="J68" s="96">
        <f>'time-factors'!P$44</f>
        <v>10</v>
      </c>
      <c r="K68" s="170">
        <f>'time-factors'!J$44</f>
        <v>0.05</v>
      </c>
      <c r="L68" s="173">
        <f t="shared" si="19"/>
        <v>37.893038634892619</v>
      </c>
      <c r="M68" s="170">
        <v>0</v>
      </c>
      <c r="N68" s="96">
        <f t="shared" si="20"/>
        <v>0</v>
      </c>
      <c r="O68" s="167" cm="1">
        <f t="array" ref="O68">IFERROR(_xlfn.IFS(E68="Heavy", 'vehicle E calcs'!$H$33,E68="Cars/vans",'vehicle E calcs'!$H$32),"")</f>
        <v>7.1233383316924828</v>
      </c>
      <c r="P68" s="106">
        <v>300</v>
      </c>
      <c r="Q68" s="108">
        <f t="shared" si="21"/>
        <v>2.1370014995077451</v>
      </c>
      <c r="R68" s="107">
        <f t="shared" si="22"/>
        <v>40.030040134400366</v>
      </c>
      <c r="S68" s="107" cm="1">
        <f t="array" ref="S68">_xlfn.IFS(E68="Heavy", 'vehicle E calcs'!$T$21,E68="Cars/vans",'vehicle E calcs'!$S$21)*O68</f>
        <v>24.362584419881831</v>
      </c>
      <c r="T68" s="109">
        <v>0.27</v>
      </c>
      <c r="U68" s="23">
        <f t="shared" si="23"/>
        <v>6.5778977933680949</v>
      </c>
      <c r="V68" s="23">
        <f t="shared" si="24"/>
        <v>6.0855369590508186</v>
      </c>
      <c r="W68" s="106">
        <f t="shared" si="36"/>
        <v>168</v>
      </c>
      <c r="X68" s="23">
        <f t="shared" si="25"/>
        <v>4.0929141825401478</v>
      </c>
      <c r="Y68" s="96">
        <f t="shared" si="37"/>
        <v>0</v>
      </c>
      <c r="Z68" s="23">
        <f t="shared" si="27"/>
        <v>0</v>
      </c>
      <c r="AA68" s="107">
        <f t="shared" si="28"/>
        <v>35.937125951860217</v>
      </c>
      <c r="AB68" s="23">
        <f t="shared" si="29"/>
        <v>5.4633147368285959</v>
      </c>
      <c r="AD68" s="107">
        <f t="shared" si="30"/>
        <v>5.7606609018912964</v>
      </c>
      <c r="AE68" s="23">
        <f t="shared" si="31"/>
        <v>0</v>
      </c>
      <c r="AF68" s="108">
        <f t="shared" si="32"/>
        <v>0.32487605715952173</v>
      </c>
      <c r="AH68" s="104">
        <f t="shared" si="34"/>
        <v>0.39108488288643645</v>
      </c>
      <c r="AJ68" s="104">
        <f t="shared" si="35"/>
        <v>29.409583193060016</v>
      </c>
      <c r="AK68" s="23">
        <f t="shared" si="33"/>
        <v>5.4633147368285959</v>
      </c>
    </row>
    <row r="69" spans="1:37" x14ac:dyDescent="0.35">
      <c r="A69" s="96">
        <v>2</v>
      </c>
      <c r="B69" s="118" t="s">
        <v>142</v>
      </c>
      <c r="C69" s="23" t="s">
        <v>139</v>
      </c>
      <c r="D69" s="23" t="s">
        <v>171</v>
      </c>
      <c r="E69" s="23" t="s">
        <v>128</v>
      </c>
      <c r="F69" s="23" t="s">
        <v>83</v>
      </c>
      <c r="G69" s="108">
        <f>'time-factors'!C$36*'time-factors'!B52</f>
        <v>0.5866273243296547</v>
      </c>
      <c r="H69" s="166">
        <f>'time-factors'!K52</f>
        <v>289.351</v>
      </c>
      <c r="I69" s="96" t="s">
        <v>98</v>
      </c>
      <c r="J69" s="96">
        <f>'time-factors'!P$43</f>
        <v>10</v>
      </c>
      <c r="K69" s="170">
        <f>'time-factors'!J$43</f>
        <v>0.05</v>
      </c>
      <c r="L69" s="173">
        <f t="shared" si="19"/>
        <v>37.472278270829854</v>
      </c>
      <c r="M69" s="170">
        <v>0</v>
      </c>
      <c r="N69" s="96">
        <f t="shared" si="20"/>
        <v>0</v>
      </c>
      <c r="O69" s="167" cm="1">
        <f t="array" ref="O69">IFERROR(_xlfn.IFS(E69="Heavy", 'vehicle E calcs'!$H$33,E69="Cars/vans",'vehicle E calcs'!$H$32),"")</f>
        <v>6.3768270755398833</v>
      </c>
      <c r="P69" s="106">
        <v>200</v>
      </c>
      <c r="Q69" s="108">
        <f t="shared" si="21"/>
        <v>1.2753654151079765</v>
      </c>
      <c r="R69" s="107">
        <f t="shared" si="22"/>
        <v>38.747643685937831</v>
      </c>
      <c r="S69" s="107" cm="1">
        <f t="array" ref="S69">_xlfn.IFS(E69="Heavy", 'vehicle E calcs'!$T$21,E69="Cars/vans",'vehicle E calcs'!$S$21)*O69</f>
        <v>23.354986057632608</v>
      </c>
      <c r="T69" s="109">
        <v>0.27</v>
      </c>
      <c r="U69" s="23">
        <f t="shared" si="23"/>
        <v>6.3058462355608045</v>
      </c>
      <c r="V69" s="23">
        <f t="shared" si="24"/>
        <v>6.1447174952390586</v>
      </c>
      <c r="W69" s="106">
        <f t="shared" si="36"/>
        <v>168</v>
      </c>
      <c r="X69" s="23">
        <f t="shared" si="25"/>
        <v>3.9236376576822782</v>
      </c>
      <c r="Y69" s="96">
        <f t="shared" si="37"/>
        <v>0</v>
      </c>
      <c r="Z69" s="23">
        <f t="shared" si="27"/>
        <v>0</v>
      </c>
      <c r="AA69" s="107">
        <f t="shared" si="28"/>
        <v>34.824006028255553</v>
      </c>
      <c r="AB69" s="23">
        <f t="shared" si="29"/>
        <v>5.522495273016836</v>
      </c>
      <c r="AD69" s="107">
        <f t="shared" si="30"/>
        <v>5.9424662243603361</v>
      </c>
      <c r="AE69" s="23">
        <f t="shared" si="31"/>
        <v>0</v>
      </c>
      <c r="AF69" s="108">
        <f t="shared" si="32"/>
        <v>0.20225127087872183</v>
      </c>
      <c r="AH69" s="104">
        <f t="shared" si="34"/>
        <v>0.5866273243296547</v>
      </c>
      <c r="AJ69" s="104">
        <f t="shared" si="35"/>
        <v>29.99621051738967</v>
      </c>
      <c r="AK69" s="23">
        <f t="shared" si="33"/>
        <v>5.522495273016836</v>
      </c>
    </row>
    <row r="70" spans="1:37" x14ac:dyDescent="0.35">
      <c r="A70" s="96">
        <v>5</v>
      </c>
      <c r="B70" s="118" t="s">
        <v>145</v>
      </c>
      <c r="C70" s="23" t="s">
        <v>139</v>
      </c>
      <c r="D70" s="23" t="s">
        <v>171</v>
      </c>
      <c r="E70" s="23" t="s">
        <v>188</v>
      </c>
      <c r="F70" s="23" t="s">
        <v>83</v>
      </c>
      <c r="G70" s="108">
        <f>'time-factors'!C$36*'time-factors'!B55</f>
        <v>0.41063912703075828</v>
      </c>
      <c r="H70" s="166">
        <f>'time-factors'!K55</f>
        <v>467.4</v>
      </c>
      <c r="I70" s="96" t="s">
        <v>98</v>
      </c>
      <c r="J70" s="96">
        <f>'time-factors'!P$43</f>
        <v>10</v>
      </c>
      <c r="K70" s="170">
        <f>'time-factors'!J$43</f>
        <v>0.05</v>
      </c>
      <c r="L70" s="173">
        <f t="shared" si="19"/>
        <v>60.530438338854438</v>
      </c>
      <c r="M70" s="170">
        <v>0</v>
      </c>
      <c r="N70" s="96">
        <f t="shared" si="20"/>
        <v>0</v>
      </c>
      <c r="O70" s="167" cm="1">
        <f t="array" ref="O70">IFERROR(_xlfn.IFS(E70="Heavy", 'vehicle E calcs'!$H$33,E70="Cars/vans",'vehicle E calcs'!$H$32),"")</f>
        <v>7.1233383316924828</v>
      </c>
      <c r="P70" s="106">
        <v>200</v>
      </c>
      <c r="Q70" s="108">
        <f t="shared" si="21"/>
        <v>1.4246676663384965</v>
      </c>
      <c r="R70" s="107">
        <f t="shared" si="22"/>
        <v>61.955106005192931</v>
      </c>
      <c r="S70" s="107" cm="1">
        <f t="array" ref="S70">_xlfn.IFS(E70="Heavy", 'vehicle E calcs'!$T$21,E70="Cars/vans",'vehicle E calcs'!$S$21)*O70</f>
        <v>24.362584419881831</v>
      </c>
      <c r="T70" s="109">
        <v>0.27</v>
      </c>
      <c r="U70" s="23">
        <f t="shared" si="23"/>
        <v>6.5778977933680949</v>
      </c>
      <c r="V70" s="23">
        <f t="shared" si="24"/>
        <v>9.4186787255430922</v>
      </c>
      <c r="W70" s="106">
        <f t="shared" si="36"/>
        <v>168</v>
      </c>
      <c r="X70" s="23">
        <f t="shared" si="25"/>
        <v>4.0929141825401478</v>
      </c>
      <c r="Y70" s="96">
        <f t="shared" si="37"/>
        <v>0</v>
      </c>
      <c r="Z70" s="23">
        <f t="shared" si="27"/>
        <v>0</v>
      </c>
      <c r="AA70" s="107">
        <f t="shared" si="28"/>
        <v>57.862191822652782</v>
      </c>
      <c r="AB70" s="23">
        <f t="shared" si="29"/>
        <v>8.7964565033208704</v>
      </c>
      <c r="AD70" s="107">
        <f t="shared" si="30"/>
        <v>9.2020946874367464</v>
      </c>
      <c r="AE70" s="23">
        <f t="shared" si="31"/>
        <v>0</v>
      </c>
      <c r="AF70" s="108">
        <f t="shared" si="32"/>
        <v>0.2165840381063478</v>
      </c>
      <c r="AH70" s="104">
        <f t="shared" si="34"/>
        <v>0.41063912703075828</v>
      </c>
      <c r="AJ70" s="104">
        <f t="shared" si="35"/>
        <v>30.406849644420429</v>
      </c>
      <c r="AK70" s="23">
        <f t="shared" si="33"/>
        <v>8.7964565033208704</v>
      </c>
    </row>
    <row r="71" spans="1:37" x14ac:dyDescent="0.35">
      <c r="A71" s="96">
        <v>8</v>
      </c>
      <c r="B71" s="119" t="s">
        <v>148</v>
      </c>
      <c r="C71" s="23" t="s">
        <v>139</v>
      </c>
      <c r="D71" s="23" t="s">
        <v>171</v>
      </c>
      <c r="E71" s="23" t="s">
        <v>188</v>
      </c>
      <c r="F71" s="23" t="s">
        <v>83</v>
      </c>
      <c r="G71" s="108">
        <f>'time-factors'!C$36*'time-factors'!B58</f>
        <v>0.29331366216482735</v>
      </c>
      <c r="H71" s="166">
        <f>'time-factors'!K58</f>
        <v>467.4</v>
      </c>
      <c r="I71" s="96" t="s">
        <v>98</v>
      </c>
      <c r="J71" s="96">
        <f>'time-factors'!P$43</f>
        <v>10</v>
      </c>
      <c r="K71" s="170">
        <f>'time-factors'!J$43</f>
        <v>0.05</v>
      </c>
      <c r="L71" s="173">
        <f t="shared" si="19"/>
        <v>60.530438338854438</v>
      </c>
      <c r="M71" s="170">
        <v>0</v>
      </c>
      <c r="N71" s="96">
        <f t="shared" si="20"/>
        <v>0</v>
      </c>
      <c r="O71" s="167" cm="1">
        <f t="array" ref="O71">IFERROR(_xlfn.IFS(E71="Heavy", 'vehicle E calcs'!$H$33,E71="Cars/vans",'vehicle E calcs'!$H$32),"")</f>
        <v>7.1233383316924828</v>
      </c>
      <c r="P71" s="106">
        <v>200</v>
      </c>
      <c r="Q71" s="108">
        <f t="shared" si="21"/>
        <v>1.4246676663384965</v>
      </c>
      <c r="R71" s="107">
        <f t="shared" si="22"/>
        <v>61.955106005192931</v>
      </c>
      <c r="S71" s="107" cm="1">
        <f t="array" ref="S71">_xlfn.IFS(E71="Heavy", 'vehicle E calcs'!$T$21,E71="Cars/vans",'vehicle E calcs'!$S$21)*O71</f>
        <v>24.362584419881831</v>
      </c>
      <c r="T71" s="109">
        <v>0.27</v>
      </c>
      <c r="U71" s="23">
        <f t="shared" si="23"/>
        <v>6.5778977933680949</v>
      </c>
      <c r="V71" s="23">
        <f t="shared" si="24"/>
        <v>9.4186787255430922</v>
      </c>
      <c r="W71" s="106">
        <f t="shared" si="36"/>
        <v>168</v>
      </c>
      <c r="X71" s="23">
        <f t="shared" si="25"/>
        <v>4.0929141825401478</v>
      </c>
      <c r="Y71" s="96">
        <f t="shared" si="37"/>
        <v>0</v>
      </c>
      <c r="Z71" s="23">
        <f t="shared" si="27"/>
        <v>0</v>
      </c>
      <c r="AA71" s="107">
        <f t="shared" si="28"/>
        <v>57.862191822652782</v>
      </c>
      <c r="AB71" s="23">
        <f t="shared" si="29"/>
        <v>8.7964565033208704</v>
      </c>
      <c r="AD71" s="107">
        <f t="shared" si="30"/>
        <v>9.2020946874367464</v>
      </c>
      <c r="AE71" s="23">
        <f t="shared" si="31"/>
        <v>0</v>
      </c>
      <c r="AF71" s="108">
        <f t="shared" si="32"/>
        <v>0.2165840381063478</v>
      </c>
      <c r="AH71" s="104">
        <f t="shared" si="34"/>
        <v>0.29331366216482735</v>
      </c>
      <c r="AJ71" s="104">
        <f t="shared" si="35"/>
        <v>30.700163306585257</v>
      </c>
      <c r="AK71" s="23">
        <f t="shared" si="33"/>
        <v>8.7964565033208704</v>
      </c>
    </row>
    <row r="72" spans="1:37" x14ac:dyDescent="0.35">
      <c r="A72" s="96">
        <v>10</v>
      </c>
      <c r="B72" s="118" t="s">
        <v>58</v>
      </c>
      <c r="C72" s="23" t="s">
        <v>139</v>
      </c>
      <c r="D72" s="23" t="s">
        <v>171</v>
      </c>
      <c r="E72" s="23" t="s">
        <v>188</v>
      </c>
      <c r="F72" s="23" t="s">
        <v>83</v>
      </c>
      <c r="G72" s="108">
        <f>'time-factors'!C$36*'time-factors'!B60</f>
        <v>0.39108488288643645</v>
      </c>
      <c r="H72" s="166">
        <f>'time-factors'!K60</f>
        <v>737.19999999999993</v>
      </c>
      <c r="I72" s="96" t="s">
        <v>98</v>
      </c>
      <c r="J72" s="96">
        <f>'time-factors'!P$43</f>
        <v>10</v>
      </c>
      <c r="K72" s="170">
        <f>'time-factors'!J$43</f>
        <v>0.05</v>
      </c>
      <c r="L72" s="173">
        <f t="shared" si="19"/>
        <v>95.47077266453465</v>
      </c>
      <c r="M72" s="170">
        <v>0</v>
      </c>
      <c r="N72" s="96">
        <f t="shared" si="20"/>
        <v>0</v>
      </c>
      <c r="O72" s="167" cm="1">
        <f t="array" ref="O72">IFERROR(_xlfn.IFS(E72="Heavy", 'vehicle E calcs'!$H$33,E72="Cars/vans",'vehicle E calcs'!$H$32),"")</f>
        <v>7.1233383316924828</v>
      </c>
      <c r="P72" s="106">
        <v>200</v>
      </c>
      <c r="Q72" s="108">
        <f t="shared" si="21"/>
        <v>1.4246676663384965</v>
      </c>
      <c r="R72" s="107">
        <f t="shared" si="22"/>
        <v>96.895440330873143</v>
      </c>
      <c r="S72" s="107" cm="1">
        <f t="array" ref="S72">_xlfn.IFS(E72="Heavy", 'vehicle E calcs'!$T$21,E72="Cars/vans",'vehicle E calcs'!$S$21)*O72</f>
        <v>24.362584419881831</v>
      </c>
      <c r="T72" s="109">
        <v>0.27</v>
      </c>
      <c r="U72" s="23">
        <f t="shared" si="23"/>
        <v>6.5778977933680949</v>
      </c>
      <c r="V72" s="23">
        <f t="shared" si="24"/>
        <v>14.730456959754548</v>
      </c>
      <c r="W72" s="106">
        <f t="shared" si="36"/>
        <v>168</v>
      </c>
      <c r="X72" s="23">
        <f t="shared" si="25"/>
        <v>4.0929141825401478</v>
      </c>
      <c r="Y72" s="96">
        <f t="shared" si="37"/>
        <v>0</v>
      </c>
      <c r="Z72" s="23">
        <f t="shared" si="27"/>
        <v>0</v>
      </c>
      <c r="AA72" s="107">
        <f t="shared" si="28"/>
        <v>92.802526148333001</v>
      </c>
      <c r="AB72" s="23">
        <f t="shared" si="29"/>
        <v>14.108234737532328</v>
      </c>
      <c r="AD72" s="107">
        <f t="shared" si="30"/>
        <v>14.513872921648202</v>
      </c>
      <c r="AE72" s="23">
        <f t="shared" si="31"/>
        <v>0</v>
      </c>
      <c r="AF72" s="108">
        <f t="shared" si="32"/>
        <v>0.2165840381063478</v>
      </c>
      <c r="AH72" s="104">
        <f t="shared" si="34"/>
        <v>0.39108488288643645</v>
      </c>
      <c r="AJ72" s="104">
        <f t="shared" si="35"/>
        <v>31.091248189471692</v>
      </c>
      <c r="AK72" s="23">
        <f t="shared" si="33"/>
        <v>14.108234737532328</v>
      </c>
    </row>
    <row r="73" spans="1:37" x14ac:dyDescent="0.35">
      <c r="A73" s="96">
        <v>14</v>
      </c>
      <c r="B73" s="118" t="s">
        <v>152</v>
      </c>
      <c r="C73" s="23" t="s">
        <v>139</v>
      </c>
      <c r="D73" s="23" t="s">
        <v>171</v>
      </c>
      <c r="E73" s="23" t="s">
        <v>188</v>
      </c>
      <c r="F73" s="23" t="s">
        <v>83</v>
      </c>
      <c r="G73" s="108">
        <f>'time-factors'!C$36*'time-factors'!B64</f>
        <v>0.25420517387618369</v>
      </c>
      <c r="H73" s="166">
        <f>'time-factors'!K64</f>
        <v>737.19999999999993</v>
      </c>
      <c r="I73" s="96" t="s">
        <v>98</v>
      </c>
      <c r="J73" s="96">
        <f>'time-factors'!P$43</f>
        <v>10</v>
      </c>
      <c r="K73" s="170">
        <f>'time-factors'!J$43</f>
        <v>0.05</v>
      </c>
      <c r="L73" s="173">
        <f t="shared" si="19"/>
        <v>95.47077266453465</v>
      </c>
      <c r="M73" s="170">
        <v>0</v>
      </c>
      <c r="N73" s="96">
        <f t="shared" si="20"/>
        <v>0</v>
      </c>
      <c r="O73" s="167" cm="1">
        <f t="array" ref="O73">IFERROR(_xlfn.IFS(E73="Heavy", 'vehicle E calcs'!$H$33,E73="Cars/vans",'vehicle E calcs'!$H$32),"")</f>
        <v>7.1233383316924828</v>
      </c>
      <c r="P73" s="106">
        <v>200</v>
      </c>
      <c r="Q73" s="108">
        <f t="shared" si="21"/>
        <v>1.4246676663384965</v>
      </c>
      <c r="R73" s="107">
        <f t="shared" si="22"/>
        <v>96.895440330873143</v>
      </c>
      <c r="S73" s="107" cm="1">
        <f t="array" ref="S73">_xlfn.IFS(E73="Heavy", 'vehicle E calcs'!$T$21,E73="Cars/vans",'vehicle E calcs'!$S$21)*O73</f>
        <v>24.362584419881831</v>
      </c>
      <c r="T73" s="109">
        <v>0.27</v>
      </c>
      <c r="U73" s="23">
        <f t="shared" si="23"/>
        <v>6.5778977933680949</v>
      </c>
      <c r="V73" s="23">
        <f t="shared" si="24"/>
        <v>14.730456959754548</v>
      </c>
      <c r="W73" s="106">
        <f t="shared" si="36"/>
        <v>168</v>
      </c>
      <c r="X73" s="23">
        <f t="shared" si="25"/>
        <v>4.0929141825401478</v>
      </c>
      <c r="Y73" s="96">
        <f t="shared" si="37"/>
        <v>0</v>
      </c>
      <c r="Z73" s="23">
        <f t="shared" si="27"/>
        <v>0</v>
      </c>
      <c r="AA73" s="107">
        <f t="shared" si="28"/>
        <v>92.802526148333001</v>
      </c>
      <c r="AB73" s="23">
        <f t="shared" si="29"/>
        <v>14.108234737532328</v>
      </c>
      <c r="AD73" s="107">
        <f t="shared" si="30"/>
        <v>14.513872921648202</v>
      </c>
      <c r="AE73" s="23">
        <f t="shared" si="31"/>
        <v>0</v>
      </c>
      <c r="AF73" s="108">
        <f t="shared" si="32"/>
        <v>0.2165840381063478</v>
      </c>
      <c r="AH73" s="104">
        <f t="shared" si="34"/>
        <v>0.25420517387618369</v>
      </c>
      <c r="AJ73" s="104">
        <f t="shared" si="35"/>
        <v>31.345453363347875</v>
      </c>
      <c r="AK73" s="23">
        <f t="shared" si="33"/>
        <v>14.108234737532328</v>
      </c>
    </row>
    <row r="74" spans="1:37" x14ac:dyDescent="0.35">
      <c r="A74" s="96"/>
      <c r="B74" s="122"/>
      <c r="C74" s="24"/>
      <c r="D74" s="24"/>
      <c r="E74" s="24"/>
      <c r="F74" s="131" t="s">
        <v>50</v>
      </c>
      <c r="G74" s="104">
        <f>SUM(G49:G73)</f>
        <v>31.345453363347875</v>
      </c>
      <c r="H74" s="96"/>
      <c r="I74" s="96"/>
      <c r="J74" s="96"/>
      <c r="K74" s="96"/>
      <c r="L74" s="96"/>
      <c r="M74" s="96"/>
      <c r="N74" s="96"/>
      <c r="O74" s="96"/>
    </row>
    <row r="75" spans="1:37" x14ac:dyDescent="0.35">
      <c r="A75" s="96"/>
      <c r="B75" s="122"/>
      <c r="C75" s="24"/>
      <c r="D75" s="24"/>
      <c r="E75" s="24"/>
      <c r="F75" s="24"/>
      <c r="H75" s="96"/>
      <c r="I75" s="96"/>
      <c r="J75" s="96"/>
      <c r="K75" s="96"/>
      <c r="L75" s="96"/>
      <c r="M75" s="96"/>
      <c r="N75" s="96"/>
      <c r="O75" s="96"/>
    </row>
    <row r="76" spans="1:37" x14ac:dyDescent="0.35">
      <c r="A76" s="96"/>
      <c r="B76" s="123"/>
      <c r="C76" s="125"/>
      <c r="F76" s="24"/>
      <c r="H76" s="96"/>
      <c r="I76" s="96"/>
      <c r="J76" s="96"/>
      <c r="K76" s="96"/>
      <c r="L76" s="96"/>
      <c r="M76" s="96"/>
      <c r="N76" s="96"/>
      <c r="O76" s="96"/>
    </row>
    <row r="77" spans="1:37" x14ac:dyDescent="0.35">
      <c r="A77" s="96"/>
      <c r="B77" s="123"/>
      <c r="C77" s="125"/>
      <c r="H77" s="96"/>
      <c r="I77" s="96"/>
      <c r="J77" s="96"/>
      <c r="K77" s="96"/>
      <c r="L77" s="96"/>
      <c r="M77" s="96"/>
      <c r="N77" s="96"/>
      <c r="O77" s="96"/>
    </row>
    <row r="78" spans="1:37" x14ac:dyDescent="0.35">
      <c r="A78" s="96"/>
      <c r="B78" s="96"/>
      <c r="C78" s="96"/>
      <c r="H78" s="96"/>
      <c r="I78" s="96"/>
      <c r="J78" s="96"/>
      <c r="K78" s="96"/>
      <c r="L78" s="96"/>
      <c r="M78" s="96"/>
      <c r="N78" s="96"/>
      <c r="O78" s="96"/>
    </row>
    <row r="79" spans="1:37" x14ac:dyDescent="0.35">
      <c r="A79" s="96"/>
      <c r="B79" s="96"/>
      <c r="C79" s="96"/>
      <c r="H79" s="96"/>
      <c r="I79" s="96"/>
      <c r="J79" s="96"/>
      <c r="K79" s="96"/>
      <c r="L79" s="96"/>
      <c r="M79" s="96"/>
      <c r="N79" s="96"/>
      <c r="O79" s="96"/>
    </row>
    <row r="80" spans="1:37" x14ac:dyDescent="0.35">
      <c r="A80" s="96"/>
      <c r="H80" s="96"/>
      <c r="I80" s="96"/>
      <c r="J80" s="96"/>
      <c r="K80" s="96"/>
      <c r="L80" s="96"/>
      <c r="M80" s="96"/>
      <c r="N80" s="96"/>
      <c r="O80" s="96"/>
    </row>
    <row r="81" spans="1:37" x14ac:dyDescent="0.35">
      <c r="A81" s="96"/>
      <c r="H81" s="96"/>
      <c r="I81" s="96"/>
      <c r="J81" s="96"/>
      <c r="K81" s="96"/>
      <c r="L81" s="96"/>
      <c r="M81" s="96"/>
      <c r="N81" s="96"/>
      <c r="O81" s="96"/>
    </row>
    <row r="82" spans="1:37" x14ac:dyDescent="0.35">
      <c r="A82" s="96"/>
      <c r="H82" s="96"/>
      <c r="I82" s="96"/>
      <c r="J82" s="96"/>
      <c r="K82" s="96"/>
      <c r="L82" s="96"/>
      <c r="M82" s="96"/>
      <c r="N82" s="96"/>
      <c r="O82" s="96"/>
    </row>
    <row r="83" spans="1:37" x14ac:dyDescent="0.35">
      <c r="A83" s="96"/>
      <c r="H83" s="96"/>
      <c r="I83" s="96"/>
      <c r="J83" s="96"/>
      <c r="K83" s="96"/>
      <c r="L83" s="96"/>
      <c r="M83" s="96"/>
      <c r="N83" s="96"/>
      <c r="O83" s="96"/>
    </row>
    <row r="84" spans="1:37" x14ac:dyDescent="0.35">
      <c r="A84" s="96"/>
      <c r="H84" s="96"/>
      <c r="I84" s="96"/>
      <c r="J84" s="96"/>
      <c r="K84" s="96"/>
      <c r="L84" s="96"/>
      <c r="M84" s="96"/>
      <c r="N84" s="96"/>
      <c r="O84" s="96"/>
    </row>
    <row r="85" spans="1:37" x14ac:dyDescent="0.35">
      <c r="A85" s="96"/>
      <c r="H85" s="96"/>
      <c r="I85" s="96"/>
      <c r="J85" s="96"/>
      <c r="K85" s="96"/>
      <c r="L85" s="96"/>
      <c r="M85" s="96"/>
      <c r="N85" s="96"/>
      <c r="O85" s="96"/>
    </row>
    <row r="86" spans="1:37" x14ac:dyDescent="0.35">
      <c r="A86" s="96"/>
      <c r="H86" s="96"/>
      <c r="I86" s="96"/>
      <c r="J86" s="96"/>
      <c r="K86" s="96"/>
      <c r="L86" s="96"/>
      <c r="M86" s="96"/>
      <c r="N86" s="96"/>
      <c r="O86" s="96"/>
    </row>
    <row r="87" spans="1:37" x14ac:dyDescent="0.35">
      <c r="A87" s="96"/>
      <c r="H87" s="96"/>
      <c r="I87" s="96"/>
      <c r="J87" s="96"/>
      <c r="K87" s="96"/>
      <c r="L87" s="96"/>
      <c r="M87" s="96"/>
      <c r="N87" s="96"/>
      <c r="O87" s="96"/>
    </row>
    <row r="88" spans="1:37" x14ac:dyDescent="0.35">
      <c r="A88" s="96"/>
      <c r="H88" s="96"/>
      <c r="I88" s="96"/>
      <c r="J88" s="96"/>
      <c r="K88" s="96"/>
      <c r="L88" s="96"/>
      <c r="M88" s="96"/>
      <c r="N88" s="96"/>
      <c r="O88" s="96"/>
    </row>
    <row r="89" spans="1:37" x14ac:dyDescent="0.35">
      <c r="A89" s="96"/>
      <c r="H89" s="96"/>
      <c r="I89" s="96"/>
      <c r="J89" s="96"/>
      <c r="K89" s="96"/>
      <c r="L89" s="96"/>
      <c r="M89" s="96"/>
      <c r="N89" s="96"/>
      <c r="O89" s="96"/>
    </row>
    <row r="90" spans="1:37" x14ac:dyDescent="0.35">
      <c r="A90" s="132"/>
      <c r="H90" s="96"/>
      <c r="I90" s="96"/>
      <c r="J90" s="96"/>
      <c r="K90" s="96"/>
      <c r="L90" s="96"/>
      <c r="M90" s="96"/>
      <c r="N90" s="96"/>
      <c r="O90" s="96"/>
    </row>
    <row r="91" spans="1:37" ht="21" x14ac:dyDescent="0.5">
      <c r="B91" s="134" t="s">
        <v>255</v>
      </c>
      <c r="C91" s="136">
        <f>C46</f>
        <v>2025</v>
      </c>
      <c r="H91" s="96"/>
      <c r="I91" s="96"/>
      <c r="J91" s="96"/>
      <c r="K91" s="96"/>
      <c r="L91" s="96"/>
      <c r="M91" s="96"/>
      <c r="N91" s="96"/>
      <c r="O91" s="96"/>
      <c r="W91" s="23" t="s">
        <v>202</v>
      </c>
      <c r="AB91" s="95"/>
    </row>
    <row r="92" spans="1:37" x14ac:dyDescent="0.35">
      <c r="H92" s="96"/>
      <c r="I92" s="96"/>
      <c r="J92" s="96"/>
      <c r="K92" s="96"/>
      <c r="L92" s="96"/>
      <c r="M92" s="96"/>
      <c r="N92" s="96"/>
      <c r="O92" s="96"/>
      <c r="T92" s="99" t="s">
        <v>138</v>
      </c>
      <c r="W92" s="99">
        <v>1.7</v>
      </c>
      <c r="X92" s="23" t="s">
        <v>174</v>
      </c>
      <c r="Z92" s="100">
        <v>0</v>
      </c>
      <c r="AA92" s="23" t="s">
        <v>175</v>
      </c>
      <c r="AC92" s="101">
        <v>0</v>
      </c>
    </row>
    <row r="93" spans="1:37" ht="72.5" x14ac:dyDescent="0.35">
      <c r="B93" s="102" t="s">
        <v>173</v>
      </c>
      <c r="C93" s="103" t="s">
        <v>95</v>
      </c>
      <c r="D93" s="103" t="s">
        <v>172</v>
      </c>
      <c r="E93" s="103" t="s">
        <v>231</v>
      </c>
      <c r="F93" s="103" t="s">
        <v>96</v>
      </c>
      <c r="G93" s="103" t="s">
        <v>205</v>
      </c>
      <c r="H93" s="176" t="s">
        <v>99</v>
      </c>
      <c r="I93" s="176" t="s">
        <v>97</v>
      </c>
      <c r="J93" s="176" t="s">
        <v>100</v>
      </c>
      <c r="K93" s="176" t="s">
        <v>101</v>
      </c>
      <c r="L93" s="176" t="s">
        <v>102</v>
      </c>
      <c r="M93" s="176" t="s">
        <v>129</v>
      </c>
      <c r="N93" s="176" t="s">
        <v>130</v>
      </c>
      <c r="O93" s="176" t="s">
        <v>132</v>
      </c>
      <c r="P93" s="103" t="s">
        <v>133</v>
      </c>
      <c r="Q93" s="103" t="s">
        <v>131</v>
      </c>
      <c r="R93" s="117" t="s">
        <v>136</v>
      </c>
      <c r="S93" s="103" t="s">
        <v>135</v>
      </c>
      <c r="T93" s="103" t="s">
        <v>134</v>
      </c>
      <c r="U93" s="103" t="s">
        <v>103</v>
      </c>
      <c r="V93" s="117" t="s">
        <v>108</v>
      </c>
      <c r="W93" s="103" t="s">
        <v>199</v>
      </c>
      <c r="X93" s="103" t="s">
        <v>104</v>
      </c>
      <c r="Y93" s="103" t="s">
        <v>105</v>
      </c>
      <c r="Z93" s="103" t="s">
        <v>106</v>
      </c>
      <c r="AA93" s="103" t="s">
        <v>137</v>
      </c>
      <c r="AB93" s="117" t="s">
        <v>107</v>
      </c>
      <c r="AD93" s="103" t="s">
        <v>167</v>
      </c>
      <c r="AE93" s="103" t="s">
        <v>168</v>
      </c>
      <c r="AF93" s="103" t="s">
        <v>169</v>
      </c>
      <c r="AJ93" s="103" t="s">
        <v>177</v>
      </c>
      <c r="AK93" s="103" t="s">
        <v>176</v>
      </c>
    </row>
    <row r="94" spans="1:37" x14ac:dyDescent="0.35">
      <c r="A94" s="23">
        <v>20</v>
      </c>
      <c r="B94" s="120" t="s">
        <v>162</v>
      </c>
      <c r="C94" s="111" t="s">
        <v>157</v>
      </c>
      <c r="D94" s="111" t="s">
        <v>170</v>
      </c>
      <c r="E94" s="111"/>
      <c r="F94" s="111" t="s">
        <v>158</v>
      </c>
      <c r="G94" s="108">
        <f>'time-factors'!C$37*'time-factors'!B70</f>
        <v>0.7256238768537161</v>
      </c>
      <c r="H94" s="166">
        <f>'time-factors'!K70</f>
        <v>0.14249999999999999</v>
      </c>
      <c r="I94" s="168" t="s">
        <v>166</v>
      </c>
      <c r="J94" s="96">
        <f>'time-factors'!P$46</f>
        <v>20</v>
      </c>
      <c r="K94" s="170">
        <f>'time-factors'!J$46</f>
        <v>0.05</v>
      </c>
      <c r="L94" s="172">
        <f t="shared" ref="L94:L118" si="38">PMT(K94,J94,-H94)</f>
        <v>1.1434568674673511E-2</v>
      </c>
      <c r="M94" s="171">
        <v>0.02</v>
      </c>
      <c r="N94" s="168">
        <f t="shared" ref="N94:N118" si="39">M94*H94</f>
        <v>2.8499999999999997E-3</v>
      </c>
      <c r="O94" s="168">
        <v>1.5</v>
      </c>
      <c r="P94" s="111">
        <v>200</v>
      </c>
      <c r="Q94" s="115">
        <f t="shared" ref="Q94:Q118" si="40">P94*O94*0.001</f>
        <v>0.3</v>
      </c>
      <c r="R94" s="114">
        <f t="shared" ref="R94:R118" si="41">L94+N94+Q94</f>
        <v>0.31428456867467353</v>
      </c>
      <c r="S94" s="114">
        <f>2*O94</f>
        <v>3</v>
      </c>
      <c r="T94" s="114">
        <v>0.1</v>
      </c>
      <c r="U94" s="111">
        <f t="shared" ref="U94:U118" si="42">T94*S94</f>
        <v>0.30000000000000004</v>
      </c>
      <c r="V94" s="111">
        <f t="shared" ref="V94:V118" si="43">R94/U94</f>
        <v>1.0476152289155782</v>
      </c>
      <c r="W94" s="111">
        <v>200</v>
      </c>
      <c r="X94" s="111">
        <f t="shared" ref="X94:X118" si="44">W94*S94*0.001</f>
        <v>0.6</v>
      </c>
      <c r="Y94" s="111">
        <f t="shared" ref="Y94:Y100" si="45">$AC$2</f>
        <v>0</v>
      </c>
      <c r="Z94" s="111">
        <f t="shared" ref="Z94:Z118" si="46">Y94*U94</f>
        <v>0</v>
      </c>
      <c r="AA94" s="114">
        <f t="shared" ref="AA94:AA118" si="47">R94-X94-Z94</f>
        <v>-0.28571543132532645</v>
      </c>
      <c r="AB94" s="111">
        <f t="shared" ref="AB94:AB118" si="48">AA94/U94</f>
        <v>-0.95238477108442132</v>
      </c>
      <c r="AC94" s="111"/>
      <c r="AD94" s="107">
        <f t="shared" ref="AD94:AD118" si="49">L94/U94</f>
        <v>3.8115228915578364E-2</v>
      </c>
      <c r="AE94" s="23">
        <f t="shared" ref="AE94:AE118" si="50">N94/U94</f>
        <v>9.499999999999998E-3</v>
      </c>
      <c r="AF94" s="108">
        <f t="shared" ref="AF94:AF118" si="51">Q94/U94</f>
        <v>0.99999999999999978</v>
      </c>
      <c r="AH94" s="104">
        <f>G94</f>
        <v>0.7256238768537161</v>
      </c>
      <c r="AJ94" s="104">
        <f>AH94</f>
        <v>0.7256238768537161</v>
      </c>
      <c r="AK94" s="23">
        <f t="shared" ref="AK94:AK118" si="52">AB94</f>
        <v>-0.95238477108442132</v>
      </c>
    </row>
    <row r="95" spans="1:37" x14ac:dyDescent="0.35">
      <c r="A95" s="23">
        <v>21</v>
      </c>
      <c r="B95" s="120" t="s">
        <v>160</v>
      </c>
      <c r="C95" s="48" t="s">
        <v>163</v>
      </c>
      <c r="D95" s="111" t="s">
        <v>170</v>
      </c>
      <c r="E95" s="111"/>
      <c r="F95" s="48" t="s">
        <v>158</v>
      </c>
      <c r="G95" s="108">
        <f>'time-factors'!C$37*'time-factors'!B71</f>
        <v>1.3303104408984796</v>
      </c>
      <c r="H95" s="166">
        <f>'time-factors'!K71</f>
        <v>0.23749999999999999</v>
      </c>
      <c r="I95" s="168" t="s">
        <v>166</v>
      </c>
      <c r="J95" s="96">
        <f>'time-factors'!P$46</f>
        <v>20</v>
      </c>
      <c r="K95" s="170">
        <f>'time-factors'!J$46</f>
        <v>0.05</v>
      </c>
      <c r="L95" s="172">
        <f t="shared" si="38"/>
        <v>1.9057614457789186E-2</v>
      </c>
      <c r="M95" s="171">
        <v>0.02</v>
      </c>
      <c r="N95" s="168">
        <f t="shared" si="39"/>
        <v>4.7499999999999999E-3</v>
      </c>
      <c r="O95" s="168">
        <v>4.4000000000000004</v>
      </c>
      <c r="P95" s="111">
        <v>200</v>
      </c>
      <c r="Q95" s="115">
        <f t="shared" si="40"/>
        <v>0.88000000000000012</v>
      </c>
      <c r="R95" s="114">
        <f t="shared" si="41"/>
        <v>0.90380761445778934</v>
      </c>
      <c r="S95" s="114">
        <f>1.2*O95</f>
        <v>5.28</v>
      </c>
      <c r="T95" s="114">
        <v>0.1</v>
      </c>
      <c r="U95" s="111">
        <f t="shared" si="42"/>
        <v>0.52800000000000002</v>
      </c>
      <c r="V95" s="111">
        <f t="shared" si="43"/>
        <v>1.7117568455639949</v>
      </c>
      <c r="W95" s="111">
        <v>200</v>
      </c>
      <c r="X95" s="111">
        <f t="shared" si="44"/>
        <v>1.056</v>
      </c>
      <c r="Y95" s="111">
        <f t="shared" si="45"/>
        <v>0</v>
      </c>
      <c r="Z95" s="111">
        <f t="shared" si="46"/>
        <v>0</v>
      </c>
      <c r="AA95" s="114">
        <f t="shared" si="47"/>
        <v>-0.15219238554221071</v>
      </c>
      <c r="AB95" s="111">
        <f t="shared" si="48"/>
        <v>-0.28824315443600512</v>
      </c>
      <c r="AC95" s="111"/>
      <c r="AD95" s="107">
        <f t="shared" si="49"/>
        <v>3.6093966776115878E-2</v>
      </c>
      <c r="AE95" s="23">
        <f t="shared" si="50"/>
        <v>8.9962121212121202E-3</v>
      </c>
      <c r="AF95" s="108">
        <f t="shared" si="51"/>
        <v>1.6666666666666667</v>
      </c>
      <c r="AH95" s="104">
        <f t="shared" ref="AH95:AH118" si="53">G95</f>
        <v>1.3303104408984796</v>
      </c>
      <c r="AJ95" s="104">
        <f>AJ94+AH95</f>
        <v>2.0559343177521958</v>
      </c>
      <c r="AK95" s="23">
        <f t="shared" si="52"/>
        <v>-0.28824315443600512</v>
      </c>
    </row>
    <row r="96" spans="1:37" ht="29" x14ac:dyDescent="0.35">
      <c r="A96" s="23">
        <v>22</v>
      </c>
      <c r="B96" s="120" t="s">
        <v>161</v>
      </c>
      <c r="C96" s="48" t="s">
        <v>163</v>
      </c>
      <c r="D96" s="111" t="s">
        <v>170</v>
      </c>
      <c r="E96" s="111"/>
      <c r="F96" s="48" t="s">
        <v>158</v>
      </c>
      <c r="G96" s="108">
        <f>'time-factors'!C$37*'time-factors'!B72</f>
        <v>0.7256238768537161</v>
      </c>
      <c r="H96" s="166">
        <f>'time-factors'!K72</f>
        <v>0.47499999999999998</v>
      </c>
      <c r="I96" s="168" t="s">
        <v>166</v>
      </c>
      <c r="J96" s="96">
        <f>'time-factors'!P$46</f>
        <v>20</v>
      </c>
      <c r="K96" s="170">
        <f>'time-factors'!J$46</f>
        <v>0.05</v>
      </c>
      <c r="L96" s="172">
        <f t="shared" si="38"/>
        <v>3.8115228915578371E-2</v>
      </c>
      <c r="M96" s="171">
        <v>0.02</v>
      </c>
      <c r="N96" s="168">
        <f t="shared" si="39"/>
        <v>9.4999999999999998E-3</v>
      </c>
      <c r="O96" s="168">
        <v>4.4000000000000004</v>
      </c>
      <c r="P96" s="111">
        <v>200</v>
      </c>
      <c r="Q96" s="115">
        <f t="shared" si="40"/>
        <v>0.88000000000000012</v>
      </c>
      <c r="R96" s="114">
        <f t="shared" si="41"/>
        <v>0.92761522891557846</v>
      </c>
      <c r="S96" s="114">
        <f>1.2*O96</f>
        <v>5.28</v>
      </c>
      <c r="T96" s="114">
        <v>0.1</v>
      </c>
      <c r="U96" s="111">
        <f t="shared" si="42"/>
        <v>0.52800000000000002</v>
      </c>
      <c r="V96" s="111">
        <f t="shared" si="43"/>
        <v>1.7568470244613228</v>
      </c>
      <c r="W96" s="111">
        <v>200</v>
      </c>
      <c r="X96" s="111">
        <f t="shared" si="44"/>
        <v>1.056</v>
      </c>
      <c r="Y96" s="111">
        <f t="shared" si="45"/>
        <v>0</v>
      </c>
      <c r="Z96" s="111">
        <f t="shared" si="46"/>
        <v>0</v>
      </c>
      <c r="AA96" s="114">
        <f t="shared" si="47"/>
        <v>-0.12838477108442159</v>
      </c>
      <c r="AB96" s="111">
        <f t="shared" si="48"/>
        <v>-0.24315297553867724</v>
      </c>
      <c r="AC96" s="111"/>
      <c r="AD96" s="107">
        <f t="shared" si="49"/>
        <v>7.2187933552231756E-2</v>
      </c>
      <c r="AE96" s="23">
        <f t="shared" si="50"/>
        <v>1.799242424242424E-2</v>
      </c>
      <c r="AF96" s="108">
        <f t="shared" si="51"/>
        <v>1.6666666666666667</v>
      </c>
      <c r="AH96" s="104">
        <f t="shared" si="53"/>
        <v>0.7256238768537161</v>
      </c>
      <c r="AJ96" s="104">
        <f t="shared" ref="AJ96:AJ118" si="54">AJ95+AH96</f>
        <v>2.7815581946059118</v>
      </c>
      <c r="AK96" s="23">
        <f t="shared" si="52"/>
        <v>-0.24315297553867724</v>
      </c>
    </row>
    <row r="97" spans="1:37" x14ac:dyDescent="0.35">
      <c r="A97" s="23">
        <v>24</v>
      </c>
      <c r="B97" s="120" t="s">
        <v>165</v>
      </c>
      <c r="C97" s="120" t="s">
        <v>165</v>
      </c>
      <c r="D97" s="111" t="s">
        <v>170</v>
      </c>
      <c r="E97" s="111"/>
      <c r="F97" s="48" t="s">
        <v>158</v>
      </c>
      <c r="G97" s="108">
        <f>'time-factors'!C$37*'time-factors'!B74</f>
        <v>0.48374925123581075</v>
      </c>
      <c r="H97" s="166">
        <f>'time-factors'!K74</f>
        <v>0.47499999999999998</v>
      </c>
      <c r="I97" s="168" t="s">
        <v>166</v>
      </c>
      <c r="J97" s="96">
        <f>'time-factors'!P$46</f>
        <v>20</v>
      </c>
      <c r="K97" s="170">
        <f>'time-factors'!J$46</f>
        <v>0.05</v>
      </c>
      <c r="L97" s="172">
        <f t="shared" si="38"/>
        <v>3.8115228915578371E-2</v>
      </c>
      <c r="M97" s="171">
        <v>0.02</v>
      </c>
      <c r="N97" s="168">
        <f t="shared" si="39"/>
        <v>9.4999999999999998E-3</v>
      </c>
      <c r="O97" s="168">
        <v>4.4000000000000004</v>
      </c>
      <c r="P97" s="111">
        <v>200</v>
      </c>
      <c r="Q97" s="115">
        <f t="shared" si="40"/>
        <v>0.88000000000000012</v>
      </c>
      <c r="R97" s="114">
        <f t="shared" si="41"/>
        <v>0.92761522891557846</v>
      </c>
      <c r="S97" s="114">
        <f>1.2*O97</f>
        <v>5.28</v>
      </c>
      <c r="T97" s="114">
        <v>0.1</v>
      </c>
      <c r="U97" s="111">
        <f t="shared" si="42"/>
        <v>0.52800000000000002</v>
      </c>
      <c r="V97" s="111">
        <f t="shared" si="43"/>
        <v>1.7568470244613228</v>
      </c>
      <c r="W97" s="111">
        <v>200</v>
      </c>
      <c r="X97" s="111">
        <f t="shared" si="44"/>
        <v>1.056</v>
      </c>
      <c r="Y97" s="111">
        <f t="shared" si="45"/>
        <v>0</v>
      </c>
      <c r="Z97" s="111">
        <f t="shared" si="46"/>
        <v>0</v>
      </c>
      <c r="AA97" s="114">
        <f t="shared" si="47"/>
        <v>-0.12838477108442159</v>
      </c>
      <c r="AB97" s="111">
        <f t="shared" si="48"/>
        <v>-0.24315297553867724</v>
      </c>
      <c r="AC97" s="111"/>
      <c r="AD97" s="107">
        <f t="shared" si="49"/>
        <v>7.2187933552231756E-2</v>
      </c>
      <c r="AE97" s="23">
        <f t="shared" si="50"/>
        <v>1.799242424242424E-2</v>
      </c>
      <c r="AF97" s="108">
        <f t="shared" si="51"/>
        <v>1.6666666666666667</v>
      </c>
      <c r="AH97" s="104">
        <f t="shared" si="53"/>
        <v>0.48374925123581075</v>
      </c>
      <c r="AJ97" s="104">
        <f t="shared" si="54"/>
        <v>3.2653074458417226</v>
      </c>
      <c r="AK97" s="23">
        <f t="shared" si="52"/>
        <v>-0.24315297553867724</v>
      </c>
    </row>
    <row r="98" spans="1:37" x14ac:dyDescent="0.35">
      <c r="A98" s="23">
        <v>23</v>
      </c>
      <c r="B98" s="120" t="s">
        <v>164</v>
      </c>
      <c r="C98" s="48" t="s">
        <v>163</v>
      </c>
      <c r="D98" s="111" t="s">
        <v>170</v>
      </c>
      <c r="E98" s="111"/>
      <c r="F98" s="48" t="s">
        <v>158</v>
      </c>
      <c r="G98" s="108">
        <f>'time-factors'!C$37*'time-factors'!B73</f>
        <v>1.2093731280895268</v>
      </c>
      <c r="H98" s="166">
        <f>'time-factors'!K73</f>
        <v>0.95</v>
      </c>
      <c r="I98" s="168" t="s">
        <v>166</v>
      </c>
      <c r="J98" s="96">
        <f>'time-factors'!P$46</f>
        <v>20</v>
      </c>
      <c r="K98" s="170">
        <f>'time-factors'!J$46</f>
        <v>0.05</v>
      </c>
      <c r="L98" s="172">
        <f t="shared" si="38"/>
        <v>7.6230457831156742E-2</v>
      </c>
      <c r="M98" s="171">
        <v>0.02</v>
      </c>
      <c r="N98" s="168">
        <f t="shared" si="39"/>
        <v>1.9E-2</v>
      </c>
      <c r="O98" s="168">
        <v>4.4000000000000004</v>
      </c>
      <c r="P98" s="111">
        <v>200</v>
      </c>
      <c r="Q98" s="115">
        <f t="shared" si="40"/>
        <v>0.88000000000000012</v>
      </c>
      <c r="R98" s="114">
        <f t="shared" si="41"/>
        <v>0.97523045783115681</v>
      </c>
      <c r="S98" s="114">
        <f>1.2*O98</f>
        <v>5.28</v>
      </c>
      <c r="T98" s="114">
        <v>0.1</v>
      </c>
      <c r="U98" s="111">
        <f t="shared" si="42"/>
        <v>0.52800000000000002</v>
      </c>
      <c r="V98" s="111">
        <f t="shared" si="43"/>
        <v>1.8470273822559786</v>
      </c>
      <c r="W98" s="111">
        <v>200</v>
      </c>
      <c r="X98" s="111">
        <f t="shared" si="44"/>
        <v>1.056</v>
      </c>
      <c r="Y98" s="111">
        <f t="shared" si="45"/>
        <v>0</v>
      </c>
      <c r="Z98" s="111">
        <f t="shared" si="46"/>
        <v>0</v>
      </c>
      <c r="AA98" s="114">
        <f t="shared" si="47"/>
        <v>-8.0769542168843245E-2</v>
      </c>
      <c r="AB98" s="111">
        <f t="shared" si="48"/>
        <v>-0.15297261774402129</v>
      </c>
      <c r="AC98" s="111"/>
      <c r="AD98" s="107">
        <f t="shared" si="49"/>
        <v>0.14437586710446351</v>
      </c>
      <c r="AE98" s="23">
        <f t="shared" si="50"/>
        <v>3.5984848484848481E-2</v>
      </c>
      <c r="AF98" s="108">
        <f t="shared" si="51"/>
        <v>1.6666666666666667</v>
      </c>
      <c r="AH98" s="104">
        <f t="shared" si="53"/>
        <v>1.2093731280895268</v>
      </c>
      <c r="AJ98" s="104">
        <f t="shared" si="54"/>
        <v>4.4746805739312494</v>
      </c>
      <c r="AK98" s="23">
        <f t="shared" si="52"/>
        <v>-0.15297261774402129</v>
      </c>
    </row>
    <row r="99" spans="1:37" x14ac:dyDescent="0.35">
      <c r="A99" s="23">
        <v>19</v>
      </c>
      <c r="B99" s="120" t="s">
        <v>140</v>
      </c>
      <c r="C99" s="111" t="s">
        <v>157</v>
      </c>
      <c r="D99" s="111" t="s">
        <v>170</v>
      </c>
      <c r="E99" s="111"/>
      <c r="F99" s="111" t="s">
        <v>159</v>
      </c>
      <c r="G99" s="108">
        <f>'time-factors'!C$37*'time-factors'!B69</f>
        <v>1.5117164101119085</v>
      </c>
      <c r="H99" s="166">
        <f>'time-factors'!K69</f>
        <v>1.9</v>
      </c>
      <c r="I99" s="168" t="s">
        <v>166</v>
      </c>
      <c r="J99" s="96">
        <f>'time-factors'!P$45</f>
        <v>15</v>
      </c>
      <c r="K99" s="170">
        <f>'time-factors'!J$45</f>
        <v>0.05</v>
      </c>
      <c r="L99" s="172">
        <f t="shared" si="38"/>
        <v>0.18305034645756429</v>
      </c>
      <c r="M99" s="171">
        <v>0</v>
      </c>
      <c r="N99" s="168">
        <f t="shared" si="39"/>
        <v>0</v>
      </c>
      <c r="O99" s="168">
        <v>2.63</v>
      </c>
      <c r="P99" s="111">
        <v>200</v>
      </c>
      <c r="Q99" s="115">
        <f t="shared" si="40"/>
        <v>0.52600000000000002</v>
      </c>
      <c r="R99" s="114">
        <f t="shared" si="41"/>
        <v>0.70905034645756437</v>
      </c>
      <c r="S99" s="114">
        <f>3.5*O99</f>
        <v>9.2050000000000001</v>
      </c>
      <c r="T99" s="114">
        <v>0.18</v>
      </c>
      <c r="U99" s="111">
        <f t="shared" si="42"/>
        <v>1.6569</v>
      </c>
      <c r="V99" s="111">
        <f t="shared" si="43"/>
        <v>0.42793792410982218</v>
      </c>
      <c r="W99" s="116">
        <v>103</v>
      </c>
      <c r="X99" s="111">
        <f t="shared" si="44"/>
        <v>0.94811500000000004</v>
      </c>
      <c r="Y99" s="111">
        <f t="shared" si="45"/>
        <v>0</v>
      </c>
      <c r="Z99" s="111">
        <f t="shared" si="46"/>
        <v>0</v>
      </c>
      <c r="AA99" s="114">
        <f t="shared" si="47"/>
        <v>-0.23906465354243567</v>
      </c>
      <c r="AB99" s="111">
        <f t="shared" si="48"/>
        <v>-0.14428429811240007</v>
      </c>
      <c r="AC99" s="111"/>
      <c r="AD99" s="107">
        <f t="shared" si="49"/>
        <v>0.11047760664950468</v>
      </c>
      <c r="AE99" s="23">
        <f t="shared" si="50"/>
        <v>0</v>
      </c>
      <c r="AF99" s="108">
        <f t="shared" si="51"/>
        <v>0.31746031746031744</v>
      </c>
      <c r="AH99" s="104">
        <f t="shared" si="53"/>
        <v>1.5117164101119085</v>
      </c>
      <c r="AJ99" s="104">
        <f t="shared" si="54"/>
        <v>5.9863969840431581</v>
      </c>
      <c r="AK99" s="23">
        <f t="shared" si="52"/>
        <v>-0.14428429811240007</v>
      </c>
    </row>
    <row r="100" spans="1:37" ht="29" x14ac:dyDescent="0.35">
      <c r="A100" s="23">
        <v>25</v>
      </c>
      <c r="B100" s="121" t="s">
        <v>204</v>
      </c>
      <c r="C100" s="24" t="s">
        <v>41</v>
      </c>
      <c r="D100" s="24" t="s">
        <v>198</v>
      </c>
      <c r="E100" s="24"/>
      <c r="F100" s="24" t="s">
        <v>203</v>
      </c>
      <c r="G100" s="108">
        <f>'time-factors'!C$37*'time-factors'!B75</f>
        <v>1.5117164101119085</v>
      </c>
      <c r="H100" s="166">
        <f>'time-factors'!K75</f>
        <v>3.8949999999999996</v>
      </c>
      <c r="I100" s="53" t="s">
        <v>166</v>
      </c>
      <c r="J100" s="96">
        <f>'time-factors'!P$47</f>
        <v>10</v>
      </c>
      <c r="K100" s="170">
        <f>'time-factors'!J$47</f>
        <v>0.05</v>
      </c>
      <c r="L100" s="55">
        <f t="shared" si="38"/>
        <v>0.50442031949045363</v>
      </c>
      <c r="M100" s="54">
        <v>0</v>
      </c>
      <c r="N100" s="53">
        <f t="shared" si="39"/>
        <v>0</v>
      </c>
      <c r="O100" s="53">
        <v>2.2000000000000002</v>
      </c>
      <c r="P100" s="53">
        <v>200</v>
      </c>
      <c r="Q100" s="56">
        <f t="shared" si="40"/>
        <v>0.44000000000000006</v>
      </c>
      <c r="R100" s="55">
        <f t="shared" si="41"/>
        <v>0.94442031949045369</v>
      </c>
      <c r="S100" s="59">
        <f>2*O100</f>
        <v>4.4000000000000004</v>
      </c>
      <c r="T100" s="59">
        <v>0.27</v>
      </c>
      <c r="U100" s="53">
        <f t="shared" si="42"/>
        <v>1.1880000000000002</v>
      </c>
      <c r="V100" s="53">
        <f t="shared" si="43"/>
        <v>0.79496659889768817</v>
      </c>
      <c r="W100" s="53">
        <v>200</v>
      </c>
      <c r="X100" s="57">
        <f t="shared" si="44"/>
        <v>0.88000000000000012</v>
      </c>
      <c r="Y100" s="53">
        <f t="shared" si="45"/>
        <v>0</v>
      </c>
      <c r="Z100" s="53">
        <f t="shared" si="46"/>
        <v>0</v>
      </c>
      <c r="AA100" s="55">
        <f t="shared" si="47"/>
        <v>6.442031949045357E-2</v>
      </c>
      <c r="AB100" s="53">
        <f t="shared" si="48"/>
        <v>5.4225858156947443E-2</v>
      </c>
      <c r="AC100" s="53"/>
      <c r="AD100" s="107">
        <f t="shared" si="49"/>
        <v>0.42459622852731782</v>
      </c>
      <c r="AE100" s="23">
        <f t="shared" si="50"/>
        <v>0</v>
      </c>
      <c r="AF100" s="108">
        <f t="shared" si="51"/>
        <v>0.37037037037037035</v>
      </c>
      <c r="AH100" s="104">
        <f t="shared" si="53"/>
        <v>1.5117164101119085</v>
      </c>
      <c r="AJ100" s="104">
        <f t="shared" si="54"/>
        <v>7.4981133941550668</v>
      </c>
      <c r="AK100" s="23">
        <f t="shared" si="52"/>
        <v>5.4225858156947443E-2</v>
      </c>
    </row>
    <row r="101" spans="1:37" x14ac:dyDescent="0.35">
      <c r="A101" s="23">
        <v>12</v>
      </c>
      <c r="B101" s="118" t="s">
        <v>151</v>
      </c>
      <c r="C101" s="23" t="s">
        <v>139</v>
      </c>
      <c r="D101" s="23" t="s">
        <v>171</v>
      </c>
      <c r="E101" s="23" t="s">
        <v>128</v>
      </c>
      <c r="F101" s="23" t="s">
        <v>83</v>
      </c>
      <c r="G101" s="108">
        <f>'time-factors'!C$37*'time-factors'!B62</f>
        <v>0.12093731280895269</v>
      </c>
      <c r="H101" s="166">
        <f>'time-factors'!K62</f>
        <v>42.75</v>
      </c>
      <c r="I101" s="96" t="s">
        <v>98</v>
      </c>
      <c r="J101" s="96">
        <f>'time-factors'!P$43</f>
        <v>10</v>
      </c>
      <c r="K101" s="170">
        <f>'time-factors'!J$43</f>
        <v>0.05</v>
      </c>
      <c r="L101" s="173">
        <f t="shared" si="38"/>
        <v>5.536320579773272</v>
      </c>
      <c r="M101" s="170">
        <v>0</v>
      </c>
      <c r="N101" s="96">
        <f t="shared" si="39"/>
        <v>0</v>
      </c>
      <c r="O101" s="167" cm="1">
        <f t="array" ref="O101">IFERROR(_xlfn.IFS(E101="Heavy", 'vehicle E calcs'!$H$33,E101="Cars/vans",'vehicle E calcs'!$H$32),"")</f>
        <v>6.3768270755398833</v>
      </c>
      <c r="P101" s="106">
        <v>200</v>
      </c>
      <c r="Q101" s="108">
        <f t="shared" si="40"/>
        <v>1.2753654151079765</v>
      </c>
      <c r="R101" s="107">
        <f t="shared" si="41"/>
        <v>6.8116859948812483</v>
      </c>
      <c r="S101" s="107" cm="1">
        <f t="array" ref="S101">_xlfn.IFS(E101="Heavy", 'vehicle E calcs'!$T$21,E101="Cars/vans",'vehicle E calcs'!$S$21)*O101</f>
        <v>23.354986057632608</v>
      </c>
      <c r="T101" s="109">
        <v>0.27</v>
      </c>
      <c r="U101" s="23">
        <f t="shared" si="42"/>
        <v>6.3058462355608045</v>
      </c>
      <c r="V101" s="23">
        <f t="shared" si="43"/>
        <v>1.0802175854634453</v>
      </c>
      <c r="W101" s="106">
        <f t="shared" ref="W101:W118" si="55">W$2*105</f>
        <v>168</v>
      </c>
      <c r="X101" s="23">
        <f t="shared" si="44"/>
        <v>3.9236376576822782</v>
      </c>
      <c r="Y101" s="96">
        <f t="shared" ref="Y101:Y118" si="56">$Z$2</f>
        <v>0</v>
      </c>
      <c r="Z101" s="23">
        <f t="shared" si="46"/>
        <v>0</v>
      </c>
      <c r="AA101" s="107">
        <f t="shared" si="47"/>
        <v>2.88804833719897</v>
      </c>
      <c r="AB101" s="23">
        <f t="shared" si="48"/>
        <v>0.45799536324122314</v>
      </c>
      <c r="AD101" s="107">
        <f t="shared" si="49"/>
        <v>0.87796631458472352</v>
      </c>
      <c r="AE101" s="23">
        <f t="shared" si="50"/>
        <v>0</v>
      </c>
      <c r="AF101" s="108">
        <f t="shared" si="51"/>
        <v>0.20225127087872183</v>
      </c>
      <c r="AH101" s="104">
        <f t="shared" si="53"/>
        <v>0.12093731280895269</v>
      </c>
      <c r="AJ101" s="104">
        <f t="shared" si="54"/>
        <v>7.6190507069640194</v>
      </c>
      <c r="AK101" s="23">
        <f t="shared" si="52"/>
        <v>0.45799536324122314</v>
      </c>
    </row>
    <row r="102" spans="1:37" x14ac:dyDescent="0.35">
      <c r="A102" s="23">
        <v>16</v>
      </c>
      <c r="B102" s="118" t="s">
        <v>154</v>
      </c>
      <c r="C102" s="23" t="s">
        <v>139</v>
      </c>
      <c r="D102" s="23" t="s">
        <v>171</v>
      </c>
      <c r="E102" s="23" t="s">
        <v>128</v>
      </c>
      <c r="F102" s="23" t="s">
        <v>83</v>
      </c>
      <c r="G102" s="108">
        <f>'time-factors'!C$37*'time-factors'!B66</f>
        <v>0.12093731280895269</v>
      </c>
      <c r="H102" s="166">
        <f>'time-factors'!K66</f>
        <v>42.75</v>
      </c>
      <c r="I102" s="96" t="s">
        <v>98</v>
      </c>
      <c r="J102" s="96">
        <f>'time-factors'!P$43</f>
        <v>10</v>
      </c>
      <c r="K102" s="170">
        <f>'time-factors'!J$43</f>
        <v>0.05</v>
      </c>
      <c r="L102" s="173">
        <f t="shared" si="38"/>
        <v>5.536320579773272</v>
      </c>
      <c r="M102" s="170">
        <v>0</v>
      </c>
      <c r="N102" s="96">
        <f t="shared" si="39"/>
        <v>0</v>
      </c>
      <c r="O102" s="167" cm="1">
        <f t="array" ref="O102">IFERROR(_xlfn.IFS(E102="Heavy", 'vehicle E calcs'!$H$33,E102="Cars/vans",'vehicle E calcs'!$H$32),"")</f>
        <v>6.3768270755398833</v>
      </c>
      <c r="P102" s="106">
        <v>200</v>
      </c>
      <c r="Q102" s="108">
        <f t="shared" si="40"/>
        <v>1.2753654151079765</v>
      </c>
      <c r="R102" s="107">
        <f t="shared" si="41"/>
        <v>6.8116859948812483</v>
      </c>
      <c r="S102" s="107" cm="1">
        <f t="array" ref="S102">_xlfn.IFS(E102="Heavy", 'vehicle E calcs'!$T$21,E102="Cars/vans",'vehicle E calcs'!$S$21)*O102</f>
        <v>23.354986057632608</v>
      </c>
      <c r="T102" s="109">
        <v>0.27</v>
      </c>
      <c r="U102" s="23">
        <f t="shared" si="42"/>
        <v>6.3058462355608045</v>
      </c>
      <c r="V102" s="23">
        <f t="shared" si="43"/>
        <v>1.0802175854634453</v>
      </c>
      <c r="W102" s="106">
        <f t="shared" si="55"/>
        <v>168</v>
      </c>
      <c r="X102" s="23">
        <f t="shared" si="44"/>
        <v>3.9236376576822782</v>
      </c>
      <c r="Y102" s="96">
        <f t="shared" si="56"/>
        <v>0</v>
      </c>
      <c r="Z102" s="23">
        <f t="shared" si="46"/>
        <v>0</v>
      </c>
      <c r="AA102" s="107">
        <f t="shared" si="47"/>
        <v>2.88804833719897</v>
      </c>
      <c r="AB102" s="23">
        <f t="shared" si="48"/>
        <v>0.45799536324122314</v>
      </c>
      <c r="AD102" s="107">
        <f t="shared" si="49"/>
        <v>0.87796631458472352</v>
      </c>
      <c r="AE102" s="23">
        <f t="shared" si="50"/>
        <v>0</v>
      </c>
      <c r="AF102" s="108">
        <f t="shared" si="51"/>
        <v>0.20225127087872183</v>
      </c>
      <c r="AH102" s="104">
        <f t="shared" si="53"/>
        <v>0.12093731280895269</v>
      </c>
      <c r="AJ102" s="104">
        <f t="shared" si="54"/>
        <v>7.739988019772972</v>
      </c>
      <c r="AK102" s="23">
        <f t="shared" si="52"/>
        <v>0.45799536324122314</v>
      </c>
    </row>
    <row r="103" spans="1:37" ht="45.5" x14ac:dyDescent="0.35">
      <c r="A103" s="23">
        <v>13</v>
      </c>
      <c r="B103" s="118" t="s">
        <v>232</v>
      </c>
      <c r="C103" s="23" t="s">
        <v>139</v>
      </c>
      <c r="D103" s="23" t="s">
        <v>171</v>
      </c>
      <c r="E103" s="23" t="s">
        <v>188</v>
      </c>
      <c r="F103" s="23" t="s">
        <v>83</v>
      </c>
      <c r="G103" s="108">
        <f>'time-factors'!C$37*'time-factors'!B63</f>
        <v>0.13303104408984798</v>
      </c>
      <c r="H103" s="166">
        <f>'time-factors'!K63</f>
        <v>73.625</v>
      </c>
      <c r="I103" s="96" t="s">
        <v>98</v>
      </c>
      <c r="J103" s="96">
        <f>'time-factors'!P$43</f>
        <v>10</v>
      </c>
      <c r="K103" s="170">
        <f>'time-factors'!J$43</f>
        <v>0.05</v>
      </c>
      <c r="L103" s="173">
        <f t="shared" si="38"/>
        <v>9.5347743318317466</v>
      </c>
      <c r="M103" s="170">
        <v>0</v>
      </c>
      <c r="N103" s="96">
        <f t="shared" si="39"/>
        <v>0</v>
      </c>
      <c r="O103" s="167" cm="1">
        <f t="array" ref="O103">IFERROR(_xlfn.IFS(E103="Heavy", 'vehicle E calcs'!$H$33,E103="Cars/vans",'vehicle E calcs'!$H$32),"")</f>
        <v>7.1233383316924828</v>
      </c>
      <c r="P103" s="106">
        <v>200</v>
      </c>
      <c r="Q103" s="108">
        <f t="shared" si="40"/>
        <v>1.4246676663384965</v>
      </c>
      <c r="R103" s="107">
        <f t="shared" si="41"/>
        <v>10.959441998170243</v>
      </c>
      <c r="S103" s="107" cm="1">
        <f t="array" ref="S103">_xlfn.IFS(E103="Heavy", 'vehicle E calcs'!$T$21,E103="Cars/vans",'vehicle E calcs'!$S$21)*O103</f>
        <v>24.362584419881831</v>
      </c>
      <c r="T103" s="109">
        <v>0.27</v>
      </c>
      <c r="U103" s="23">
        <f t="shared" si="42"/>
        <v>6.5778977933680949</v>
      </c>
      <c r="V103" s="23">
        <f t="shared" si="43"/>
        <v>1.666100985822502</v>
      </c>
      <c r="W103" s="106">
        <f t="shared" si="55"/>
        <v>168</v>
      </c>
      <c r="X103" s="23">
        <f t="shared" si="44"/>
        <v>4.0929141825401478</v>
      </c>
      <c r="Y103" s="96">
        <f t="shared" si="56"/>
        <v>0</v>
      </c>
      <c r="Z103" s="23">
        <f t="shared" si="46"/>
        <v>0</v>
      </c>
      <c r="AA103" s="107">
        <f t="shared" si="47"/>
        <v>6.8665278156300955</v>
      </c>
      <c r="AB103" s="23">
        <f t="shared" si="48"/>
        <v>1.0438787636002798</v>
      </c>
      <c r="AD103" s="107">
        <f t="shared" si="49"/>
        <v>1.4495169477161542</v>
      </c>
      <c r="AE103" s="23">
        <f t="shared" si="50"/>
        <v>0</v>
      </c>
      <c r="AF103" s="108">
        <f t="shared" si="51"/>
        <v>0.2165840381063478</v>
      </c>
      <c r="AH103" s="104">
        <f t="shared" si="53"/>
        <v>0.13303104408984798</v>
      </c>
      <c r="AJ103" s="104">
        <f t="shared" si="54"/>
        <v>7.8730190638628201</v>
      </c>
      <c r="AK103" s="23">
        <f t="shared" si="52"/>
        <v>1.0438787636002798</v>
      </c>
    </row>
    <row r="104" spans="1:37" x14ac:dyDescent="0.35">
      <c r="A104" s="23">
        <v>11</v>
      </c>
      <c r="B104" s="118" t="s">
        <v>150</v>
      </c>
      <c r="C104" s="23" t="s">
        <v>139</v>
      </c>
      <c r="D104" s="23" t="s">
        <v>171</v>
      </c>
      <c r="E104" s="23" t="s">
        <v>128</v>
      </c>
      <c r="F104" s="23" t="s">
        <v>83</v>
      </c>
      <c r="G104" s="108">
        <f>'time-factors'!C$37*'time-factors'!B61</f>
        <v>6.0468656404476344E-2</v>
      </c>
      <c r="H104" s="166">
        <f>'time-factors'!K61</f>
        <v>73.625</v>
      </c>
      <c r="I104" s="96" t="s">
        <v>98</v>
      </c>
      <c r="J104" s="96">
        <f>'time-factors'!P$43</f>
        <v>10</v>
      </c>
      <c r="K104" s="170">
        <f>'time-factors'!J$43</f>
        <v>0.05</v>
      </c>
      <c r="L104" s="173">
        <f t="shared" si="38"/>
        <v>9.5347743318317466</v>
      </c>
      <c r="M104" s="170">
        <v>0</v>
      </c>
      <c r="N104" s="96">
        <f t="shared" si="39"/>
        <v>0</v>
      </c>
      <c r="O104" s="167" cm="1">
        <f t="array" ref="O104">IFERROR(_xlfn.IFS(E104="Heavy", 'vehicle E calcs'!$H$33,E104="Cars/vans",'vehicle E calcs'!$H$32),"")</f>
        <v>6.3768270755398833</v>
      </c>
      <c r="P104" s="106">
        <v>200</v>
      </c>
      <c r="Q104" s="108">
        <f t="shared" si="40"/>
        <v>1.2753654151079765</v>
      </c>
      <c r="R104" s="107">
        <f t="shared" si="41"/>
        <v>10.810139746939724</v>
      </c>
      <c r="S104" s="107" cm="1">
        <f t="array" ref="S104">_xlfn.IFS(E104="Heavy", 'vehicle E calcs'!$T$21,E104="Cars/vans",'vehicle E calcs'!$S$21)*O104</f>
        <v>23.354986057632608</v>
      </c>
      <c r="T104" s="109">
        <v>0.27</v>
      </c>
      <c r="U104" s="23">
        <f t="shared" si="42"/>
        <v>6.3058462355608045</v>
      </c>
      <c r="V104" s="23">
        <f t="shared" si="43"/>
        <v>1.7143043682190793</v>
      </c>
      <c r="W104" s="106">
        <f t="shared" si="55"/>
        <v>168</v>
      </c>
      <c r="X104" s="23">
        <f t="shared" si="44"/>
        <v>3.9236376576822782</v>
      </c>
      <c r="Y104" s="96">
        <f t="shared" si="56"/>
        <v>0</v>
      </c>
      <c r="Z104" s="23">
        <f t="shared" si="46"/>
        <v>0</v>
      </c>
      <c r="AA104" s="107">
        <f t="shared" si="47"/>
        <v>6.886502089257446</v>
      </c>
      <c r="AB104" s="23">
        <f t="shared" si="48"/>
        <v>1.092082145996857</v>
      </c>
      <c r="AD104" s="107">
        <f t="shared" si="49"/>
        <v>1.5120530973403572</v>
      </c>
      <c r="AE104" s="23">
        <f t="shared" si="50"/>
        <v>0</v>
      </c>
      <c r="AF104" s="108">
        <f t="shared" si="51"/>
        <v>0.20225127087872183</v>
      </c>
      <c r="AH104" s="104">
        <f t="shared" si="53"/>
        <v>6.0468656404476344E-2</v>
      </c>
      <c r="AJ104" s="104">
        <f t="shared" si="54"/>
        <v>7.9334877202672969</v>
      </c>
      <c r="AK104" s="23">
        <f t="shared" si="52"/>
        <v>1.092082145996857</v>
      </c>
    </row>
    <row r="105" spans="1:37" x14ac:dyDescent="0.35">
      <c r="A105" s="23">
        <v>6</v>
      </c>
      <c r="B105" s="118" t="s">
        <v>146</v>
      </c>
      <c r="C105" s="23" t="s">
        <v>139</v>
      </c>
      <c r="D105" s="23" t="s">
        <v>171</v>
      </c>
      <c r="E105" s="23" t="s">
        <v>188</v>
      </c>
      <c r="F105" s="23" t="s">
        <v>83</v>
      </c>
      <c r="G105" s="108">
        <f>'time-factors'!C$37*'time-factors'!B56</f>
        <v>0.1753591035729814</v>
      </c>
      <c r="H105" s="166">
        <f>'time-factors'!K56</f>
        <v>141.21301600000001</v>
      </c>
      <c r="I105" s="96" t="s">
        <v>98</v>
      </c>
      <c r="J105" s="96">
        <f>'time-factors'!P$43</f>
        <v>10</v>
      </c>
      <c r="K105" s="170">
        <f>'time-factors'!J$43</f>
        <v>0.05</v>
      </c>
      <c r="L105" s="173">
        <f t="shared" si="38"/>
        <v>18.287731616670232</v>
      </c>
      <c r="M105" s="170">
        <v>0</v>
      </c>
      <c r="N105" s="96">
        <f t="shared" si="39"/>
        <v>0</v>
      </c>
      <c r="O105" s="167" cm="1">
        <f t="array" ref="O105">IFERROR(_xlfn.IFS(E105="Heavy", 'vehicle E calcs'!$H$33,E105="Cars/vans",'vehicle E calcs'!$H$32),"")</f>
        <v>7.1233383316924828</v>
      </c>
      <c r="P105" s="106">
        <v>200</v>
      </c>
      <c r="Q105" s="108">
        <f t="shared" si="40"/>
        <v>1.4246676663384965</v>
      </c>
      <c r="R105" s="107">
        <f t="shared" si="41"/>
        <v>19.712399283008729</v>
      </c>
      <c r="S105" s="107" cm="1">
        <f t="array" ref="S105">_xlfn.IFS(E105="Heavy", 'vehicle E calcs'!$T$21,E105="Cars/vans",'vehicle E calcs'!$S$21)*O105</f>
        <v>24.362584419881831</v>
      </c>
      <c r="T105" s="109">
        <v>0.27</v>
      </c>
      <c r="U105" s="23">
        <f t="shared" si="42"/>
        <v>6.5778977933680949</v>
      </c>
      <c r="V105" s="23">
        <f t="shared" si="43"/>
        <v>2.9967627807903878</v>
      </c>
      <c r="W105" s="106">
        <f t="shared" si="55"/>
        <v>168</v>
      </c>
      <c r="X105" s="23">
        <f t="shared" si="44"/>
        <v>4.0929141825401478</v>
      </c>
      <c r="Y105" s="96">
        <f t="shared" si="56"/>
        <v>0</v>
      </c>
      <c r="Z105" s="23">
        <f t="shared" si="46"/>
        <v>0</v>
      </c>
      <c r="AA105" s="107">
        <f t="shared" si="47"/>
        <v>15.61948510046858</v>
      </c>
      <c r="AB105" s="23">
        <f t="shared" si="48"/>
        <v>2.3745405585681656</v>
      </c>
      <c r="AD105" s="107">
        <f t="shared" si="49"/>
        <v>2.7801787426840403</v>
      </c>
      <c r="AE105" s="23">
        <f t="shared" si="50"/>
        <v>0</v>
      </c>
      <c r="AF105" s="108">
        <f t="shared" si="51"/>
        <v>0.2165840381063478</v>
      </c>
      <c r="AH105" s="104">
        <f t="shared" si="53"/>
        <v>0.1753591035729814</v>
      </c>
      <c r="AJ105" s="104">
        <f t="shared" si="54"/>
        <v>8.1088468238402776</v>
      </c>
      <c r="AK105" s="23">
        <f t="shared" si="52"/>
        <v>2.3745405585681656</v>
      </c>
    </row>
    <row r="106" spans="1:37" x14ac:dyDescent="0.35">
      <c r="A106" s="23">
        <v>1</v>
      </c>
      <c r="B106" s="118" t="s">
        <v>141</v>
      </c>
      <c r="C106" s="23" t="s">
        <v>139</v>
      </c>
      <c r="D106" s="23" t="s">
        <v>171</v>
      </c>
      <c r="E106" s="23" t="s">
        <v>128</v>
      </c>
      <c r="F106" s="23" t="s">
        <v>83</v>
      </c>
      <c r="G106" s="108">
        <f>'time-factors'!C$37*'time-factors'!B51</f>
        <v>0.2116402974156672</v>
      </c>
      <c r="H106" s="166">
        <f>'time-factors'!K51</f>
        <v>189.12457499999999</v>
      </c>
      <c r="I106" s="96" t="s">
        <v>98</v>
      </c>
      <c r="J106" s="96">
        <f>'time-factors'!P$43</f>
        <v>10</v>
      </c>
      <c r="K106" s="170">
        <f>'time-factors'!J$43</f>
        <v>0.05</v>
      </c>
      <c r="L106" s="173">
        <f t="shared" si="38"/>
        <v>24.49249770089763</v>
      </c>
      <c r="M106" s="170">
        <v>0</v>
      </c>
      <c r="N106" s="96">
        <f t="shared" si="39"/>
        <v>0</v>
      </c>
      <c r="O106" s="167" cm="1">
        <f t="array" ref="O106">IFERROR(_xlfn.IFS(E106="Heavy", 'vehicle E calcs'!$H$33,E106="Cars/vans",'vehicle E calcs'!$H$32),"")</f>
        <v>6.3768270755398833</v>
      </c>
      <c r="P106" s="106">
        <v>200</v>
      </c>
      <c r="Q106" s="108">
        <f t="shared" si="40"/>
        <v>1.2753654151079765</v>
      </c>
      <c r="R106" s="107">
        <f t="shared" si="41"/>
        <v>25.767863116005607</v>
      </c>
      <c r="S106" s="107" cm="1">
        <f t="array" ref="S106">_xlfn.IFS(E106="Heavy", 'vehicle E calcs'!$T$21,E106="Cars/vans",'vehicle E calcs'!$S$21)*O106</f>
        <v>23.354986057632608</v>
      </c>
      <c r="T106" s="109">
        <v>0.27</v>
      </c>
      <c r="U106" s="23">
        <f t="shared" si="42"/>
        <v>6.3058462355608045</v>
      </c>
      <c r="V106" s="23">
        <f t="shared" si="43"/>
        <v>4.086344981057719</v>
      </c>
      <c r="W106" s="106">
        <f t="shared" si="55"/>
        <v>168</v>
      </c>
      <c r="X106" s="23">
        <f t="shared" si="44"/>
        <v>3.9236376576822782</v>
      </c>
      <c r="Y106" s="96">
        <f t="shared" si="56"/>
        <v>0</v>
      </c>
      <c r="Z106" s="23">
        <f t="shared" si="46"/>
        <v>0</v>
      </c>
      <c r="AA106" s="107">
        <f t="shared" si="47"/>
        <v>21.844225458323329</v>
      </c>
      <c r="AB106" s="23">
        <f t="shared" si="48"/>
        <v>3.4641227588354973</v>
      </c>
      <c r="AD106" s="107">
        <f t="shared" si="49"/>
        <v>3.8840937101789974</v>
      </c>
      <c r="AE106" s="23">
        <f t="shared" si="50"/>
        <v>0</v>
      </c>
      <c r="AF106" s="108">
        <f t="shared" si="51"/>
        <v>0.20225127087872183</v>
      </c>
      <c r="AH106" s="104">
        <f t="shared" si="53"/>
        <v>0.2116402974156672</v>
      </c>
      <c r="AJ106" s="104">
        <f t="shared" si="54"/>
        <v>8.3204871212559439</v>
      </c>
      <c r="AK106" s="23">
        <f t="shared" si="52"/>
        <v>3.4641227588354973</v>
      </c>
    </row>
    <row r="107" spans="1:37" x14ac:dyDescent="0.35">
      <c r="A107" s="23">
        <v>4</v>
      </c>
      <c r="B107" s="118" t="s">
        <v>144</v>
      </c>
      <c r="C107" s="23" t="s">
        <v>139</v>
      </c>
      <c r="D107" s="23" t="s">
        <v>171</v>
      </c>
      <c r="E107" s="23" t="s">
        <v>188</v>
      </c>
      <c r="F107" s="23" t="s">
        <v>83</v>
      </c>
      <c r="G107" s="108">
        <f>'time-factors'!C$37*'time-factors'!B54</f>
        <v>9.0702984606714512E-2</v>
      </c>
      <c r="H107" s="166">
        <f>'time-factors'!K54</f>
        <v>273.59999999999997</v>
      </c>
      <c r="I107" s="96" t="s">
        <v>98</v>
      </c>
      <c r="J107" s="96">
        <f>'time-factors'!P$43</f>
        <v>10</v>
      </c>
      <c r="K107" s="170">
        <f>'time-factors'!J$43</f>
        <v>0.05</v>
      </c>
      <c r="L107" s="173">
        <f t="shared" si="38"/>
        <v>35.432451710548939</v>
      </c>
      <c r="M107" s="170">
        <v>0</v>
      </c>
      <c r="N107" s="96">
        <f t="shared" si="39"/>
        <v>0</v>
      </c>
      <c r="O107" s="167" cm="1">
        <f t="array" ref="O107">IFERROR(_xlfn.IFS(E107="Heavy", 'vehicle E calcs'!$H$33,E107="Cars/vans",'vehicle E calcs'!$H$32),"")</f>
        <v>7.1233383316924828</v>
      </c>
      <c r="P107" s="106">
        <v>200</v>
      </c>
      <c r="Q107" s="108">
        <f t="shared" si="40"/>
        <v>1.4246676663384965</v>
      </c>
      <c r="R107" s="107">
        <f t="shared" si="41"/>
        <v>36.857119376887432</v>
      </c>
      <c r="S107" s="107" cm="1">
        <f t="array" ref="S107">_xlfn.IFS(E107="Heavy", 'vehicle E calcs'!$T$21,E107="Cars/vans",'vehicle E calcs'!$S$21)*O107</f>
        <v>24.362584419881831</v>
      </c>
      <c r="T107" s="109">
        <v>0.27</v>
      </c>
      <c r="U107" s="23">
        <f t="shared" si="42"/>
        <v>6.5778977933680949</v>
      </c>
      <c r="V107" s="23">
        <f t="shared" si="43"/>
        <v>5.6031760502644419</v>
      </c>
      <c r="W107" s="106">
        <f t="shared" si="55"/>
        <v>168</v>
      </c>
      <c r="X107" s="23">
        <f t="shared" si="44"/>
        <v>4.0929141825401478</v>
      </c>
      <c r="Y107" s="96">
        <f t="shared" si="56"/>
        <v>0</v>
      </c>
      <c r="Z107" s="23">
        <f t="shared" si="46"/>
        <v>0</v>
      </c>
      <c r="AA107" s="107">
        <f t="shared" si="47"/>
        <v>32.764205194347284</v>
      </c>
      <c r="AB107" s="23">
        <f t="shared" si="48"/>
        <v>4.9809538280422201</v>
      </c>
      <c r="AD107" s="107">
        <f t="shared" si="49"/>
        <v>5.3865920121580952</v>
      </c>
      <c r="AE107" s="23">
        <f t="shared" si="50"/>
        <v>0</v>
      </c>
      <c r="AF107" s="108">
        <f t="shared" si="51"/>
        <v>0.2165840381063478</v>
      </c>
      <c r="AH107" s="104">
        <f t="shared" si="53"/>
        <v>9.0702984606714512E-2</v>
      </c>
      <c r="AJ107" s="104">
        <f t="shared" si="54"/>
        <v>8.4111901058626586</v>
      </c>
      <c r="AK107" s="23">
        <f t="shared" si="52"/>
        <v>4.9809538280422201</v>
      </c>
    </row>
    <row r="108" spans="1:37" ht="29" x14ac:dyDescent="0.35">
      <c r="A108" s="23">
        <v>7</v>
      </c>
      <c r="B108" s="118" t="s">
        <v>147</v>
      </c>
      <c r="C108" s="23" t="s">
        <v>139</v>
      </c>
      <c r="D108" s="23" t="s">
        <v>171</v>
      </c>
      <c r="E108" s="23" t="s">
        <v>188</v>
      </c>
      <c r="F108" s="23" t="s">
        <v>83</v>
      </c>
      <c r="G108" s="108">
        <f>'time-factors'!C$37*'time-factors'!B57</f>
        <v>0.15117164101119085</v>
      </c>
      <c r="H108" s="166">
        <f>'time-factors'!K57</f>
        <v>273.59999999999997</v>
      </c>
      <c r="I108" s="96" t="s">
        <v>98</v>
      </c>
      <c r="J108" s="96">
        <f>'time-factors'!P$43</f>
        <v>10</v>
      </c>
      <c r="K108" s="170">
        <f>'time-factors'!J$43</f>
        <v>0.05</v>
      </c>
      <c r="L108" s="173">
        <f t="shared" si="38"/>
        <v>35.432451710548939</v>
      </c>
      <c r="M108" s="170">
        <v>0</v>
      </c>
      <c r="N108" s="96">
        <f t="shared" si="39"/>
        <v>0</v>
      </c>
      <c r="O108" s="167" cm="1">
        <f t="array" ref="O108">IFERROR(_xlfn.IFS(E108="Heavy", 'vehicle E calcs'!$H$33,E108="Cars/vans",'vehicle E calcs'!$H$32),"")</f>
        <v>7.1233383316924828</v>
      </c>
      <c r="P108" s="106">
        <v>200</v>
      </c>
      <c r="Q108" s="108">
        <f t="shared" si="40"/>
        <v>1.4246676663384965</v>
      </c>
      <c r="R108" s="107">
        <f t="shared" si="41"/>
        <v>36.857119376887432</v>
      </c>
      <c r="S108" s="107" cm="1">
        <f t="array" ref="S108">_xlfn.IFS(E108="Heavy", 'vehicle E calcs'!$T$21,E108="Cars/vans",'vehicle E calcs'!$S$21)*O108</f>
        <v>24.362584419881831</v>
      </c>
      <c r="T108" s="109">
        <v>0.27</v>
      </c>
      <c r="U108" s="23">
        <f t="shared" si="42"/>
        <v>6.5778977933680949</v>
      </c>
      <c r="V108" s="23">
        <f t="shared" si="43"/>
        <v>5.6031760502644419</v>
      </c>
      <c r="W108" s="106">
        <f t="shared" si="55"/>
        <v>168</v>
      </c>
      <c r="X108" s="23">
        <f t="shared" si="44"/>
        <v>4.0929141825401478</v>
      </c>
      <c r="Y108" s="96">
        <f t="shared" si="56"/>
        <v>0</v>
      </c>
      <c r="Z108" s="23">
        <f t="shared" si="46"/>
        <v>0</v>
      </c>
      <c r="AA108" s="107">
        <f t="shared" si="47"/>
        <v>32.764205194347284</v>
      </c>
      <c r="AB108" s="23">
        <f t="shared" si="48"/>
        <v>4.9809538280422201</v>
      </c>
      <c r="AD108" s="107">
        <f t="shared" si="49"/>
        <v>5.3865920121580952</v>
      </c>
      <c r="AE108" s="23">
        <f t="shared" si="50"/>
        <v>0</v>
      </c>
      <c r="AF108" s="108">
        <f t="shared" si="51"/>
        <v>0.2165840381063478</v>
      </c>
      <c r="AH108" s="104">
        <f t="shared" si="53"/>
        <v>0.15117164101119085</v>
      </c>
      <c r="AJ108" s="104">
        <f t="shared" si="54"/>
        <v>8.5623617468738491</v>
      </c>
      <c r="AK108" s="23">
        <f t="shared" si="52"/>
        <v>4.9809538280422201</v>
      </c>
    </row>
    <row r="109" spans="1:37" x14ac:dyDescent="0.35">
      <c r="A109" s="23">
        <v>9</v>
      </c>
      <c r="B109" s="118" t="s">
        <v>149</v>
      </c>
      <c r="C109" s="23" t="s">
        <v>139</v>
      </c>
      <c r="D109" s="23" t="s">
        <v>171</v>
      </c>
      <c r="E109" s="23" t="s">
        <v>188</v>
      </c>
      <c r="F109" s="23" t="s">
        <v>83</v>
      </c>
      <c r="G109" s="108">
        <f>'time-factors'!C$37*'time-factors'!B59</f>
        <v>6.0468656404476344E-2</v>
      </c>
      <c r="H109" s="166">
        <f>'time-factors'!K59</f>
        <v>273.59999999999997</v>
      </c>
      <c r="I109" s="96" t="s">
        <v>98</v>
      </c>
      <c r="J109" s="96">
        <f>'time-factors'!P$43</f>
        <v>10</v>
      </c>
      <c r="K109" s="170">
        <f>'time-factors'!J$43</f>
        <v>0.05</v>
      </c>
      <c r="L109" s="173">
        <f t="shared" si="38"/>
        <v>35.432451710548939</v>
      </c>
      <c r="M109" s="170">
        <v>0</v>
      </c>
      <c r="N109" s="96">
        <f t="shared" si="39"/>
        <v>0</v>
      </c>
      <c r="O109" s="167" cm="1">
        <f t="array" ref="O109">IFERROR(_xlfn.IFS(E109="Heavy", 'vehicle E calcs'!$H$33,E109="Cars/vans",'vehicle E calcs'!$H$32),"")</f>
        <v>7.1233383316924828</v>
      </c>
      <c r="P109" s="106">
        <v>200</v>
      </c>
      <c r="Q109" s="108">
        <f t="shared" si="40"/>
        <v>1.4246676663384965</v>
      </c>
      <c r="R109" s="107">
        <f t="shared" si="41"/>
        <v>36.857119376887432</v>
      </c>
      <c r="S109" s="107" cm="1">
        <f t="array" ref="S109">_xlfn.IFS(E109="Heavy", 'vehicle E calcs'!$T$21,E109="Cars/vans",'vehicle E calcs'!$S$21)*O109</f>
        <v>24.362584419881831</v>
      </c>
      <c r="T109" s="109">
        <v>0.27</v>
      </c>
      <c r="U109" s="23">
        <f t="shared" si="42"/>
        <v>6.5778977933680949</v>
      </c>
      <c r="V109" s="23">
        <f t="shared" si="43"/>
        <v>5.6031760502644419</v>
      </c>
      <c r="W109" s="106">
        <f t="shared" si="55"/>
        <v>168</v>
      </c>
      <c r="X109" s="23">
        <f t="shared" si="44"/>
        <v>4.0929141825401478</v>
      </c>
      <c r="Y109" s="96">
        <f t="shared" si="56"/>
        <v>0</v>
      </c>
      <c r="Z109" s="23">
        <f t="shared" si="46"/>
        <v>0</v>
      </c>
      <c r="AA109" s="107">
        <f t="shared" si="47"/>
        <v>32.764205194347284</v>
      </c>
      <c r="AB109" s="23">
        <f t="shared" si="48"/>
        <v>4.9809538280422201</v>
      </c>
      <c r="AD109" s="107">
        <f t="shared" si="49"/>
        <v>5.3865920121580952</v>
      </c>
      <c r="AE109" s="23">
        <f t="shared" si="50"/>
        <v>0</v>
      </c>
      <c r="AF109" s="108">
        <f t="shared" si="51"/>
        <v>0.2165840381063478</v>
      </c>
      <c r="AH109" s="104">
        <f t="shared" si="53"/>
        <v>6.0468656404476344E-2</v>
      </c>
      <c r="AJ109" s="104">
        <f t="shared" si="54"/>
        <v>8.622830403278325</v>
      </c>
      <c r="AK109" s="23">
        <f t="shared" si="52"/>
        <v>4.9809538280422201</v>
      </c>
    </row>
    <row r="110" spans="1:37" x14ac:dyDescent="0.35">
      <c r="A110" s="23">
        <v>15</v>
      </c>
      <c r="B110" s="118" t="s">
        <v>153</v>
      </c>
      <c r="C110" s="23" t="s">
        <v>139</v>
      </c>
      <c r="D110" s="23" t="s">
        <v>171</v>
      </c>
      <c r="E110" s="23" t="s">
        <v>188</v>
      </c>
      <c r="F110" s="23" t="s">
        <v>83</v>
      </c>
      <c r="G110" s="108">
        <f>'time-factors'!C$37*'time-factors'!B65</f>
        <v>9.674985024716215E-2</v>
      </c>
      <c r="H110" s="166">
        <f>'time-factors'!K65</f>
        <v>273.59999999999997</v>
      </c>
      <c r="I110" s="96" t="s">
        <v>98</v>
      </c>
      <c r="J110" s="96">
        <f>'time-factors'!P$43</f>
        <v>10</v>
      </c>
      <c r="K110" s="170">
        <f>'time-factors'!J$43</f>
        <v>0.05</v>
      </c>
      <c r="L110" s="173">
        <f t="shared" si="38"/>
        <v>35.432451710548939</v>
      </c>
      <c r="M110" s="170">
        <v>0</v>
      </c>
      <c r="N110" s="96">
        <f t="shared" si="39"/>
        <v>0</v>
      </c>
      <c r="O110" s="167" cm="1">
        <f t="array" ref="O110">IFERROR(_xlfn.IFS(E110="Heavy", 'vehicle E calcs'!$H$33,E110="Cars/vans",'vehicle E calcs'!$H$32),"")</f>
        <v>7.1233383316924828</v>
      </c>
      <c r="P110" s="106">
        <v>200</v>
      </c>
      <c r="Q110" s="108">
        <f t="shared" si="40"/>
        <v>1.4246676663384965</v>
      </c>
      <c r="R110" s="107">
        <f t="shared" si="41"/>
        <v>36.857119376887432</v>
      </c>
      <c r="S110" s="107" cm="1">
        <f t="array" ref="S110">_xlfn.IFS(E110="Heavy", 'vehicle E calcs'!$T$21,E110="Cars/vans",'vehicle E calcs'!$S$21)*O110</f>
        <v>24.362584419881831</v>
      </c>
      <c r="T110" s="109">
        <v>0.27</v>
      </c>
      <c r="U110" s="23">
        <f t="shared" si="42"/>
        <v>6.5778977933680949</v>
      </c>
      <c r="V110" s="23">
        <f t="shared" si="43"/>
        <v>5.6031760502644419</v>
      </c>
      <c r="W110" s="106">
        <f t="shared" si="55"/>
        <v>168</v>
      </c>
      <c r="X110" s="23">
        <f t="shared" si="44"/>
        <v>4.0929141825401478</v>
      </c>
      <c r="Y110" s="96">
        <f t="shared" si="56"/>
        <v>0</v>
      </c>
      <c r="Z110" s="23">
        <f t="shared" si="46"/>
        <v>0</v>
      </c>
      <c r="AA110" s="107">
        <f t="shared" si="47"/>
        <v>32.764205194347284</v>
      </c>
      <c r="AB110" s="23">
        <f t="shared" si="48"/>
        <v>4.9809538280422201</v>
      </c>
      <c r="AD110" s="107">
        <f t="shared" si="49"/>
        <v>5.3865920121580952</v>
      </c>
      <c r="AE110" s="23">
        <f t="shared" si="50"/>
        <v>0</v>
      </c>
      <c r="AF110" s="108">
        <f t="shared" si="51"/>
        <v>0.2165840381063478</v>
      </c>
      <c r="AH110" s="104">
        <f t="shared" si="53"/>
        <v>9.674985024716215E-2</v>
      </c>
      <c r="AJ110" s="104">
        <f t="shared" si="54"/>
        <v>8.7195802535254874</v>
      </c>
      <c r="AK110" s="23">
        <f t="shared" si="52"/>
        <v>4.9809538280422201</v>
      </c>
    </row>
    <row r="111" spans="1:37" x14ac:dyDescent="0.35">
      <c r="A111" s="23">
        <v>3</v>
      </c>
      <c r="B111" s="118" t="s">
        <v>143</v>
      </c>
      <c r="C111" s="23" t="s">
        <v>139</v>
      </c>
      <c r="D111" s="23" t="s">
        <v>171</v>
      </c>
      <c r="E111" s="23" t="s">
        <v>188</v>
      </c>
      <c r="F111" s="23" t="s">
        <v>83</v>
      </c>
      <c r="G111" s="108">
        <f>'time-factors'!C$37*'time-factors'!B53</f>
        <v>0.13303104408984798</v>
      </c>
      <c r="H111" s="166">
        <f>'time-factors'!K53</f>
        <v>289.351</v>
      </c>
      <c r="I111" s="96" t="s">
        <v>98</v>
      </c>
      <c r="J111" s="96">
        <f>'time-factors'!P$43</f>
        <v>10</v>
      </c>
      <c r="K111" s="170">
        <f>'time-factors'!J$43</f>
        <v>0.05</v>
      </c>
      <c r="L111" s="173">
        <f t="shared" si="38"/>
        <v>37.472278270829854</v>
      </c>
      <c r="M111" s="170">
        <v>0</v>
      </c>
      <c r="N111" s="96">
        <f t="shared" si="39"/>
        <v>0</v>
      </c>
      <c r="O111" s="167" cm="1">
        <f t="array" ref="O111">IFERROR(_xlfn.IFS(E111="Heavy", 'vehicle E calcs'!$H$33,E111="Cars/vans",'vehicle E calcs'!$H$32),"")</f>
        <v>7.1233383316924828</v>
      </c>
      <c r="P111" s="106">
        <v>200</v>
      </c>
      <c r="Q111" s="108">
        <f t="shared" si="40"/>
        <v>1.4246676663384965</v>
      </c>
      <c r="R111" s="107">
        <f t="shared" si="41"/>
        <v>38.896945937168347</v>
      </c>
      <c r="S111" s="107" cm="1">
        <f t="array" ref="S111">_xlfn.IFS(E111="Heavy", 'vehicle E calcs'!$T$21,E111="Cars/vans",'vehicle E calcs'!$S$21)*O111</f>
        <v>24.362584419881831</v>
      </c>
      <c r="T111" s="109">
        <v>0.27</v>
      </c>
      <c r="U111" s="23">
        <f t="shared" si="42"/>
        <v>6.5778977933680949</v>
      </c>
      <c r="V111" s="23">
        <f t="shared" si="43"/>
        <v>5.9132791598532668</v>
      </c>
      <c r="W111" s="106">
        <f t="shared" si="55"/>
        <v>168</v>
      </c>
      <c r="X111" s="23">
        <f t="shared" si="44"/>
        <v>4.0929141825401478</v>
      </c>
      <c r="Y111" s="96">
        <f t="shared" si="56"/>
        <v>0</v>
      </c>
      <c r="Z111" s="23">
        <f t="shared" si="46"/>
        <v>0</v>
      </c>
      <c r="AA111" s="107">
        <f t="shared" si="47"/>
        <v>34.804031754628198</v>
      </c>
      <c r="AB111" s="23">
        <f t="shared" si="48"/>
        <v>5.291056937631045</v>
      </c>
      <c r="AD111" s="107">
        <f t="shared" si="49"/>
        <v>5.6966951217469202</v>
      </c>
      <c r="AE111" s="23">
        <f t="shared" si="50"/>
        <v>0</v>
      </c>
      <c r="AF111" s="108">
        <f t="shared" si="51"/>
        <v>0.2165840381063478</v>
      </c>
      <c r="AH111" s="104">
        <f t="shared" si="53"/>
        <v>0.13303104408984798</v>
      </c>
      <c r="AJ111" s="104">
        <f t="shared" si="54"/>
        <v>8.8526112976153346</v>
      </c>
      <c r="AK111" s="23">
        <f t="shared" si="52"/>
        <v>5.291056937631045</v>
      </c>
    </row>
    <row r="112" spans="1:37" x14ac:dyDescent="0.35">
      <c r="A112" s="23">
        <v>17</v>
      </c>
      <c r="B112" s="118" t="s">
        <v>143</v>
      </c>
      <c r="C112" s="23" t="s">
        <v>156</v>
      </c>
      <c r="D112" s="23" t="s">
        <v>171</v>
      </c>
      <c r="E112" s="23" t="s">
        <v>188</v>
      </c>
      <c r="F112" s="23" t="s">
        <v>83</v>
      </c>
      <c r="G112" s="108">
        <f>'time-factors'!C$37*'time-factors'!B67</f>
        <v>0.12093731280895269</v>
      </c>
      <c r="H112" s="166">
        <f>'time-factors'!K67</f>
        <v>292.59999999999997</v>
      </c>
      <c r="I112" s="96" t="s">
        <v>98</v>
      </c>
      <c r="J112" s="96">
        <f>'time-factors'!P$44</f>
        <v>10</v>
      </c>
      <c r="K112" s="170">
        <f>'time-factors'!J$44</f>
        <v>0.05</v>
      </c>
      <c r="L112" s="173">
        <f t="shared" si="38"/>
        <v>37.893038634892619</v>
      </c>
      <c r="M112" s="170">
        <v>0</v>
      </c>
      <c r="N112" s="96">
        <f t="shared" si="39"/>
        <v>0</v>
      </c>
      <c r="O112" s="167" cm="1">
        <f t="array" ref="O112">IFERROR(_xlfn.IFS(E112="Heavy", 'vehicle E calcs'!$H$33,E112="Cars/vans",'vehicle E calcs'!$H$32),"")</f>
        <v>7.1233383316924828</v>
      </c>
      <c r="P112" s="106">
        <v>300</v>
      </c>
      <c r="Q112" s="108">
        <f t="shared" si="40"/>
        <v>2.1370014995077451</v>
      </c>
      <c r="R112" s="107">
        <f t="shared" si="41"/>
        <v>40.030040134400366</v>
      </c>
      <c r="S112" s="107" cm="1">
        <f t="array" ref="S112">_xlfn.IFS(E112="Heavy", 'vehicle E calcs'!$T$21,E112="Cars/vans",'vehicle E calcs'!$S$21)*O112</f>
        <v>24.362584419881831</v>
      </c>
      <c r="T112" s="109">
        <v>0.27</v>
      </c>
      <c r="U112" s="23">
        <f t="shared" si="42"/>
        <v>6.5778977933680949</v>
      </c>
      <c r="V112" s="23">
        <f t="shared" si="43"/>
        <v>6.0855369590508186</v>
      </c>
      <c r="W112" s="106">
        <f t="shared" si="55"/>
        <v>168</v>
      </c>
      <c r="X112" s="23">
        <f t="shared" si="44"/>
        <v>4.0929141825401478</v>
      </c>
      <c r="Y112" s="96">
        <f t="shared" si="56"/>
        <v>0</v>
      </c>
      <c r="Z112" s="23">
        <f t="shared" si="46"/>
        <v>0</v>
      </c>
      <c r="AA112" s="107">
        <f t="shared" si="47"/>
        <v>35.937125951860217</v>
      </c>
      <c r="AB112" s="23">
        <f t="shared" si="48"/>
        <v>5.4633147368285959</v>
      </c>
      <c r="AD112" s="107">
        <f t="shared" si="49"/>
        <v>5.7606609018912964</v>
      </c>
      <c r="AE112" s="23">
        <f t="shared" si="50"/>
        <v>0</v>
      </c>
      <c r="AF112" s="108">
        <f t="shared" si="51"/>
        <v>0.32487605715952173</v>
      </c>
      <c r="AH112" s="104">
        <f t="shared" si="53"/>
        <v>0.12093731280895269</v>
      </c>
      <c r="AJ112" s="104">
        <f t="shared" si="54"/>
        <v>8.9735486104242881</v>
      </c>
      <c r="AK112" s="23">
        <f t="shared" si="52"/>
        <v>5.4633147368285959</v>
      </c>
    </row>
    <row r="113" spans="1:37" x14ac:dyDescent="0.35">
      <c r="A113" s="23">
        <v>18</v>
      </c>
      <c r="B113" s="119" t="s">
        <v>148</v>
      </c>
      <c r="C113" s="23" t="s">
        <v>156</v>
      </c>
      <c r="D113" s="23" t="s">
        <v>171</v>
      </c>
      <c r="E113" s="23" t="s">
        <v>188</v>
      </c>
      <c r="F113" s="23" t="s">
        <v>83</v>
      </c>
      <c r="G113" s="108">
        <f>'time-factors'!C$37*'time-factors'!B68</f>
        <v>0.12093731280895269</v>
      </c>
      <c r="H113" s="166">
        <f>'time-factors'!K68</f>
        <v>292.59999999999997</v>
      </c>
      <c r="I113" s="96" t="s">
        <v>98</v>
      </c>
      <c r="J113" s="96">
        <f>'time-factors'!P$44</f>
        <v>10</v>
      </c>
      <c r="K113" s="170">
        <f>'time-factors'!J$44</f>
        <v>0.05</v>
      </c>
      <c r="L113" s="173">
        <f t="shared" si="38"/>
        <v>37.893038634892619</v>
      </c>
      <c r="M113" s="170">
        <v>0</v>
      </c>
      <c r="N113" s="96">
        <f t="shared" si="39"/>
        <v>0</v>
      </c>
      <c r="O113" s="167" cm="1">
        <f t="array" ref="O113">IFERROR(_xlfn.IFS(E113="Heavy", 'vehicle E calcs'!$H$33,E113="Cars/vans",'vehicle E calcs'!$H$32),"")</f>
        <v>7.1233383316924828</v>
      </c>
      <c r="P113" s="106">
        <v>300</v>
      </c>
      <c r="Q113" s="108">
        <f t="shared" si="40"/>
        <v>2.1370014995077451</v>
      </c>
      <c r="R113" s="107">
        <f t="shared" si="41"/>
        <v>40.030040134400366</v>
      </c>
      <c r="S113" s="107" cm="1">
        <f t="array" ref="S113">_xlfn.IFS(E113="Heavy", 'vehicle E calcs'!$T$21,E113="Cars/vans",'vehicle E calcs'!$S$21)*O113</f>
        <v>24.362584419881831</v>
      </c>
      <c r="T113" s="109">
        <v>0.27</v>
      </c>
      <c r="U113" s="23">
        <f t="shared" si="42"/>
        <v>6.5778977933680949</v>
      </c>
      <c r="V113" s="23">
        <f t="shared" si="43"/>
        <v>6.0855369590508186</v>
      </c>
      <c r="W113" s="106">
        <f t="shared" si="55"/>
        <v>168</v>
      </c>
      <c r="X113" s="23">
        <f t="shared" si="44"/>
        <v>4.0929141825401478</v>
      </c>
      <c r="Y113" s="96">
        <f t="shared" si="56"/>
        <v>0</v>
      </c>
      <c r="Z113" s="23">
        <f t="shared" si="46"/>
        <v>0</v>
      </c>
      <c r="AA113" s="107">
        <f t="shared" si="47"/>
        <v>35.937125951860217</v>
      </c>
      <c r="AB113" s="23">
        <f t="shared" si="48"/>
        <v>5.4633147368285959</v>
      </c>
      <c r="AD113" s="107">
        <f t="shared" si="49"/>
        <v>5.7606609018912964</v>
      </c>
      <c r="AE113" s="23">
        <f t="shared" si="50"/>
        <v>0</v>
      </c>
      <c r="AF113" s="108">
        <f t="shared" si="51"/>
        <v>0.32487605715952173</v>
      </c>
      <c r="AH113" s="104">
        <f t="shared" si="53"/>
        <v>0.12093731280895269</v>
      </c>
      <c r="AJ113" s="104">
        <f t="shared" si="54"/>
        <v>9.0944859232332416</v>
      </c>
      <c r="AK113" s="23">
        <f t="shared" si="52"/>
        <v>5.4633147368285959</v>
      </c>
    </row>
    <row r="114" spans="1:37" x14ac:dyDescent="0.35">
      <c r="A114" s="23">
        <v>2</v>
      </c>
      <c r="B114" s="118" t="s">
        <v>142</v>
      </c>
      <c r="C114" s="23" t="s">
        <v>139</v>
      </c>
      <c r="D114" s="23" t="s">
        <v>171</v>
      </c>
      <c r="E114" s="23" t="s">
        <v>128</v>
      </c>
      <c r="F114" s="23" t="s">
        <v>83</v>
      </c>
      <c r="G114" s="108">
        <f>'time-factors'!C$37*'time-factors'!B52</f>
        <v>0.18140596921342902</v>
      </c>
      <c r="H114" s="166">
        <f>'time-factors'!K52</f>
        <v>289.351</v>
      </c>
      <c r="I114" s="96" t="s">
        <v>98</v>
      </c>
      <c r="J114" s="96">
        <f>'time-factors'!P$43</f>
        <v>10</v>
      </c>
      <c r="K114" s="170">
        <f>'time-factors'!J$43</f>
        <v>0.05</v>
      </c>
      <c r="L114" s="173">
        <f t="shared" si="38"/>
        <v>37.472278270829854</v>
      </c>
      <c r="M114" s="170">
        <v>0</v>
      </c>
      <c r="N114" s="96">
        <f t="shared" si="39"/>
        <v>0</v>
      </c>
      <c r="O114" s="167" cm="1">
        <f t="array" ref="O114">IFERROR(_xlfn.IFS(E114="Heavy", 'vehicle E calcs'!$H$33,E114="Cars/vans",'vehicle E calcs'!$H$32),"")</f>
        <v>6.3768270755398833</v>
      </c>
      <c r="P114" s="106">
        <v>200</v>
      </c>
      <c r="Q114" s="108">
        <f t="shared" si="40"/>
        <v>1.2753654151079765</v>
      </c>
      <c r="R114" s="107">
        <f t="shared" si="41"/>
        <v>38.747643685937831</v>
      </c>
      <c r="S114" s="107" cm="1">
        <f t="array" ref="S114">_xlfn.IFS(E114="Heavy", 'vehicle E calcs'!$T$21,E114="Cars/vans",'vehicle E calcs'!$S$21)*O114</f>
        <v>23.354986057632608</v>
      </c>
      <c r="T114" s="109">
        <v>0.27</v>
      </c>
      <c r="U114" s="23">
        <f t="shared" si="42"/>
        <v>6.3058462355608045</v>
      </c>
      <c r="V114" s="23">
        <f t="shared" si="43"/>
        <v>6.1447174952390586</v>
      </c>
      <c r="W114" s="106">
        <f t="shared" si="55"/>
        <v>168</v>
      </c>
      <c r="X114" s="23">
        <f t="shared" si="44"/>
        <v>3.9236376576822782</v>
      </c>
      <c r="Y114" s="96">
        <f t="shared" si="56"/>
        <v>0</v>
      </c>
      <c r="Z114" s="23">
        <f t="shared" si="46"/>
        <v>0</v>
      </c>
      <c r="AA114" s="107">
        <f t="shared" si="47"/>
        <v>34.824006028255553</v>
      </c>
      <c r="AB114" s="23">
        <f t="shared" si="48"/>
        <v>5.522495273016836</v>
      </c>
      <c r="AD114" s="107">
        <f t="shared" si="49"/>
        <v>5.9424662243603361</v>
      </c>
      <c r="AE114" s="23">
        <f t="shared" si="50"/>
        <v>0</v>
      </c>
      <c r="AF114" s="108">
        <f t="shared" si="51"/>
        <v>0.20225127087872183</v>
      </c>
      <c r="AH114" s="104">
        <f t="shared" si="53"/>
        <v>0.18140596921342902</v>
      </c>
      <c r="AJ114" s="104">
        <f t="shared" si="54"/>
        <v>9.2758918924466709</v>
      </c>
      <c r="AK114" s="23">
        <f t="shared" si="52"/>
        <v>5.522495273016836</v>
      </c>
    </row>
    <row r="115" spans="1:37" x14ac:dyDescent="0.35">
      <c r="A115" s="23">
        <v>5</v>
      </c>
      <c r="B115" s="118" t="s">
        <v>145</v>
      </c>
      <c r="C115" s="23" t="s">
        <v>139</v>
      </c>
      <c r="D115" s="23" t="s">
        <v>171</v>
      </c>
      <c r="E115" s="23" t="s">
        <v>188</v>
      </c>
      <c r="F115" s="23" t="s">
        <v>83</v>
      </c>
      <c r="G115" s="108">
        <f>'time-factors'!C$37*'time-factors'!B55</f>
        <v>0.12698417844940033</v>
      </c>
      <c r="H115" s="166">
        <f>'time-factors'!K55</f>
        <v>467.4</v>
      </c>
      <c r="I115" s="96" t="s">
        <v>98</v>
      </c>
      <c r="J115" s="96">
        <f>'time-factors'!P$43</f>
        <v>10</v>
      </c>
      <c r="K115" s="170">
        <f>'time-factors'!J$43</f>
        <v>0.05</v>
      </c>
      <c r="L115" s="173">
        <f t="shared" si="38"/>
        <v>60.530438338854438</v>
      </c>
      <c r="M115" s="170">
        <v>0</v>
      </c>
      <c r="N115" s="96">
        <f t="shared" si="39"/>
        <v>0</v>
      </c>
      <c r="O115" s="167" cm="1">
        <f t="array" ref="O115">IFERROR(_xlfn.IFS(E115="Heavy", 'vehicle E calcs'!$H$33,E115="Cars/vans",'vehicle E calcs'!$H$32),"")</f>
        <v>7.1233383316924828</v>
      </c>
      <c r="P115" s="106">
        <v>200</v>
      </c>
      <c r="Q115" s="108">
        <f t="shared" si="40"/>
        <v>1.4246676663384965</v>
      </c>
      <c r="R115" s="107">
        <f t="shared" si="41"/>
        <v>61.955106005192931</v>
      </c>
      <c r="S115" s="107" cm="1">
        <f t="array" ref="S115">_xlfn.IFS(E115="Heavy", 'vehicle E calcs'!$T$21,E115="Cars/vans",'vehicle E calcs'!$S$21)*O115</f>
        <v>24.362584419881831</v>
      </c>
      <c r="T115" s="109">
        <v>0.27</v>
      </c>
      <c r="U115" s="23">
        <f t="shared" si="42"/>
        <v>6.5778977933680949</v>
      </c>
      <c r="V115" s="23">
        <f t="shared" si="43"/>
        <v>9.4186787255430922</v>
      </c>
      <c r="W115" s="106">
        <f t="shared" si="55"/>
        <v>168</v>
      </c>
      <c r="X115" s="23">
        <f t="shared" si="44"/>
        <v>4.0929141825401478</v>
      </c>
      <c r="Y115" s="96">
        <f t="shared" si="56"/>
        <v>0</v>
      </c>
      <c r="Z115" s="23">
        <f t="shared" si="46"/>
        <v>0</v>
      </c>
      <c r="AA115" s="107">
        <f t="shared" si="47"/>
        <v>57.862191822652782</v>
      </c>
      <c r="AB115" s="23">
        <f t="shared" si="48"/>
        <v>8.7964565033208704</v>
      </c>
      <c r="AD115" s="107">
        <f t="shared" si="49"/>
        <v>9.2020946874367464</v>
      </c>
      <c r="AE115" s="23">
        <f t="shared" si="50"/>
        <v>0</v>
      </c>
      <c r="AF115" s="108">
        <f t="shared" si="51"/>
        <v>0.2165840381063478</v>
      </c>
      <c r="AH115" s="104">
        <f t="shared" si="53"/>
        <v>0.12698417844940033</v>
      </c>
      <c r="AJ115" s="104">
        <f t="shared" si="54"/>
        <v>9.4028760708960704</v>
      </c>
      <c r="AK115" s="23">
        <f t="shared" si="52"/>
        <v>8.7964565033208704</v>
      </c>
    </row>
    <row r="116" spans="1:37" x14ac:dyDescent="0.35">
      <c r="A116" s="23">
        <v>8</v>
      </c>
      <c r="B116" s="119" t="s">
        <v>148</v>
      </c>
      <c r="C116" s="23" t="s">
        <v>139</v>
      </c>
      <c r="D116" s="23" t="s">
        <v>171</v>
      </c>
      <c r="E116" s="23" t="s">
        <v>188</v>
      </c>
      <c r="F116" s="23" t="s">
        <v>83</v>
      </c>
      <c r="G116" s="108">
        <f>'time-factors'!C$37*'time-factors'!B58</f>
        <v>9.0702984606714512E-2</v>
      </c>
      <c r="H116" s="166">
        <f>'time-factors'!K58</f>
        <v>467.4</v>
      </c>
      <c r="I116" s="96" t="s">
        <v>98</v>
      </c>
      <c r="J116" s="96">
        <f>'time-factors'!P$43</f>
        <v>10</v>
      </c>
      <c r="K116" s="170">
        <f>'time-factors'!J$43</f>
        <v>0.05</v>
      </c>
      <c r="L116" s="173">
        <f t="shared" si="38"/>
        <v>60.530438338854438</v>
      </c>
      <c r="M116" s="170">
        <v>0</v>
      </c>
      <c r="N116" s="96">
        <f t="shared" si="39"/>
        <v>0</v>
      </c>
      <c r="O116" s="167" cm="1">
        <f t="array" ref="O116">IFERROR(_xlfn.IFS(E116="Heavy", 'vehicle E calcs'!$H$33,E116="Cars/vans",'vehicle E calcs'!$H$32),"")</f>
        <v>7.1233383316924828</v>
      </c>
      <c r="P116" s="106">
        <v>200</v>
      </c>
      <c r="Q116" s="108">
        <f t="shared" si="40"/>
        <v>1.4246676663384965</v>
      </c>
      <c r="R116" s="107">
        <f t="shared" si="41"/>
        <v>61.955106005192931</v>
      </c>
      <c r="S116" s="107" cm="1">
        <f t="array" ref="S116">_xlfn.IFS(E116="Heavy", 'vehicle E calcs'!$T$21,E116="Cars/vans",'vehicle E calcs'!$S$21)*O116</f>
        <v>24.362584419881831</v>
      </c>
      <c r="T116" s="109">
        <v>0.27</v>
      </c>
      <c r="U116" s="23">
        <f t="shared" si="42"/>
        <v>6.5778977933680949</v>
      </c>
      <c r="V116" s="23">
        <f t="shared" si="43"/>
        <v>9.4186787255430922</v>
      </c>
      <c r="W116" s="106">
        <f t="shared" si="55"/>
        <v>168</v>
      </c>
      <c r="X116" s="23">
        <f t="shared" si="44"/>
        <v>4.0929141825401478</v>
      </c>
      <c r="Y116" s="96">
        <f t="shared" si="56"/>
        <v>0</v>
      </c>
      <c r="Z116" s="23">
        <f t="shared" si="46"/>
        <v>0</v>
      </c>
      <c r="AA116" s="107">
        <f t="shared" si="47"/>
        <v>57.862191822652782</v>
      </c>
      <c r="AB116" s="23">
        <f t="shared" si="48"/>
        <v>8.7964565033208704</v>
      </c>
      <c r="AD116" s="107">
        <f t="shared" si="49"/>
        <v>9.2020946874367464</v>
      </c>
      <c r="AE116" s="23">
        <f t="shared" si="50"/>
        <v>0</v>
      </c>
      <c r="AF116" s="108">
        <f t="shared" si="51"/>
        <v>0.2165840381063478</v>
      </c>
      <c r="AH116" s="104">
        <f t="shared" si="53"/>
        <v>9.0702984606714512E-2</v>
      </c>
      <c r="AJ116" s="104">
        <f t="shared" si="54"/>
        <v>9.493579055502785</v>
      </c>
      <c r="AK116" s="23">
        <f t="shared" si="52"/>
        <v>8.7964565033208704</v>
      </c>
    </row>
    <row r="117" spans="1:37" x14ac:dyDescent="0.35">
      <c r="A117" s="23">
        <v>10</v>
      </c>
      <c r="B117" s="118" t="s">
        <v>58</v>
      </c>
      <c r="C117" s="23" t="s">
        <v>139</v>
      </c>
      <c r="D117" s="23" t="s">
        <v>171</v>
      </c>
      <c r="E117" s="23" t="s">
        <v>188</v>
      </c>
      <c r="F117" s="23" t="s">
        <v>83</v>
      </c>
      <c r="G117" s="108">
        <f>'time-factors'!C$37*'time-factors'!B60</f>
        <v>0.12093731280895269</v>
      </c>
      <c r="H117" s="166">
        <f>'time-factors'!K60</f>
        <v>737.19999999999993</v>
      </c>
      <c r="I117" s="96" t="s">
        <v>98</v>
      </c>
      <c r="J117" s="96">
        <f>'time-factors'!P$43</f>
        <v>10</v>
      </c>
      <c r="K117" s="170">
        <f>'time-factors'!J$43</f>
        <v>0.05</v>
      </c>
      <c r="L117" s="173">
        <f t="shared" si="38"/>
        <v>95.47077266453465</v>
      </c>
      <c r="M117" s="170">
        <v>0</v>
      </c>
      <c r="N117" s="96">
        <f t="shared" si="39"/>
        <v>0</v>
      </c>
      <c r="O117" s="167" cm="1">
        <f t="array" ref="O117">IFERROR(_xlfn.IFS(E117="Heavy", 'vehicle E calcs'!$H$33,E117="Cars/vans",'vehicle E calcs'!$H$32),"")</f>
        <v>7.1233383316924828</v>
      </c>
      <c r="P117" s="106">
        <v>200</v>
      </c>
      <c r="Q117" s="108">
        <f t="shared" si="40"/>
        <v>1.4246676663384965</v>
      </c>
      <c r="R117" s="107">
        <f t="shared" si="41"/>
        <v>96.895440330873143</v>
      </c>
      <c r="S117" s="107" cm="1">
        <f t="array" ref="S117">_xlfn.IFS(E117="Heavy", 'vehicle E calcs'!$T$21,E117="Cars/vans",'vehicle E calcs'!$S$21)*O117</f>
        <v>24.362584419881831</v>
      </c>
      <c r="T117" s="109">
        <v>0.27</v>
      </c>
      <c r="U117" s="23">
        <f t="shared" si="42"/>
        <v>6.5778977933680949</v>
      </c>
      <c r="V117" s="23">
        <f t="shared" si="43"/>
        <v>14.730456959754548</v>
      </c>
      <c r="W117" s="106">
        <f t="shared" si="55"/>
        <v>168</v>
      </c>
      <c r="X117" s="23">
        <f t="shared" si="44"/>
        <v>4.0929141825401478</v>
      </c>
      <c r="Y117" s="96">
        <f t="shared" si="56"/>
        <v>0</v>
      </c>
      <c r="Z117" s="23">
        <f t="shared" si="46"/>
        <v>0</v>
      </c>
      <c r="AA117" s="107">
        <f t="shared" si="47"/>
        <v>92.802526148333001</v>
      </c>
      <c r="AB117" s="23">
        <f t="shared" si="48"/>
        <v>14.108234737532328</v>
      </c>
      <c r="AD117" s="107">
        <f t="shared" si="49"/>
        <v>14.513872921648202</v>
      </c>
      <c r="AE117" s="23">
        <f t="shared" si="50"/>
        <v>0</v>
      </c>
      <c r="AF117" s="108">
        <f t="shared" si="51"/>
        <v>0.2165840381063478</v>
      </c>
      <c r="AH117" s="104">
        <f t="shared" si="53"/>
        <v>0.12093731280895269</v>
      </c>
      <c r="AJ117" s="104">
        <f t="shared" si="54"/>
        <v>9.6145163683117385</v>
      </c>
      <c r="AK117" s="23">
        <f t="shared" si="52"/>
        <v>14.108234737532328</v>
      </c>
    </row>
    <row r="118" spans="1:37" x14ac:dyDescent="0.35">
      <c r="A118" s="23">
        <v>14</v>
      </c>
      <c r="B118" s="118" t="s">
        <v>152</v>
      </c>
      <c r="C118" s="23" t="s">
        <v>139</v>
      </c>
      <c r="D118" s="23" t="s">
        <v>171</v>
      </c>
      <c r="E118" s="23" t="s">
        <v>188</v>
      </c>
      <c r="F118" s="23" t="s">
        <v>83</v>
      </c>
      <c r="G118" s="108">
        <f>'time-factors'!C$37*'time-factors'!B64</f>
        <v>7.8609253325819251E-2</v>
      </c>
      <c r="H118" s="166">
        <f>'time-factors'!K64</f>
        <v>737.19999999999993</v>
      </c>
      <c r="I118" s="96" t="s">
        <v>98</v>
      </c>
      <c r="J118" s="96">
        <f>'time-factors'!P$43</f>
        <v>10</v>
      </c>
      <c r="K118" s="170">
        <f>'time-factors'!J$43</f>
        <v>0.05</v>
      </c>
      <c r="L118" s="173">
        <f t="shared" si="38"/>
        <v>95.47077266453465</v>
      </c>
      <c r="M118" s="170">
        <v>0</v>
      </c>
      <c r="N118" s="96">
        <f t="shared" si="39"/>
        <v>0</v>
      </c>
      <c r="O118" s="167" cm="1">
        <f t="array" ref="O118">IFERROR(_xlfn.IFS(E118="Heavy", 'vehicle E calcs'!$H$33,E118="Cars/vans",'vehicle E calcs'!$H$32),"")</f>
        <v>7.1233383316924828</v>
      </c>
      <c r="P118" s="106">
        <v>200</v>
      </c>
      <c r="Q118" s="108">
        <f t="shared" si="40"/>
        <v>1.4246676663384965</v>
      </c>
      <c r="R118" s="107">
        <f t="shared" si="41"/>
        <v>96.895440330873143</v>
      </c>
      <c r="S118" s="107" cm="1">
        <f t="array" ref="S118">_xlfn.IFS(E118="Heavy", 'vehicle E calcs'!$T$21,E118="Cars/vans",'vehicle E calcs'!$S$21)*O118</f>
        <v>24.362584419881831</v>
      </c>
      <c r="T118" s="109">
        <v>0.27</v>
      </c>
      <c r="U118" s="23">
        <f t="shared" si="42"/>
        <v>6.5778977933680949</v>
      </c>
      <c r="V118" s="23">
        <f t="shared" si="43"/>
        <v>14.730456959754548</v>
      </c>
      <c r="W118" s="106">
        <f t="shared" si="55"/>
        <v>168</v>
      </c>
      <c r="X118" s="23">
        <f t="shared" si="44"/>
        <v>4.0929141825401478</v>
      </c>
      <c r="Y118" s="96">
        <f t="shared" si="56"/>
        <v>0</v>
      </c>
      <c r="Z118" s="23">
        <f t="shared" si="46"/>
        <v>0</v>
      </c>
      <c r="AA118" s="107">
        <f t="shared" si="47"/>
        <v>92.802526148333001</v>
      </c>
      <c r="AB118" s="23">
        <f t="shared" si="48"/>
        <v>14.108234737532328</v>
      </c>
      <c r="AD118" s="107">
        <f t="shared" si="49"/>
        <v>14.513872921648202</v>
      </c>
      <c r="AE118" s="23">
        <f t="shared" si="50"/>
        <v>0</v>
      </c>
      <c r="AF118" s="108">
        <f t="shared" si="51"/>
        <v>0.2165840381063478</v>
      </c>
      <c r="AH118" s="104">
        <f t="shared" si="53"/>
        <v>7.8609253325819251E-2</v>
      </c>
      <c r="AJ118" s="104">
        <f t="shared" si="54"/>
        <v>9.6931256216375576</v>
      </c>
      <c r="AK118" s="23">
        <f t="shared" si="52"/>
        <v>14.108234737532328</v>
      </c>
    </row>
    <row r="119" spans="1:37" x14ac:dyDescent="0.35">
      <c r="B119" s="122"/>
      <c r="C119" s="24"/>
      <c r="D119" s="24"/>
      <c r="E119" s="24"/>
      <c r="F119" s="131" t="s">
        <v>50</v>
      </c>
      <c r="G119" s="104">
        <f>SUM(G94:G118)</f>
        <v>9.6931256216375576</v>
      </c>
      <c r="H119" s="96"/>
      <c r="I119" s="96"/>
      <c r="J119" s="96"/>
      <c r="K119" s="96"/>
      <c r="L119" s="96"/>
      <c r="M119" s="96"/>
      <c r="N119" s="96"/>
      <c r="O119" s="96"/>
    </row>
    <row r="120" spans="1:37" x14ac:dyDescent="0.35">
      <c r="B120" s="122"/>
      <c r="C120" s="24"/>
      <c r="D120" s="24"/>
      <c r="E120" s="24"/>
      <c r="F120" s="24"/>
      <c r="H120" s="96"/>
      <c r="I120" s="96"/>
      <c r="J120" s="96"/>
      <c r="K120" s="96"/>
      <c r="L120" s="96"/>
      <c r="M120" s="96"/>
      <c r="N120" s="96"/>
      <c r="O120" s="96"/>
    </row>
    <row r="121" spans="1:37" x14ac:dyDescent="0.35">
      <c r="B121" s="123"/>
      <c r="C121" s="125"/>
      <c r="F121" s="24"/>
      <c r="H121" s="96"/>
      <c r="I121" s="96"/>
      <c r="J121" s="96"/>
      <c r="K121" s="96"/>
      <c r="L121" s="96"/>
      <c r="M121" s="96"/>
      <c r="N121" s="96"/>
      <c r="O121" s="96"/>
    </row>
    <row r="122" spans="1:37" x14ac:dyDescent="0.35">
      <c r="B122" s="123"/>
      <c r="C122" s="125"/>
      <c r="H122" s="96"/>
      <c r="I122" s="96"/>
      <c r="J122" s="96"/>
      <c r="K122" s="96"/>
      <c r="L122" s="96"/>
      <c r="M122" s="96"/>
      <c r="N122" s="96"/>
      <c r="O122" s="96"/>
    </row>
    <row r="123" spans="1:37" x14ac:dyDescent="0.35">
      <c r="B123" s="96"/>
      <c r="C123" s="96"/>
      <c r="H123" s="96"/>
      <c r="I123" s="96"/>
      <c r="J123" s="96"/>
      <c r="K123" s="96"/>
      <c r="L123" s="96"/>
      <c r="M123" s="96"/>
      <c r="N123" s="96"/>
      <c r="O123" s="96"/>
    </row>
    <row r="124" spans="1:37" x14ac:dyDescent="0.35">
      <c r="B124" s="96"/>
      <c r="C124" s="96"/>
      <c r="H124" s="96"/>
      <c r="I124" s="96"/>
      <c r="J124" s="96"/>
      <c r="K124" s="96"/>
      <c r="L124" s="96"/>
      <c r="M124" s="96"/>
      <c r="N124" s="96"/>
      <c r="O124" s="96"/>
    </row>
    <row r="125" spans="1:37" x14ac:dyDescent="0.35">
      <c r="H125" s="96"/>
      <c r="I125" s="96"/>
      <c r="J125" s="96"/>
      <c r="K125" s="96"/>
      <c r="L125" s="96"/>
      <c r="M125" s="96"/>
      <c r="N125" s="96"/>
      <c r="O125" s="96"/>
    </row>
    <row r="126" spans="1:37" x14ac:dyDescent="0.35">
      <c r="H126" s="96"/>
      <c r="I126" s="96"/>
      <c r="J126" s="96"/>
      <c r="K126" s="96"/>
      <c r="L126" s="96"/>
      <c r="M126" s="96"/>
      <c r="N126" s="96"/>
      <c r="O126" s="96"/>
    </row>
    <row r="127" spans="1:37" x14ac:dyDescent="0.35">
      <c r="H127" s="96"/>
      <c r="I127" s="96"/>
      <c r="J127" s="96"/>
      <c r="K127" s="96"/>
      <c r="L127" s="96"/>
      <c r="M127" s="96"/>
      <c r="N127" s="96"/>
      <c r="O127" s="96"/>
    </row>
    <row r="128" spans="1:37" x14ac:dyDescent="0.35">
      <c r="H128" s="96"/>
      <c r="I128" s="96"/>
      <c r="J128" s="96"/>
      <c r="K128" s="96"/>
      <c r="L128" s="96"/>
      <c r="M128" s="96"/>
      <c r="N128" s="96"/>
      <c r="O128" s="96"/>
    </row>
    <row r="129" spans="1:37" x14ac:dyDescent="0.35">
      <c r="H129" s="96"/>
      <c r="I129" s="96"/>
      <c r="J129" s="96"/>
      <c r="K129" s="96"/>
      <c r="L129" s="96"/>
      <c r="M129" s="96"/>
      <c r="N129" s="96"/>
      <c r="O129" s="96"/>
    </row>
    <row r="130" spans="1:37" x14ac:dyDescent="0.35">
      <c r="H130" s="96"/>
      <c r="I130" s="96"/>
      <c r="J130" s="96"/>
      <c r="K130" s="96"/>
      <c r="L130" s="96"/>
      <c r="M130" s="96"/>
      <c r="N130" s="96"/>
      <c r="O130" s="96"/>
    </row>
    <row r="131" spans="1:37" x14ac:dyDescent="0.35">
      <c r="H131" s="96"/>
      <c r="I131" s="96"/>
      <c r="J131" s="96"/>
      <c r="K131" s="96"/>
      <c r="L131" s="96"/>
      <c r="M131" s="96"/>
      <c r="N131" s="96"/>
      <c r="O131" s="96"/>
    </row>
    <row r="132" spans="1:37" x14ac:dyDescent="0.35">
      <c r="H132" s="96"/>
      <c r="I132" s="96"/>
      <c r="J132" s="96"/>
      <c r="K132" s="96"/>
      <c r="L132" s="96"/>
      <c r="M132" s="96"/>
      <c r="N132" s="96"/>
      <c r="O132" s="96"/>
    </row>
    <row r="133" spans="1:37" x14ac:dyDescent="0.35">
      <c r="H133" s="96"/>
      <c r="I133" s="96"/>
      <c r="J133" s="96"/>
      <c r="K133" s="96"/>
      <c r="L133" s="96"/>
      <c r="M133" s="96"/>
      <c r="N133" s="96"/>
      <c r="O133" s="96"/>
    </row>
    <row r="134" spans="1:37" x14ac:dyDescent="0.35">
      <c r="H134" s="96"/>
      <c r="I134" s="96"/>
      <c r="J134" s="96"/>
      <c r="K134" s="96"/>
      <c r="L134" s="96"/>
      <c r="M134" s="96"/>
      <c r="N134" s="96"/>
      <c r="O134" s="96"/>
    </row>
    <row r="135" spans="1:37" x14ac:dyDescent="0.35">
      <c r="A135" s="132"/>
      <c r="B135" s="132"/>
      <c r="C135" s="132"/>
      <c r="D135" s="132"/>
      <c r="E135" s="132"/>
      <c r="F135" s="132"/>
      <c r="G135" s="132"/>
      <c r="H135" s="96"/>
      <c r="I135" s="96"/>
      <c r="J135" s="96"/>
      <c r="K135" s="96"/>
      <c r="L135" s="96"/>
      <c r="M135" s="96"/>
      <c r="N135" s="96"/>
      <c r="O135" s="96"/>
      <c r="P135" s="132"/>
      <c r="Q135" s="132"/>
      <c r="R135" s="132"/>
      <c r="S135" s="132"/>
      <c r="T135" s="132"/>
      <c r="U135" s="132"/>
      <c r="V135" s="132"/>
      <c r="W135" s="132"/>
      <c r="X135" s="132"/>
      <c r="Y135" s="132"/>
      <c r="Z135" s="132"/>
      <c r="AA135" s="132"/>
      <c r="AB135" s="132"/>
      <c r="AC135" s="132"/>
      <c r="AD135" s="132"/>
      <c r="AE135" s="132"/>
      <c r="AF135" s="132"/>
      <c r="AG135" s="132"/>
      <c r="AH135" s="132"/>
      <c r="AI135" s="132"/>
      <c r="AJ135" s="132"/>
      <c r="AK135" s="132"/>
    </row>
    <row r="136" spans="1:37" ht="21" x14ac:dyDescent="0.5">
      <c r="B136" s="134" t="s">
        <v>279</v>
      </c>
      <c r="C136" s="136">
        <f>C91</f>
        <v>2025</v>
      </c>
      <c r="H136" s="96"/>
      <c r="I136" s="96"/>
      <c r="J136" s="96"/>
      <c r="K136" s="96"/>
      <c r="L136" s="96"/>
      <c r="M136" s="96"/>
      <c r="N136" s="96"/>
      <c r="O136" s="96"/>
      <c r="W136" s="23" t="s">
        <v>202</v>
      </c>
      <c r="AB136" s="95"/>
    </row>
    <row r="137" spans="1:37" x14ac:dyDescent="0.35">
      <c r="H137" s="96"/>
      <c r="I137" s="96"/>
      <c r="J137" s="96"/>
      <c r="K137" s="96"/>
      <c r="L137" s="96"/>
      <c r="M137" s="96"/>
      <c r="N137" s="96"/>
      <c r="O137" s="96"/>
      <c r="T137" s="99" t="s">
        <v>138</v>
      </c>
      <c r="W137" s="99">
        <v>1.7</v>
      </c>
      <c r="X137" s="23" t="s">
        <v>174</v>
      </c>
      <c r="Z137" s="100">
        <v>0</v>
      </c>
      <c r="AA137" s="23" t="s">
        <v>175</v>
      </c>
      <c r="AC137" s="101">
        <v>0</v>
      </c>
    </row>
    <row r="138" spans="1:37" ht="72.5" x14ac:dyDescent="0.35">
      <c r="B138" s="102" t="s">
        <v>173</v>
      </c>
      <c r="C138" s="103" t="s">
        <v>95</v>
      </c>
      <c r="D138" s="103" t="s">
        <v>172</v>
      </c>
      <c r="E138" s="103" t="s">
        <v>231</v>
      </c>
      <c r="F138" s="103" t="s">
        <v>96</v>
      </c>
      <c r="G138" s="103" t="s">
        <v>205</v>
      </c>
      <c r="H138" s="176" t="s">
        <v>99</v>
      </c>
      <c r="I138" s="176" t="s">
        <v>97</v>
      </c>
      <c r="J138" s="176" t="s">
        <v>100</v>
      </c>
      <c r="K138" s="176" t="s">
        <v>101</v>
      </c>
      <c r="L138" s="176" t="s">
        <v>102</v>
      </c>
      <c r="M138" s="176" t="s">
        <v>129</v>
      </c>
      <c r="N138" s="176" t="s">
        <v>130</v>
      </c>
      <c r="O138" s="176" t="s">
        <v>132</v>
      </c>
      <c r="P138" s="103" t="s">
        <v>133</v>
      </c>
      <c r="Q138" s="103" t="s">
        <v>131</v>
      </c>
      <c r="R138" s="117" t="s">
        <v>136</v>
      </c>
      <c r="S138" s="103" t="s">
        <v>135</v>
      </c>
      <c r="T138" s="103" t="s">
        <v>134</v>
      </c>
      <c r="U138" s="103" t="s">
        <v>103</v>
      </c>
      <c r="V138" s="117" t="s">
        <v>108</v>
      </c>
      <c r="W138" s="103" t="s">
        <v>199</v>
      </c>
      <c r="X138" s="103" t="s">
        <v>104</v>
      </c>
      <c r="Y138" s="103" t="s">
        <v>105</v>
      </c>
      <c r="Z138" s="103" t="s">
        <v>106</v>
      </c>
      <c r="AA138" s="103" t="s">
        <v>137</v>
      </c>
      <c r="AB138" s="117" t="s">
        <v>107</v>
      </c>
      <c r="AD138" s="103" t="s">
        <v>167</v>
      </c>
      <c r="AE138" s="103" t="s">
        <v>168</v>
      </c>
      <c r="AF138" s="103" t="s">
        <v>169</v>
      </c>
      <c r="AJ138" s="103" t="s">
        <v>177</v>
      </c>
      <c r="AK138" s="103" t="s">
        <v>176</v>
      </c>
    </row>
    <row r="139" spans="1:37" x14ac:dyDescent="0.35">
      <c r="A139" s="23">
        <v>20</v>
      </c>
      <c r="B139" s="120" t="s">
        <v>162</v>
      </c>
      <c r="C139" s="111" t="s">
        <v>157</v>
      </c>
      <c r="D139" s="111" t="s">
        <v>170</v>
      </c>
      <c r="E139" s="111"/>
      <c r="F139" s="111" t="s">
        <v>158</v>
      </c>
      <c r="G139" s="108">
        <f>'time-factors'!C$38*'time-factors'!B70</f>
        <v>7.8993710691823895E-3</v>
      </c>
      <c r="H139" s="166">
        <f>'time-factors'!K70</f>
        <v>0.14249999999999999</v>
      </c>
      <c r="I139" s="168" t="s">
        <v>166</v>
      </c>
      <c r="J139" s="96">
        <f>'time-factors'!P$46</f>
        <v>20</v>
      </c>
      <c r="K139" s="170">
        <f>'time-factors'!J$46</f>
        <v>0.05</v>
      </c>
      <c r="L139" s="172">
        <f t="shared" ref="L139:L163" si="57">PMT(K139,J139,-H139)</f>
        <v>1.1434568674673511E-2</v>
      </c>
      <c r="M139" s="171">
        <v>0.02</v>
      </c>
      <c r="N139" s="168">
        <f t="shared" ref="N139:N163" si="58">M139*H139</f>
        <v>2.8499999999999997E-3</v>
      </c>
      <c r="O139" s="168">
        <v>1.5</v>
      </c>
      <c r="P139" s="111">
        <v>200</v>
      </c>
      <c r="Q139" s="115">
        <f t="shared" ref="Q139:Q163" si="59">P139*O139*0.001</f>
        <v>0.3</v>
      </c>
      <c r="R139" s="114">
        <f t="shared" ref="R139:R163" si="60">L139+N139+Q139</f>
        <v>0.31428456867467353</v>
      </c>
      <c r="S139" s="114">
        <f>2*O139</f>
        <v>3</v>
      </c>
      <c r="T139" s="114">
        <v>0.1</v>
      </c>
      <c r="U139" s="111">
        <f t="shared" ref="U139:U163" si="61">T139*S139</f>
        <v>0.30000000000000004</v>
      </c>
      <c r="V139" s="111">
        <f t="shared" ref="V139:V163" si="62">R139/U139</f>
        <v>1.0476152289155782</v>
      </c>
      <c r="W139" s="111">
        <v>200</v>
      </c>
      <c r="X139" s="111">
        <f t="shared" ref="X139:X163" si="63">W139*S139*0.001</f>
        <v>0.6</v>
      </c>
      <c r="Y139" s="111">
        <f t="shared" ref="Y139:Y145" si="64">$AC$2</f>
        <v>0</v>
      </c>
      <c r="Z139" s="111">
        <f t="shared" ref="Z139:Z163" si="65">Y139*U139</f>
        <v>0</v>
      </c>
      <c r="AA139" s="114">
        <f t="shared" ref="AA139:AA163" si="66">R139-X139-Z139</f>
        <v>-0.28571543132532645</v>
      </c>
      <c r="AB139" s="111">
        <f t="shared" ref="AB139:AB163" si="67">AA139/U139</f>
        <v>-0.95238477108442132</v>
      </c>
      <c r="AC139" s="111"/>
      <c r="AD139" s="107">
        <f t="shared" ref="AD139:AD163" si="68">L139/U139</f>
        <v>3.8115228915578364E-2</v>
      </c>
      <c r="AE139" s="23">
        <f t="shared" ref="AE139:AE163" si="69">N139/U139</f>
        <v>9.499999999999998E-3</v>
      </c>
      <c r="AF139" s="108">
        <f t="shared" ref="AF139:AF163" si="70">Q139/U139</f>
        <v>0.99999999999999978</v>
      </c>
      <c r="AH139" s="104">
        <f>G139</f>
        <v>7.8993710691823895E-3</v>
      </c>
      <c r="AJ139" s="104">
        <f>AH139</f>
        <v>7.8993710691823895E-3</v>
      </c>
      <c r="AK139" s="23">
        <f t="shared" ref="AK139:AK163" si="71">AB139</f>
        <v>-0.95238477108442132</v>
      </c>
    </row>
    <row r="140" spans="1:37" x14ac:dyDescent="0.35">
      <c r="A140" s="23">
        <v>21</v>
      </c>
      <c r="B140" s="120" t="s">
        <v>160</v>
      </c>
      <c r="C140" s="48" t="s">
        <v>163</v>
      </c>
      <c r="D140" s="111" t="s">
        <v>170</v>
      </c>
      <c r="E140" s="111"/>
      <c r="F140" s="48" t="s">
        <v>158</v>
      </c>
      <c r="G140" s="108">
        <f>'time-factors'!C$38*'time-factors'!B71</f>
        <v>1.4482180293501049E-2</v>
      </c>
      <c r="H140" s="166">
        <f>'time-factors'!K71</f>
        <v>0.23749999999999999</v>
      </c>
      <c r="I140" s="168" t="s">
        <v>166</v>
      </c>
      <c r="J140" s="96">
        <f>'time-factors'!P$46</f>
        <v>20</v>
      </c>
      <c r="K140" s="170">
        <f>'time-factors'!J$46</f>
        <v>0.05</v>
      </c>
      <c r="L140" s="172">
        <f t="shared" si="57"/>
        <v>1.9057614457789186E-2</v>
      </c>
      <c r="M140" s="171">
        <v>0.02</v>
      </c>
      <c r="N140" s="168">
        <f t="shared" si="58"/>
        <v>4.7499999999999999E-3</v>
      </c>
      <c r="O140" s="168">
        <v>4.4000000000000004</v>
      </c>
      <c r="P140" s="111">
        <v>200</v>
      </c>
      <c r="Q140" s="115">
        <f t="shared" si="59"/>
        <v>0.88000000000000012</v>
      </c>
      <c r="R140" s="114">
        <f t="shared" si="60"/>
        <v>0.90380761445778934</v>
      </c>
      <c r="S140" s="114">
        <f>1.2*O140</f>
        <v>5.28</v>
      </c>
      <c r="T140" s="114">
        <v>0.1</v>
      </c>
      <c r="U140" s="111">
        <f t="shared" si="61"/>
        <v>0.52800000000000002</v>
      </c>
      <c r="V140" s="111">
        <f t="shared" si="62"/>
        <v>1.7117568455639949</v>
      </c>
      <c r="W140" s="111">
        <v>200</v>
      </c>
      <c r="X140" s="111">
        <f t="shared" si="63"/>
        <v>1.056</v>
      </c>
      <c r="Y140" s="111">
        <f t="shared" si="64"/>
        <v>0</v>
      </c>
      <c r="Z140" s="111">
        <f t="shared" si="65"/>
        <v>0</v>
      </c>
      <c r="AA140" s="114">
        <f t="shared" si="66"/>
        <v>-0.15219238554221071</v>
      </c>
      <c r="AB140" s="111">
        <f t="shared" si="67"/>
        <v>-0.28824315443600512</v>
      </c>
      <c r="AC140" s="111"/>
      <c r="AD140" s="107">
        <f t="shared" si="68"/>
        <v>3.6093966776115878E-2</v>
      </c>
      <c r="AE140" s="23">
        <f t="shared" si="69"/>
        <v>8.9962121212121202E-3</v>
      </c>
      <c r="AF140" s="108">
        <f t="shared" si="70"/>
        <v>1.6666666666666667</v>
      </c>
      <c r="AH140" s="104">
        <f t="shared" ref="AH140:AH163" si="72">G140</f>
        <v>1.4482180293501049E-2</v>
      </c>
      <c r="AJ140" s="104">
        <f>AJ139+AH140</f>
        <v>2.2381551362683438E-2</v>
      </c>
      <c r="AK140" s="23">
        <f t="shared" si="71"/>
        <v>-0.28824315443600512</v>
      </c>
    </row>
    <row r="141" spans="1:37" ht="29" x14ac:dyDescent="0.35">
      <c r="A141" s="23">
        <v>22</v>
      </c>
      <c r="B141" s="120" t="s">
        <v>161</v>
      </c>
      <c r="C141" s="48" t="s">
        <v>163</v>
      </c>
      <c r="D141" s="111" t="s">
        <v>170</v>
      </c>
      <c r="E141" s="111"/>
      <c r="F141" s="48" t="s">
        <v>158</v>
      </c>
      <c r="G141" s="108">
        <f>'time-factors'!C$38*'time-factors'!B72</f>
        <v>7.8993710691823895E-3</v>
      </c>
      <c r="H141" s="166">
        <f>'time-factors'!K72</f>
        <v>0.47499999999999998</v>
      </c>
      <c r="I141" s="168" t="s">
        <v>166</v>
      </c>
      <c r="J141" s="96">
        <f>'time-factors'!P$46</f>
        <v>20</v>
      </c>
      <c r="K141" s="170">
        <f>'time-factors'!J$46</f>
        <v>0.05</v>
      </c>
      <c r="L141" s="172">
        <f t="shared" si="57"/>
        <v>3.8115228915578371E-2</v>
      </c>
      <c r="M141" s="171">
        <v>0.02</v>
      </c>
      <c r="N141" s="168">
        <f t="shared" si="58"/>
        <v>9.4999999999999998E-3</v>
      </c>
      <c r="O141" s="168">
        <v>4.4000000000000004</v>
      </c>
      <c r="P141" s="111">
        <v>200</v>
      </c>
      <c r="Q141" s="115">
        <f t="shared" si="59"/>
        <v>0.88000000000000012</v>
      </c>
      <c r="R141" s="114">
        <f t="shared" si="60"/>
        <v>0.92761522891557846</v>
      </c>
      <c r="S141" s="114">
        <f>1.2*O141</f>
        <v>5.28</v>
      </c>
      <c r="T141" s="114">
        <v>0.1</v>
      </c>
      <c r="U141" s="111">
        <f t="shared" si="61"/>
        <v>0.52800000000000002</v>
      </c>
      <c r="V141" s="111">
        <f t="shared" si="62"/>
        <v>1.7568470244613228</v>
      </c>
      <c r="W141" s="111">
        <v>200</v>
      </c>
      <c r="X141" s="111">
        <f t="shared" si="63"/>
        <v>1.056</v>
      </c>
      <c r="Y141" s="111">
        <f t="shared" si="64"/>
        <v>0</v>
      </c>
      <c r="Z141" s="111">
        <f t="shared" si="65"/>
        <v>0</v>
      </c>
      <c r="AA141" s="114">
        <f t="shared" si="66"/>
        <v>-0.12838477108442159</v>
      </c>
      <c r="AB141" s="111">
        <f t="shared" si="67"/>
        <v>-0.24315297553867724</v>
      </c>
      <c r="AC141" s="111"/>
      <c r="AD141" s="107">
        <f t="shared" si="68"/>
        <v>7.2187933552231756E-2</v>
      </c>
      <c r="AE141" s="23">
        <f t="shared" si="69"/>
        <v>1.799242424242424E-2</v>
      </c>
      <c r="AF141" s="108">
        <f t="shared" si="70"/>
        <v>1.6666666666666667</v>
      </c>
      <c r="AH141" s="104">
        <f t="shared" si="72"/>
        <v>7.8993710691823895E-3</v>
      </c>
      <c r="AJ141" s="104">
        <f t="shared" ref="AJ141:AJ163" si="73">AJ140+AH141</f>
        <v>3.028092243186583E-2</v>
      </c>
      <c r="AK141" s="23">
        <f t="shared" si="71"/>
        <v>-0.24315297553867724</v>
      </c>
    </row>
    <row r="142" spans="1:37" x14ac:dyDescent="0.35">
      <c r="A142" s="23">
        <v>24</v>
      </c>
      <c r="B142" s="120" t="s">
        <v>165</v>
      </c>
      <c r="C142" s="120" t="s">
        <v>165</v>
      </c>
      <c r="D142" s="111" t="s">
        <v>170</v>
      </c>
      <c r="E142" s="111"/>
      <c r="F142" s="48" t="s">
        <v>158</v>
      </c>
      <c r="G142" s="108">
        <f>'time-factors'!C$38*'time-factors'!B74</f>
        <v>5.2662473794549266E-3</v>
      </c>
      <c r="H142" s="166">
        <f>'time-factors'!K74</f>
        <v>0.47499999999999998</v>
      </c>
      <c r="I142" s="168" t="s">
        <v>166</v>
      </c>
      <c r="J142" s="96">
        <f>'time-factors'!P$46</f>
        <v>20</v>
      </c>
      <c r="K142" s="170">
        <f>'time-factors'!J$46</f>
        <v>0.05</v>
      </c>
      <c r="L142" s="172">
        <f t="shared" si="57"/>
        <v>3.8115228915578371E-2</v>
      </c>
      <c r="M142" s="171">
        <v>0.02</v>
      </c>
      <c r="N142" s="168">
        <f t="shared" si="58"/>
        <v>9.4999999999999998E-3</v>
      </c>
      <c r="O142" s="168">
        <v>4.4000000000000004</v>
      </c>
      <c r="P142" s="111">
        <v>200</v>
      </c>
      <c r="Q142" s="115">
        <f t="shared" si="59"/>
        <v>0.88000000000000012</v>
      </c>
      <c r="R142" s="114">
        <f t="shared" si="60"/>
        <v>0.92761522891557846</v>
      </c>
      <c r="S142" s="114">
        <f>1.2*O142</f>
        <v>5.28</v>
      </c>
      <c r="T142" s="114">
        <v>0.1</v>
      </c>
      <c r="U142" s="111">
        <f t="shared" si="61"/>
        <v>0.52800000000000002</v>
      </c>
      <c r="V142" s="111">
        <f t="shared" si="62"/>
        <v>1.7568470244613228</v>
      </c>
      <c r="W142" s="111">
        <v>200</v>
      </c>
      <c r="X142" s="111">
        <f t="shared" si="63"/>
        <v>1.056</v>
      </c>
      <c r="Y142" s="111">
        <f t="shared" si="64"/>
        <v>0</v>
      </c>
      <c r="Z142" s="111">
        <f t="shared" si="65"/>
        <v>0</v>
      </c>
      <c r="AA142" s="114">
        <f t="shared" si="66"/>
        <v>-0.12838477108442159</v>
      </c>
      <c r="AB142" s="111">
        <f t="shared" si="67"/>
        <v>-0.24315297553867724</v>
      </c>
      <c r="AC142" s="111"/>
      <c r="AD142" s="107">
        <f t="shared" si="68"/>
        <v>7.2187933552231756E-2</v>
      </c>
      <c r="AE142" s="23">
        <f t="shared" si="69"/>
        <v>1.799242424242424E-2</v>
      </c>
      <c r="AF142" s="108">
        <f t="shared" si="70"/>
        <v>1.6666666666666667</v>
      </c>
      <c r="AH142" s="104">
        <f t="shared" si="72"/>
        <v>5.2662473794549266E-3</v>
      </c>
      <c r="AJ142" s="104">
        <f t="shared" si="73"/>
        <v>3.5547169811320757E-2</v>
      </c>
      <c r="AK142" s="23">
        <f t="shared" si="71"/>
        <v>-0.24315297553867724</v>
      </c>
    </row>
    <row r="143" spans="1:37" x14ac:dyDescent="0.35">
      <c r="A143" s="23">
        <v>23</v>
      </c>
      <c r="B143" s="120" t="s">
        <v>164</v>
      </c>
      <c r="C143" s="48" t="s">
        <v>163</v>
      </c>
      <c r="D143" s="111" t="s">
        <v>170</v>
      </c>
      <c r="E143" s="111"/>
      <c r="F143" s="48" t="s">
        <v>158</v>
      </c>
      <c r="G143" s="108">
        <f>'time-factors'!C$38*'time-factors'!B73</f>
        <v>1.3165618448637317E-2</v>
      </c>
      <c r="H143" s="166">
        <f>'time-factors'!K73</f>
        <v>0.95</v>
      </c>
      <c r="I143" s="168" t="s">
        <v>166</v>
      </c>
      <c r="J143" s="96">
        <f>'time-factors'!P$46</f>
        <v>20</v>
      </c>
      <c r="K143" s="170">
        <f>'time-factors'!J$46</f>
        <v>0.05</v>
      </c>
      <c r="L143" s="172">
        <f t="shared" si="57"/>
        <v>7.6230457831156742E-2</v>
      </c>
      <c r="M143" s="171">
        <v>0.02</v>
      </c>
      <c r="N143" s="168">
        <f t="shared" si="58"/>
        <v>1.9E-2</v>
      </c>
      <c r="O143" s="168">
        <v>4.4000000000000004</v>
      </c>
      <c r="P143" s="111">
        <v>200</v>
      </c>
      <c r="Q143" s="115">
        <f t="shared" si="59"/>
        <v>0.88000000000000012</v>
      </c>
      <c r="R143" s="114">
        <f t="shared" si="60"/>
        <v>0.97523045783115681</v>
      </c>
      <c r="S143" s="114">
        <f>1.2*O143</f>
        <v>5.28</v>
      </c>
      <c r="T143" s="114">
        <v>0.1</v>
      </c>
      <c r="U143" s="111">
        <f t="shared" si="61"/>
        <v>0.52800000000000002</v>
      </c>
      <c r="V143" s="111">
        <f t="shared" si="62"/>
        <v>1.8470273822559786</v>
      </c>
      <c r="W143" s="111">
        <v>200</v>
      </c>
      <c r="X143" s="111">
        <f t="shared" si="63"/>
        <v>1.056</v>
      </c>
      <c r="Y143" s="111">
        <f t="shared" si="64"/>
        <v>0</v>
      </c>
      <c r="Z143" s="111">
        <f t="shared" si="65"/>
        <v>0</v>
      </c>
      <c r="AA143" s="114">
        <f t="shared" si="66"/>
        <v>-8.0769542168843245E-2</v>
      </c>
      <c r="AB143" s="111">
        <f t="shared" si="67"/>
        <v>-0.15297261774402129</v>
      </c>
      <c r="AC143" s="111"/>
      <c r="AD143" s="107">
        <f t="shared" si="68"/>
        <v>0.14437586710446351</v>
      </c>
      <c r="AE143" s="23">
        <f t="shared" si="69"/>
        <v>3.5984848484848481E-2</v>
      </c>
      <c r="AF143" s="108">
        <f t="shared" si="70"/>
        <v>1.6666666666666667</v>
      </c>
      <c r="AH143" s="104">
        <f t="shared" si="72"/>
        <v>1.3165618448637317E-2</v>
      </c>
      <c r="AJ143" s="104">
        <f t="shared" si="73"/>
        <v>4.8712788259958076E-2</v>
      </c>
      <c r="AK143" s="23">
        <f t="shared" si="71"/>
        <v>-0.15297261774402129</v>
      </c>
    </row>
    <row r="144" spans="1:37" x14ac:dyDescent="0.35">
      <c r="A144" s="23">
        <v>19</v>
      </c>
      <c r="B144" s="120" t="s">
        <v>140</v>
      </c>
      <c r="C144" s="111" t="s">
        <v>157</v>
      </c>
      <c r="D144" s="111" t="s">
        <v>170</v>
      </c>
      <c r="E144" s="111"/>
      <c r="F144" s="111" t="s">
        <v>159</v>
      </c>
      <c r="G144" s="108">
        <f>'time-factors'!C$38*'time-factors'!B69</f>
        <v>1.6457023060796647E-2</v>
      </c>
      <c r="H144" s="166">
        <f>'time-factors'!K69</f>
        <v>1.9</v>
      </c>
      <c r="I144" s="168" t="s">
        <v>166</v>
      </c>
      <c r="J144" s="96">
        <f>'time-factors'!P$45</f>
        <v>15</v>
      </c>
      <c r="K144" s="170">
        <f>'time-factors'!J$45</f>
        <v>0.05</v>
      </c>
      <c r="L144" s="172">
        <f t="shared" si="57"/>
        <v>0.18305034645756429</v>
      </c>
      <c r="M144" s="171">
        <v>0</v>
      </c>
      <c r="N144" s="168">
        <f t="shared" si="58"/>
        <v>0</v>
      </c>
      <c r="O144" s="168">
        <v>2.63</v>
      </c>
      <c r="P144" s="111">
        <v>200</v>
      </c>
      <c r="Q144" s="115">
        <f t="shared" si="59"/>
        <v>0.52600000000000002</v>
      </c>
      <c r="R144" s="114">
        <f t="shared" si="60"/>
        <v>0.70905034645756437</v>
      </c>
      <c r="S144" s="114">
        <f>3.5*O144</f>
        <v>9.2050000000000001</v>
      </c>
      <c r="T144" s="114">
        <v>0.18</v>
      </c>
      <c r="U144" s="111">
        <f t="shared" si="61"/>
        <v>1.6569</v>
      </c>
      <c r="V144" s="111">
        <f t="shared" si="62"/>
        <v>0.42793792410982218</v>
      </c>
      <c r="W144" s="116">
        <v>103</v>
      </c>
      <c r="X144" s="111">
        <f t="shared" si="63"/>
        <v>0.94811500000000004</v>
      </c>
      <c r="Y144" s="111">
        <f t="shared" si="64"/>
        <v>0</v>
      </c>
      <c r="Z144" s="111">
        <f t="shared" si="65"/>
        <v>0</v>
      </c>
      <c r="AA144" s="114">
        <f t="shared" si="66"/>
        <v>-0.23906465354243567</v>
      </c>
      <c r="AB144" s="111">
        <f t="shared" si="67"/>
        <v>-0.14428429811240007</v>
      </c>
      <c r="AC144" s="111"/>
      <c r="AD144" s="107">
        <f t="shared" si="68"/>
        <v>0.11047760664950468</v>
      </c>
      <c r="AE144" s="23">
        <f t="shared" si="69"/>
        <v>0</v>
      </c>
      <c r="AF144" s="108">
        <f t="shared" si="70"/>
        <v>0.31746031746031744</v>
      </c>
      <c r="AH144" s="104">
        <f t="shared" si="72"/>
        <v>1.6457023060796647E-2</v>
      </c>
      <c r="AJ144" s="104">
        <f t="shared" si="73"/>
        <v>6.5169811320754722E-2</v>
      </c>
      <c r="AK144" s="23">
        <f t="shared" si="71"/>
        <v>-0.14428429811240007</v>
      </c>
    </row>
    <row r="145" spans="1:37" ht="29" x14ac:dyDescent="0.35">
      <c r="A145" s="23">
        <v>25</v>
      </c>
      <c r="B145" s="121" t="s">
        <v>204</v>
      </c>
      <c r="C145" s="24" t="s">
        <v>41</v>
      </c>
      <c r="D145" s="24" t="s">
        <v>198</v>
      </c>
      <c r="E145" s="24"/>
      <c r="F145" s="24" t="s">
        <v>203</v>
      </c>
      <c r="G145" s="108">
        <f>'time-factors'!C$38*'time-factors'!B75</f>
        <v>1.6457023060796647E-2</v>
      </c>
      <c r="H145" s="166">
        <f>'time-factors'!K75</f>
        <v>3.8949999999999996</v>
      </c>
      <c r="I145" s="53" t="s">
        <v>166</v>
      </c>
      <c r="J145" s="96">
        <f>'time-factors'!P$47</f>
        <v>10</v>
      </c>
      <c r="K145" s="170">
        <f>'time-factors'!J$47</f>
        <v>0.05</v>
      </c>
      <c r="L145" s="55">
        <f t="shared" si="57"/>
        <v>0.50442031949045363</v>
      </c>
      <c r="M145" s="54">
        <v>0</v>
      </c>
      <c r="N145" s="53">
        <f t="shared" si="58"/>
        <v>0</v>
      </c>
      <c r="O145" s="53">
        <v>2.2000000000000002</v>
      </c>
      <c r="P145" s="53">
        <v>200</v>
      </c>
      <c r="Q145" s="56">
        <f t="shared" si="59"/>
        <v>0.44000000000000006</v>
      </c>
      <c r="R145" s="55">
        <f t="shared" si="60"/>
        <v>0.94442031949045369</v>
      </c>
      <c r="S145" s="59">
        <f>2*O145</f>
        <v>4.4000000000000004</v>
      </c>
      <c r="T145" s="59">
        <v>0.27</v>
      </c>
      <c r="U145" s="53">
        <f t="shared" si="61"/>
        <v>1.1880000000000002</v>
      </c>
      <c r="V145" s="53">
        <f t="shared" si="62"/>
        <v>0.79496659889768817</v>
      </c>
      <c r="W145" s="53">
        <v>200</v>
      </c>
      <c r="X145" s="57">
        <f t="shared" si="63"/>
        <v>0.88000000000000012</v>
      </c>
      <c r="Y145" s="53">
        <f t="shared" si="64"/>
        <v>0</v>
      </c>
      <c r="Z145" s="53">
        <f t="shared" si="65"/>
        <v>0</v>
      </c>
      <c r="AA145" s="55">
        <f t="shared" si="66"/>
        <v>6.442031949045357E-2</v>
      </c>
      <c r="AB145" s="53">
        <f t="shared" si="67"/>
        <v>5.4225858156947443E-2</v>
      </c>
      <c r="AC145" s="53"/>
      <c r="AD145" s="107">
        <f t="shared" si="68"/>
        <v>0.42459622852731782</v>
      </c>
      <c r="AE145" s="23">
        <f t="shared" si="69"/>
        <v>0</v>
      </c>
      <c r="AF145" s="108">
        <f t="shared" si="70"/>
        <v>0.37037037037037035</v>
      </c>
      <c r="AH145" s="104">
        <f t="shared" si="72"/>
        <v>1.6457023060796647E-2</v>
      </c>
      <c r="AJ145" s="104">
        <f t="shared" si="73"/>
        <v>8.1626834381551369E-2</v>
      </c>
      <c r="AK145" s="23">
        <f t="shared" si="71"/>
        <v>5.4225858156947443E-2</v>
      </c>
    </row>
    <row r="146" spans="1:37" x14ac:dyDescent="0.35">
      <c r="A146" s="23">
        <v>12</v>
      </c>
      <c r="B146" s="118" t="s">
        <v>151</v>
      </c>
      <c r="C146" s="23" t="s">
        <v>139</v>
      </c>
      <c r="D146" s="23" t="s">
        <v>171</v>
      </c>
      <c r="E146" s="23" t="s">
        <v>128</v>
      </c>
      <c r="F146" s="23" t="s">
        <v>83</v>
      </c>
      <c r="G146" s="108">
        <f>'time-factors'!C$38*'time-factors'!B62</f>
        <v>1.3165618448637317E-3</v>
      </c>
      <c r="H146" s="166">
        <f>'time-factors'!K62</f>
        <v>42.75</v>
      </c>
      <c r="I146" s="96" t="s">
        <v>98</v>
      </c>
      <c r="J146" s="96">
        <f>'time-factors'!P$43</f>
        <v>10</v>
      </c>
      <c r="K146" s="170">
        <f>'time-factors'!J$43</f>
        <v>0.05</v>
      </c>
      <c r="L146" s="173">
        <f t="shared" si="57"/>
        <v>5.536320579773272</v>
      </c>
      <c r="M146" s="170">
        <v>0</v>
      </c>
      <c r="N146" s="96">
        <f t="shared" si="58"/>
        <v>0</v>
      </c>
      <c r="O146" s="167" cm="1">
        <f t="array" ref="O146">IFERROR(_xlfn.IFS(E146="Heavy", 'vehicle E calcs'!$H$33,E146="Cars/vans",'vehicle E calcs'!$H$32),"")</f>
        <v>6.3768270755398833</v>
      </c>
      <c r="P146" s="106">
        <v>200</v>
      </c>
      <c r="Q146" s="108">
        <f t="shared" si="59"/>
        <v>1.2753654151079765</v>
      </c>
      <c r="R146" s="107">
        <f t="shared" si="60"/>
        <v>6.8116859948812483</v>
      </c>
      <c r="S146" s="107" cm="1">
        <f t="array" ref="S146">_xlfn.IFS(E146="Heavy", 'vehicle E calcs'!$T$21,E146="Cars/vans",'vehicle E calcs'!$S$21)*O146</f>
        <v>23.354986057632608</v>
      </c>
      <c r="T146" s="109">
        <v>0.27</v>
      </c>
      <c r="U146" s="23">
        <f t="shared" si="61"/>
        <v>6.3058462355608045</v>
      </c>
      <c r="V146" s="23">
        <f t="shared" si="62"/>
        <v>1.0802175854634453</v>
      </c>
      <c r="W146" s="106">
        <f t="shared" ref="W146:W163" si="74">W$2*105</f>
        <v>168</v>
      </c>
      <c r="X146" s="23">
        <f t="shared" si="63"/>
        <v>3.9236376576822782</v>
      </c>
      <c r="Y146" s="96">
        <f t="shared" ref="Y146:Y163" si="75">$Z$2</f>
        <v>0</v>
      </c>
      <c r="Z146" s="23">
        <f t="shared" si="65"/>
        <v>0</v>
      </c>
      <c r="AA146" s="107">
        <f t="shared" si="66"/>
        <v>2.88804833719897</v>
      </c>
      <c r="AB146" s="23">
        <f t="shared" si="67"/>
        <v>0.45799536324122314</v>
      </c>
      <c r="AD146" s="107">
        <f t="shared" si="68"/>
        <v>0.87796631458472352</v>
      </c>
      <c r="AE146" s="23">
        <f t="shared" si="69"/>
        <v>0</v>
      </c>
      <c r="AF146" s="108">
        <f t="shared" si="70"/>
        <v>0.20225127087872183</v>
      </c>
      <c r="AH146" s="104">
        <f t="shared" si="72"/>
        <v>1.3165618448637317E-3</v>
      </c>
      <c r="AJ146" s="104">
        <f t="shared" si="73"/>
        <v>8.2943396226415098E-2</v>
      </c>
      <c r="AK146" s="23">
        <f t="shared" si="71"/>
        <v>0.45799536324122314</v>
      </c>
    </row>
    <row r="147" spans="1:37" x14ac:dyDescent="0.35">
      <c r="A147" s="23">
        <v>16</v>
      </c>
      <c r="B147" s="118" t="s">
        <v>154</v>
      </c>
      <c r="C147" s="23" t="s">
        <v>139</v>
      </c>
      <c r="D147" s="23" t="s">
        <v>171</v>
      </c>
      <c r="E147" s="23" t="s">
        <v>128</v>
      </c>
      <c r="F147" s="23" t="s">
        <v>83</v>
      </c>
      <c r="G147" s="108">
        <f>'time-factors'!C$38*'time-factors'!B66</f>
        <v>1.3165618448637317E-3</v>
      </c>
      <c r="H147" s="166">
        <f>'time-factors'!K66</f>
        <v>42.75</v>
      </c>
      <c r="I147" s="96" t="s">
        <v>98</v>
      </c>
      <c r="J147" s="96">
        <f>'time-factors'!P$43</f>
        <v>10</v>
      </c>
      <c r="K147" s="170">
        <f>'time-factors'!J$43</f>
        <v>0.05</v>
      </c>
      <c r="L147" s="173">
        <f t="shared" si="57"/>
        <v>5.536320579773272</v>
      </c>
      <c r="M147" s="170">
        <v>0</v>
      </c>
      <c r="N147" s="96">
        <f t="shared" si="58"/>
        <v>0</v>
      </c>
      <c r="O147" s="167" cm="1">
        <f t="array" ref="O147">IFERROR(_xlfn.IFS(E147="Heavy", 'vehicle E calcs'!$H$33,E147="Cars/vans",'vehicle E calcs'!$H$32),"")</f>
        <v>6.3768270755398833</v>
      </c>
      <c r="P147" s="106">
        <v>200</v>
      </c>
      <c r="Q147" s="108">
        <f t="shared" si="59"/>
        <v>1.2753654151079765</v>
      </c>
      <c r="R147" s="107">
        <f t="shared" si="60"/>
        <v>6.8116859948812483</v>
      </c>
      <c r="S147" s="107" cm="1">
        <f t="array" ref="S147">_xlfn.IFS(E147="Heavy", 'vehicle E calcs'!$T$21,E147="Cars/vans",'vehicle E calcs'!$S$21)*O147</f>
        <v>23.354986057632608</v>
      </c>
      <c r="T147" s="109">
        <v>0.27</v>
      </c>
      <c r="U147" s="23">
        <f t="shared" si="61"/>
        <v>6.3058462355608045</v>
      </c>
      <c r="V147" s="23">
        <f t="shared" si="62"/>
        <v>1.0802175854634453</v>
      </c>
      <c r="W147" s="106">
        <f t="shared" si="74"/>
        <v>168</v>
      </c>
      <c r="X147" s="23">
        <f t="shared" si="63"/>
        <v>3.9236376576822782</v>
      </c>
      <c r="Y147" s="96">
        <f t="shared" si="75"/>
        <v>0</v>
      </c>
      <c r="Z147" s="23">
        <f t="shared" si="65"/>
        <v>0</v>
      </c>
      <c r="AA147" s="107">
        <f t="shared" si="66"/>
        <v>2.88804833719897</v>
      </c>
      <c r="AB147" s="23">
        <f t="shared" si="67"/>
        <v>0.45799536324122314</v>
      </c>
      <c r="AD147" s="107">
        <f t="shared" si="68"/>
        <v>0.87796631458472352</v>
      </c>
      <c r="AE147" s="23">
        <f t="shared" si="69"/>
        <v>0</v>
      </c>
      <c r="AF147" s="108">
        <f t="shared" si="70"/>
        <v>0.20225127087872183</v>
      </c>
      <c r="AH147" s="104">
        <f t="shared" si="72"/>
        <v>1.3165618448637317E-3</v>
      </c>
      <c r="AJ147" s="104">
        <f t="shared" si="73"/>
        <v>8.4259958071278826E-2</v>
      </c>
      <c r="AK147" s="23">
        <f t="shared" si="71"/>
        <v>0.45799536324122314</v>
      </c>
    </row>
    <row r="148" spans="1:37" ht="45.5" x14ac:dyDescent="0.35">
      <c r="A148" s="23">
        <v>13</v>
      </c>
      <c r="B148" s="118" t="s">
        <v>232</v>
      </c>
      <c r="C148" s="23" t="s">
        <v>139</v>
      </c>
      <c r="D148" s="23" t="s">
        <v>171</v>
      </c>
      <c r="E148" s="23" t="s">
        <v>188</v>
      </c>
      <c r="F148" s="23" t="s">
        <v>83</v>
      </c>
      <c r="G148" s="108">
        <f>'time-factors'!C$38*'time-factors'!B63</f>
        <v>1.4482180293501048E-3</v>
      </c>
      <c r="H148" s="166">
        <f>'time-factors'!K63</f>
        <v>73.625</v>
      </c>
      <c r="I148" s="96" t="s">
        <v>98</v>
      </c>
      <c r="J148" s="96">
        <f>'time-factors'!P$43</f>
        <v>10</v>
      </c>
      <c r="K148" s="170">
        <f>'time-factors'!J$43</f>
        <v>0.05</v>
      </c>
      <c r="L148" s="173">
        <f t="shared" si="57"/>
        <v>9.5347743318317466</v>
      </c>
      <c r="M148" s="170">
        <v>0</v>
      </c>
      <c r="N148" s="96">
        <f t="shared" si="58"/>
        <v>0</v>
      </c>
      <c r="O148" s="167" cm="1">
        <f t="array" ref="O148">IFERROR(_xlfn.IFS(E148="Heavy", 'vehicle E calcs'!$H$33,E148="Cars/vans",'vehicle E calcs'!$H$32),"")</f>
        <v>7.1233383316924828</v>
      </c>
      <c r="P148" s="106">
        <v>200</v>
      </c>
      <c r="Q148" s="108">
        <f t="shared" si="59"/>
        <v>1.4246676663384965</v>
      </c>
      <c r="R148" s="107">
        <f t="shared" si="60"/>
        <v>10.959441998170243</v>
      </c>
      <c r="S148" s="107" cm="1">
        <f t="array" ref="S148">_xlfn.IFS(E148="Heavy", 'vehicle E calcs'!$T$21,E148="Cars/vans",'vehicle E calcs'!$S$21)*O148</f>
        <v>24.362584419881831</v>
      </c>
      <c r="T148" s="109">
        <v>0.27</v>
      </c>
      <c r="U148" s="23">
        <f t="shared" si="61"/>
        <v>6.5778977933680949</v>
      </c>
      <c r="V148" s="23">
        <f t="shared" si="62"/>
        <v>1.666100985822502</v>
      </c>
      <c r="W148" s="106">
        <f t="shared" si="74"/>
        <v>168</v>
      </c>
      <c r="X148" s="23">
        <f t="shared" si="63"/>
        <v>4.0929141825401478</v>
      </c>
      <c r="Y148" s="96">
        <f t="shared" si="75"/>
        <v>0</v>
      </c>
      <c r="Z148" s="23">
        <f t="shared" si="65"/>
        <v>0</v>
      </c>
      <c r="AA148" s="107">
        <f t="shared" si="66"/>
        <v>6.8665278156300955</v>
      </c>
      <c r="AB148" s="23">
        <f t="shared" si="67"/>
        <v>1.0438787636002798</v>
      </c>
      <c r="AD148" s="107">
        <f t="shared" si="68"/>
        <v>1.4495169477161542</v>
      </c>
      <c r="AE148" s="23">
        <f t="shared" si="69"/>
        <v>0</v>
      </c>
      <c r="AF148" s="108">
        <f t="shared" si="70"/>
        <v>0.2165840381063478</v>
      </c>
      <c r="AH148" s="104">
        <f t="shared" si="72"/>
        <v>1.4482180293501048E-3</v>
      </c>
      <c r="AJ148" s="104">
        <f t="shared" si="73"/>
        <v>8.5708176100628933E-2</v>
      </c>
      <c r="AK148" s="23">
        <f t="shared" si="71"/>
        <v>1.0438787636002798</v>
      </c>
    </row>
    <row r="149" spans="1:37" x14ac:dyDescent="0.35">
      <c r="A149" s="23">
        <v>11</v>
      </c>
      <c r="B149" s="118" t="s">
        <v>150</v>
      </c>
      <c r="C149" s="23" t="s">
        <v>139</v>
      </c>
      <c r="D149" s="23" t="s">
        <v>171</v>
      </c>
      <c r="E149" s="23" t="s">
        <v>128</v>
      </c>
      <c r="F149" s="23" t="s">
        <v>83</v>
      </c>
      <c r="G149" s="108">
        <f>'time-factors'!C$38*'time-factors'!B61</f>
        <v>6.5828092243186583E-4</v>
      </c>
      <c r="H149" s="166">
        <f>'time-factors'!K61</f>
        <v>73.625</v>
      </c>
      <c r="I149" s="96" t="s">
        <v>98</v>
      </c>
      <c r="J149" s="96">
        <f>'time-factors'!P$43</f>
        <v>10</v>
      </c>
      <c r="K149" s="170">
        <f>'time-factors'!J$43</f>
        <v>0.05</v>
      </c>
      <c r="L149" s="173">
        <f t="shared" si="57"/>
        <v>9.5347743318317466</v>
      </c>
      <c r="M149" s="170">
        <v>0</v>
      </c>
      <c r="N149" s="96">
        <f t="shared" si="58"/>
        <v>0</v>
      </c>
      <c r="O149" s="167" cm="1">
        <f t="array" ref="O149">IFERROR(_xlfn.IFS(E149="Heavy", 'vehicle E calcs'!$H$33,E149="Cars/vans",'vehicle E calcs'!$H$32),"")</f>
        <v>6.3768270755398833</v>
      </c>
      <c r="P149" s="106">
        <v>200</v>
      </c>
      <c r="Q149" s="108">
        <f t="shared" si="59"/>
        <v>1.2753654151079765</v>
      </c>
      <c r="R149" s="107">
        <f t="shared" si="60"/>
        <v>10.810139746939724</v>
      </c>
      <c r="S149" s="107" cm="1">
        <f t="array" ref="S149">_xlfn.IFS(E149="Heavy", 'vehicle E calcs'!$T$21,E149="Cars/vans",'vehicle E calcs'!$S$21)*O149</f>
        <v>23.354986057632608</v>
      </c>
      <c r="T149" s="109">
        <v>0.27</v>
      </c>
      <c r="U149" s="23">
        <f t="shared" si="61"/>
        <v>6.3058462355608045</v>
      </c>
      <c r="V149" s="23">
        <f t="shared" si="62"/>
        <v>1.7143043682190793</v>
      </c>
      <c r="W149" s="106">
        <f t="shared" si="74"/>
        <v>168</v>
      </c>
      <c r="X149" s="23">
        <f t="shared" si="63"/>
        <v>3.9236376576822782</v>
      </c>
      <c r="Y149" s="96">
        <f t="shared" si="75"/>
        <v>0</v>
      </c>
      <c r="Z149" s="23">
        <f t="shared" si="65"/>
        <v>0</v>
      </c>
      <c r="AA149" s="107">
        <f t="shared" si="66"/>
        <v>6.886502089257446</v>
      </c>
      <c r="AB149" s="23">
        <f t="shared" si="67"/>
        <v>1.092082145996857</v>
      </c>
      <c r="AD149" s="107">
        <f t="shared" si="68"/>
        <v>1.5120530973403572</v>
      </c>
      <c r="AE149" s="23">
        <f t="shared" si="69"/>
        <v>0</v>
      </c>
      <c r="AF149" s="108">
        <f t="shared" si="70"/>
        <v>0.20225127087872183</v>
      </c>
      <c r="AH149" s="104">
        <f t="shared" si="72"/>
        <v>6.5828092243186583E-4</v>
      </c>
      <c r="AJ149" s="104">
        <f t="shared" si="73"/>
        <v>8.6366457023060797E-2</v>
      </c>
      <c r="AK149" s="23">
        <f t="shared" si="71"/>
        <v>1.092082145996857</v>
      </c>
    </row>
    <row r="150" spans="1:37" x14ac:dyDescent="0.35">
      <c r="A150" s="23">
        <v>6</v>
      </c>
      <c r="B150" s="118" t="s">
        <v>146</v>
      </c>
      <c r="C150" s="23" t="s">
        <v>139</v>
      </c>
      <c r="D150" s="23" t="s">
        <v>171</v>
      </c>
      <c r="E150" s="23" t="s">
        <v>188</v>
      </c>
      <c r="F150" s="23" t="s">
        <v>83</v>
      </c>
      <c r="G150" s="108">
        <f>'time-factors'!C$38*'time-factors'!B56</f>
        <v>1.9090146750524108E-3</v>
      </c>
      <c r="H150" s="166">
        <f>'time-factors'!K56</f>
        <v>141.21301600000001</v>
      </c>
      <c r="I150" s="96" t="s">
        <v>98</v>
      </c>
      <c r="J150" s="96">
        <f>'time-factors'!P$43</f>
        <v>10</v>
      </c>
      <c r="K150" s="170">
        <f>'time-factors'!J$43</f>
        <v>0.05</v>
      </c>
      <c r="L150" s="173">
        <f t="shared" si="57"/>
        <v>18.287731616670232</v>
      </c>
      <c r="M150" s="170">
        <v>0</v>
      </c>
      <c r="N150" s="96">
        <f t="shared" si="58"/>
        <v>0</v>
      </c>
      <c r="O150" s="167" cm="1">
        <f t="array" ref="O150">IFERROR(_xlfn.IFS(E150="Heavy", 'vehicle E calcs'!$H$33,E150="Cars/vans",'vehicle E calcs'!$H$32),"")</f>
        <v>7.1233383316924828</v>
      </c>
      <c r="P150" s="106">
        <v>200</v>
      </c>
      <c r="Q150" s="108">
        <f t="shared" si="59"/>
        <v>1.4246676663384965</v>
      </c>
      <c r="R150" s="107">
        <f t="shared" si="60"/>
        <v>19.712399283008729</v>
      </c>
      <c r="S150" s="107" cm="1">
        <f t="array" ref="S150">_xlfn.IFS(E150="Heavy", 'vehicle E calcs'!$T$21,E150="Cars/vans",'vehicle E calcs'!$S$21)*O150</f>
        <v>24.362584419881831</v>
      </c>
      <c r="T150" s="109">
        <v>0.27</v>
      </c>
      <c r="U150" s="23">
        <f t="shared" si="61"/>
        <v>6.5778977933680949</v>
      </c>
      <c r="V150" s="23">
        <f t="shared" si="62"/>
        <v>2.9967627807903878</v>
      </c>
      <c r="W150" s="106">
        <f t="shared" si="74"/>
        <v>168</v>
      </c>
      <c r="X150" s="23">
        <f t="shared" si="63"/>
        <v>4.0929141825401478</v>
      </c>
      <c r="Y150" s="96">
        <f t="shared" si="75"/>
        <v>0</v>
      </c>
      <c r="Z150" s="23">
        <f t="shared" si="65"/>
        <v>0</v>
      </c>
      <c r="AA150" s="107">
        <f t="shared" si="66"/>
        <v>15.61948510046858</v>
      </c>
      <c r="AB150" s="23">
        <f t="shared" si="67"/>
        <v>2.3745405585681656</v>
      </c>
      <c r="AD150" s="107">
        <f t="shared" si="68"/>
        <v>2.7801787426840403</v>
      </c>
      <c r="AE150" s="23">
        <f t="shared" si="69"/>
        <v>0</v>
      </c>
      <c r="AF150" s="108">
        <f t="shared" si="70"/>
        <v>0.2165840381063478</v>
      </c>
      <c r="AH150" s="104">
        <f t="shared" si="72"/>
        <v>1.9090146750524108E-3</v>
      </c>
      <c r="AJ150" s="104">
        <f t="shared" si="73"/>
        <v>8.8275471698113214E-2</v>
      </c>
      <c r="AK150" s="23">
        <f t="shared" si="71"/>
        <v>2.3745405585681656</v>
      </c>
    </row>
    <row r="151" spans="1:37" x14ac:dyDescent="0.35">
      <c r="A151" s="23">
        <v>1</v>
      </c>
      <c r="B151" s="118" t="s">
        <v>141</v>
      </c>
      <c r="C151" s="23" t="s">
        <v>139</v>
      </c>
      <c r="D151" s="23" t="s">
        <v>171</v>
      </c>
      <c r="E151" s="23" t="s">
        <v>128</v>
      </c>
      <c r="F151" s="23" t="s">
        <v>83</v>
      </c>
      <c r="G151" s="108">
        <f>'time-factors'!C$38*'time-factors'!B51</f>
        <v>2.3039832285115303E-3</v>
      </c>
      <c r="H151" s="166">
        <f>'time-factors'!K51</f>
        <v>189.12457499999999</v>
      </c>
      <c r="I151" s="96" t="s">
        <v>98</v>
      </c>
      <c r="J151" s="96">
        <f>'time-factors'!P$43</f>
        <v>10</v>
      </c>
      <c r="K151" s="170">
        <f>'time-factors'!J$43</f>
        <v>0.05</v>
      </c>
      <c r="L151" s="173">
        <f t="shared" si="57"/>
        <v>24.49249770089763</v>
      </c>
      <c r="M151" s="170">
        <v>0</v>
      </c>
      <c r="N151" s="96">
        <f t="shared" si="58"/>
        <v>0</v>
      </c>
      <c r="O151" s="167" cm="1">
        <f t="array" ref="O151">IFERROR(_xlfn.IFS(E151="Heavy", 'vehicle E calcs'!$H$33,E151="Cars/vans",'vehicle E calcs'!$H$32),"")</f>
        <v>6.3768270755398833</v>
      </c>
      <c r="P151" s="106">
        <v>200</v>
      </c>
      <c r="Q151" s="108">
        <f t="shared" si="59"/>
        <v>1.2753654151079765</v>
      </c>
      <c r="R151" s="107">
        <f t="shared" si="60"/>
        <v>25.767863116005607</v>
      </c>
      <c r="S151" s="107" cm="1">
        <f t="array" ref="S151">_xlfn.IFS(E151="Heavy", 'vehicle E calcs'!$T$21,E151="Cars/vans",'vehicle E calcs'!$S$21)*O151</f>
        <v>23.354986057632608</v>
      </c>
      <c r="T151" s="109">
        <v>0.27</v>
      </c>
      <c r="U151" s="23">
        <f t="shared" si="61"/>
        <v>6.3058462355608045</v>
      </c>
      <c r="V151" s="23">
        <f t="shared" si="62"/>
        <v>4.086344981057719</v>
      </c>
      <c r="W151" s="106">
        <f t="shared" si="74"/>
        <v>168</v>
      </c>
      <c r="X151" s="23">
        <f t="shared" si="63"/>
        <v>3.9236376576822782</v>
      </c>
      <c r="Y151" s="96">
        <f t="shared" si="75"/>
        <v>0</v>
      </c>
      <c r="Z151" s="23">
        <f t="shared" si="65"/>
        <v>0</v>
      </c>
      <c r="AA151" s="107">
        <f t="shared" si="66"/>
        <v>21.844225458323329</v>
      </c>
      <c r="AB151" s="23">
        <f t="shared" si="67"/>
        <v>3.4641227588354973</v>
      </c>
      <c r="AD151" s="107">
        <f t="shared" si="68"/>
        <v>3.8840937101789974</v>
      </c>
      <c r="AE151" s="23">
        <f t="shared" si="69"/>
        <v>0</v>
      </c>
      <c r="AF151" s="108">
        <f t="shared" si="70"/>
        <v>0.20225127087872183</v>
      </c>
      <c r="AH151" s="104">
        <f t="shared" si="72"/>
        <v>2.3039832285115303E-3</v>
      </c>
      <c r="AJ151" s="104">
        <f t="shared" si="73"/>
        <v>9.0579454926624739E-2</v>
      </c>
      <c r="AK151" s="23">
        <f t="shared" si="71"/>
        <v>3.4641227588354973</v>
      </c>
    </row>
    <row r="152" spans="1:37" x14ac:dyDescent="0.35">
      <c r="A152" s="23">
        <v>4</v>
      </c>
      <c r="B152" s="118" t="s">
        <v>144</v>
      </c>
      <c r="C152" s="23" t="s">
        <v>139</v>
      </c>
      <c r="D152" s="23" t="s">
        <v>171</v>
      </c>
      <c r="E152" s="23" t="s">
        <v>188</v>
      </c>
      <c r="F152" s="23" t="s">
        <v>83</v>
      </c>
      <c r="G152" s="108">
        <f>'time-factors'!C$38*'time-factors'!B54</f>
        <v>9.8742138364779869E-4</v>
      </c>
      <c r="H152" s="166">
        <f>'time-factors'!K54</f>
        <v>273.59999999999997</v>
      </c>
      <c r="I152" s="96" t="s">
        <v>98</v>
      </c>
      <c r="J152" s="96">
        <f>'time-factors'!P$43</f>
        <v>10</v>
      </c>
      <c r="K152" s="170">
        <f>'time-factors'!J$43</f>
        <v>0.05</v>
      </c>
      <c r="L152" s="173">
        <f t="shared" si="57"/>
        <v>35.432451710548939</v>
      </c>
      <c r="M152" s="170">
        <v>0</v>
      </c>
      <c r="N152" s="96">
        <f t="shared" si="58"/>
        <v>0</v>
      </c>
      <c r="O152" s="167" cm="1">
        <f t="array" ref="O152">IFERROR(_xlfn.IFS(E152="Heavy", 'vehicle E calcs'!$H$33,E152="Cars/vans",'vehicle E calcs'!$H$32),"")</f>
        <v>7.1233383316924828</v>
      </c>
      <c r="P152" s="106">
        <v>200</v>
      </c>
      <c r="Q152" s="108">
        <f t="shared" si="59"/>
        <v>1.4246676663384965</v>
      </c>
      <c r="R152" s="107">
        <f t="shared" si="60"/>
        <v>36.857119376887432</v>
      </c>
      <c r="S152" s="107" cm="1">
        <f t="array" ref="S152">_xlfn.IFS(E152="Heavy", 'vehicle E calcs'!$T$21,E152="Cars/vans",'vehicle E calcs'!$S$21)*O152</f>
        <v>24.362584419881831</v>
      </c>
      <c r="T152" s="109">
        <v>0.27</v>
      </c>
      <c r="U152" s="23">
        <f t="shared" si="61"/>
        <v>6.5778977933680949</v>
      </c>
      <c r="V152" s="23">
        <f t="shared" si="62"/>
        <v>5.6031760502644419</v>
      </c>
      <c r="W152" s="106">
        <f t="shared" si="74"/>
        <v>168</v>
      </c>
      <c r="X152" s="23">
        <f t="shared" si="63"/>
        <v>4.0929141825401478</v>
      </c>
      <c r="Y152" s="96">
        <f t="shared" si="75"/>
        <v>0</v>
      </c>
      <c r="Z152" s="23">
        <f t="shared" si="65"/>
        <v>0</v>
      </c>
      <c r="AA152" s="107">
        <f t="shared" si="66"/>
        <v>32.764205194347284</v>
      </c>
      <c r="AB152" s="23">
        <f t="shared" si="67"/>
        <v>4.9809538280422201</v>
      </c>
      <c r="AD152" s="107">
        <f t="shared" si="68"/>
        <v>5.3865920121580952</v>
      </c>
      <c r="AE152" s="23">
        <f t="shared" si="69"/>
        <v>0</v>
      </c>
      <c r="AF152" s="108">
        <f t="shared" si="70"/>
        <v>0.2165840381063478</v>
      </c>
      <c r="AH152" s="104">
        <f t="shared" si="72"/>
        <v>9.8742138364779869E-4</v>
      </c>
      <c r="AJ152" s="104">
        <f t="shared" si="73"/>
        <v>9.1566876310272535E-2</v>
      </c>
      <c r="AK152" s="23">
        <f t="shared" si="71"/>
        <v>4.9809538280422201</v>
      </c>
    </row>
    <row r="153" spans="1:37" ht="29" x14ac:dyDescent="0.35">
      <c r="A153" s="23">
        <v>7</v>
      </c>
      <c r="B153" s="118" t="s">
        <v>147</v>
      </c>
      <c r="C153" s="23" t="s">
        <v>139</v>
      </c>
      <c r="D153" s="23" t="s">
        <v>171</v>
      </c>
      <c r="E153" s="23" t="s">
        <v>188</v>
      </c>
      <c r="F153" s="23" t="s">
        <v>83</v>
      </c>
      <c r="G153" s="108">
        <f>'time-factors'!C$38*'time-factors'!B57</f>
        <v>1.6457023060796646E-3</v>
      </c>
      <c r="H153" s="166">
        <f>'time-factors'!K57</f>
        <v>273.59999999999997</v>
      </c>
      <c r="I153" s="96" t="s">
        <v>98</v>
      </c>
      <c r="J153" s="96">
        <f>'time-factors'!P$43</f>
        <v>10</v>
      </c>
      <c r="K153" s="170">
        <f>'time-factors'!J$43</f>
        <v>0.05</v>
      </c>
      <c r="L153" s="173">
        <f t="shared" si="57"/>
        <v>35.432451710548939</v>
      </c>
      <c r="M153" s="170">
        <v>0</v>
      </c>
      <c r="N153" s="96">
        <f t="shared" si="58"/>
        <v>0</v>
      </c>
      <c r="O153" s="167" cm="1">
        <f t="array" ref="O153">IFERROR(_xlfn.IFS(E153="Heavy", 'vehicle E calcs'!$H$33,E153="Cars/vans",'vehicle E calcs'!$H$32),"")</f>
        <v>7.1233383316924828</v>
      </c>
      <c r="P153" s="106">
        <v>200</v>
      </c>
      <c r="Q153" s="108">
        <f t="shared" si="59"/>
        <v>1.4246676663384965</v>
      </c>
      <c r="R153" s="107">
        <f t="shared" si="60"/>
        <v>36.857119376887432</v>
      </c>
      <c r="S153" s="107" cm="1">
        <f t="array" ref="S153">_xlfn.IFS(E153="Heavy", 'vehicle E calcs'!$T$21,E153="Cars/vans",'vehicle E calcs'!$S$21)*O153</f>
        <v>24.362584419881831</v>
      </c>
      <c r="T153" s="109">
        <v>0.27</v>
      </c>
      <c r="U153" s="23">
        <f t="shared" si="61"/>
        <v>6.5778977933680949</v>
      </c>
      <c r="V153" s="23">
        <f t="shared" si="62"/>
        <v>5.6031760502644419</v>
      </c>
      <c r="W153" s="106">
        <f t="shared" si="74"/>
        <v>168</v>
      </c>
      <c r="X153" s="23">
        <f t="shared" si="63"/>
        <v>4.0929141825401478</v>
      </c>
      <c r="Y153" s="96">
        <f t="shared" si="75"/>
        <v>0</v>
      </c>
      <c r="Z153" s="23">
        <f t="shared" si="65"/>
        <v>0</v>
      </c>
      <c r="AA153" s="107">
        <f t="shared" si="66"/>
        <v>32.764205194347284</v>
      </c>
      <c r="AB153" s="23">
        <f t="shared" si="67"/>
        <v>4.9809538280422201</v>
      </c>
      <c r="AD153" s="107">
        <f t="shared" si="68"/>
        <v>5.3865920121580952</v>
      </c>
      <c r="AE153" s="23">
        <f t="shared" si="69"/>
        <v>0</v>
      </c>
      <c r="AF153" s="108">
        <f t="shared" si="70"/>
        <v>0.2165840381063478</v>
      </c>
      <c r="AH153" s="104">
        <f t="shared" si="72"/>
        <v>1.6457023060796646E-3</v>
      </c>
      <c r="AJ153" s="104">
        <f t="shared" si="73"/>
        <v>9.3212578616352196E-2</v>
      </c>
      <c r="AK153" s="23">
        <f t="shared" si="71"/>
        <v>4.9809538280422201</v>
      </c>
    </row>
    <row r="154" spans="1:37" x14ac:dyDescent="0.35">
      <c r="A154" s="23">
        <v>9</v>
      </c>
      <c r="B154" s="118" t="s">
        <v>149</v>
      </c>
      <c r="C154" s="23" t="s">
        <v>139</v>
      </c>
      <c r="D154" s="23" t="s">
        <v>171</v>
      </c>
      <c r="E154" s="23" t="s">
        <v>188</v>
      </c>
      <c r="F154" s="23" t="s">
        <v>83</v>
      </c>
      <c r="G154" s="108">
        <f>'time-factors'!C$38*'time-factors'!B59</f>
        <v>6.5828092243186583E-4</v>
      </c>
      <c r="H154" s="166">
        <f>'time-factors'!K59</f>
        <v>273.59999999999997</v>
      </c>
      <c r="I154" s="96" t="s">
        <v>98</v>
      </c>
      <c r="J154" s="96">
        <f>'time-factors'!P$43</f>
        <v>10</v>
      </c>
      <c r="K154" s="170">
        <f>'time-factors'!J$43</f>
        <v>0.05</v>
      </c>
      <c r="L154" s="173">
        <f t="shared" si="57"/>
        <v>35.432451710548939</v>
      </c>
      <c r="M154" s="170">
        <v>0</v>
      </c>
      <c r="N154" s="96">
        <f t="shared" si="58"/>
        <v>0</v>
      </c>
      <c r="O154" s="167" cm="1">
        <f t="array" ref="O154">IFERROR(_xlfn.IFS(E154="Heavy", 'vehicle E calcs'!$H$33,E154="Cars/vans",'vehicle E calcs'!$H$32),"")</f>
        <v>7.1233383316924828</v>
      </c>
      <c r="P154" s="106">
        <v>200</v>
      </c>
      <c r="Q154" s="108">
        <f t="shared" si="59"/>
        <v>1.4246676663384965</v>
      </c>
      <c r="R154" s="107">
        <f t="shared" si="60"/>
        <v>36.857119376887432</v>
      </c>
      <c r="S154" s="107" cm="1">
        <f t="array" ref="S154">_xlfn.IFS(E154="Heavy", 'vehicle E calcs'!$T$21,E154="Cars/vans",'vehicle E calcs'!$S$21)*O154</f>
        <v>24.362584419881831</v>
      </c>
      <c r="T154" s="109">
        <v>0.27</v>
      </c>
      <c r="U154" s="23">
        <f t="shared" si="61"/>
        <v>6.5778977933680949</v>
      </c>
      <c r="V154" s="23">
        <f t="shared" si="62"/>
        <v>5.6031760502644419</v>
      </c>
      <c r="W154" s="106">
        <f t="shared" si="74"/>
        <v>168</v>
      </c>
      <c r="X154" s="23">
        <f t="shared" si="63"/>
        <v>4.0929141825401478</v>
      </c>
      <c r="Y154" s="96">
        <f t="shared" si="75"/>
        <v>0</v>
      </c>
      <c r="Z154" s="23">
        <f t="shared" si="65"/>
        <v>0</v>
      </c>
      <c r="AA154" s="107">
        <f t="shared" si="66"/>
        <v>32.764205194347284</v>
      </c>
      <c r="AB154" s="23">
        <f t="shared" si="67"/>
        <v>4.9809538280422201</v>
      </c>
      <c r="AD154" s="107">
        <f t="shared" si="68"/>
        <v>5.3865920121580952</v>
      </c>
      <c r="AE154" s="23">
        <f t="shared" si="69"/>
        <v>0</v>
      </c>
      <c r="AF154" s="108">
        <f t="shared" si="70"/>
        <v>0.2165840381063478</v>
      </c>
      <c r="AH154" s="104">
        <f t="shared" si="72"/>
        <v>6.5828092243186583E-4</v>
      </c>
      <c r="AJ154" s="104">
        <f t="shared" si="73"/>
        <v>9.387085953878406E-2</v>
      </c>
      <c r="AK154" s="23">
        <f t="shared" si="71"/>
        <v>4.9809538280422201</v>
      </c>
    </row>
    <row r="155" spans="1:37" x14ac:dyDescent="0.35">
      <c r="A155" s="23">
        <v>15</v>
      </c>
      <c r="B155" s="118" t="s">
        <v>153</v>
      </c>
      <c r="C155" s="23" t="s">
        <v>139</v>
      </c>
      <c r="D155" s="23" t="s">
        <v>171</v>
      </c>
      <c r="E155" s="23" t="s">
        <v>188</v>
      </c>
      <c r="F155" s="23" t="s">
        <v>83</v>
      </c>
      <c r="G155" s="108">
        <f>'time-factors'!C$38*'time-factors'!B65</f>
        <v>1.0532494758909853E-3</v>
      </c>
      <c r="H155" s="166">
        <f>'time-factors'!K65</f>
        <v>273.59999999999997</v>
      </c>
      <c r="I155" s="96" t="s">
        <v>98</v>
      </c>
      <c r="J155" s="96">
        <f>'time-factors'!P$43</f>
        <v>10</v>
      </c>
      <c r="K155" s="170">
        <f>'time-factors'!J$43</f>
        <v>0.05</v>
      </c>
      <c r="L155" s="173">
        <f t="shared" si="57"/>
        <v>35.432451710548939</v>
      </c>
      <c r="M155" s="170">
        <v>0</v>
      </c>
      <c r="N155" s="96">
        <f t="shared" si="58"/>
        <v>0</v>
      </c>
      <c r="O155" s="167" cm="1">
        <f t="array" ref="O155">IFERROR(_xlfn.IFS(E155="Heavy", 'vehicle E calcs'!$H$33,E155="Cars/vans",'vehicle E calcs'!$H$32),"")</f>
        <v>7.1233383316924828</v>
      </c>
      <c r="P155" s="106">
        <v>200</v>
      </c>
      <c r="Q155" s="108">
        <f t="shared" si="59"/>
        <v>1.4246676663384965</v>
      </c>
      <c r="R155" s="107">
        <f t="shared" si="60"/>
        <v>36.857119376887432</v>
      </c>
      <c r="S155" s="107" cm="1">
        <f t="array" ref="S155">_xlfn.IFS(E155="Heavy", 'vehicle E calcs'!$T$21,E155="Cars/vans",'vehicle E calcs'!$S$21)*O155</f>
        <v>24.362584419881831</v>
      </c>
      <c r="T155" s="109">
        <v>0.27</v>
      </c>
      <c r="U155" s="23">
        <f t="shared" si="61"/>
        <v>6.5778977933680949</v>
      </c>
      <c r="V155" s="23">
        <f t="shared" si="62"/>
        <v>5.6031760502644419</v>
      </c>
      <c r="W155" s="106">
        <f t="shared" si="74"/>
        <v>168</v>
      </c>
      <c r="X155" s="23">
        <f t="shared" si="63"/>
        <v>4.0929141825401478</v>
      </c>
      <c r="Y155" s="96">
        <f t="shared" si="75"/>
        <v>0</v>
      </c>
      <c r="Z155" s="23">
        <f t="shared" si="65"/>
        <v>0</v>
      </c>
      <c r="AA155" s="107">
        <f t="shared" si="66"/>
        <v>32.764205194347284</v>
      </c>
      <c r="AB155" s="23">
        <f t="shared" si="67"/>
        <v>4.9809538280422201</v>
      </c>
      <c r="AD155" s="107">
        <f t="shared" si="68"/>
        <v>5.3865920121580952</v>
      </c>
      <c r="AE155" s="23">
        <f t="shared" si="69"/>
        <v>0</v>
      </c>
      <c r="AF155" s="108">
        <f t="shared" si="70"/>
        <v>0.2165840381063478</v>
      </c>
      <c r="AH155" s="104">
        <f t="shared" si="72"/>
        <v>1.0532494758909853E-3</v>
      </c>
      <c r="AJ155" s="104">
        <f t="shared" si="73"/>
        <v>9.4924109014675045E-2</v>
      </c>
      <c r="AK155" s="23">
        <f t="shared" si="71"/>
        <v>4.9809538280422201</v>
      </c>
    </row>
    <row r="156" spans="1:37" x14ac:dyDescent="0.35">
      <c r="A156" s="23">
        <v>3</v>
      </c>
      <c r="B156" s="118" t="s">
        <v>143</v>
      </c>
      <c r="C156" s="23" t="s">
        <v>139</v>
      </c>
      <c r="D156" s="23" t="s">
        <v>171</v>
      </c>
      <c r="E156" s="23" t="s">
        <v>188</v>
      </c>
      <c r="F156" s="23" t="s">
        <v>83</v>
      </c>
      <c r="G156" s="108">
        <f>'time-factors'!C$38*'time-factors'!B53</f>
        <v>1.4482180293501048E-3</v>
      </c>
      <c r="H156" s="166">
        <f>'time-factors'!K53</f>
        <v>289.351</v>
      </c>
      <c r="I156" s="96" t="s">
        <v>98</v>
      </c>
      <c r="J156" s="96">
        <f>'time-factors'!P$43</f>
        <v>10</v>
      </c>
      <c r="K156" s="170">
        <f>'time-factors'!J$43</f>
        <v>0.05</v>
      </c>
      <c r="L156" s="173">
        <f t="shared" si="57"/>
        <v>37.472278270829854</v>
      </c>
      <c r="M156" s="170">
        <v>0</v>
      </c>
      <c r="N156" s="96">
        <f t="shared" si="58"/>
        <v>0</v>
      </c>
      <c r="O156" s="167" cm="1">
        <f t="array" ref="O156">IFERROR(_xlfn.IFS(E156="Heavy", 'vehicle E calcs'!$H$33,E156="Cars/vans",'vehicle E calcs'!$H$32),"")</f>
        <v>7.1233383316924828</v>
      </c>
      <c r="P156" s="106">
        <v>200</v>
      </c>
      <c r="Q156" s="108">
        <f t="shared" si="59"/>
        <v>1.4246676663384965</v>
      </c>
      <c r="R156" s="107">
        <f t="shared" si="60"/>
        <v>38.896945937168347</v>
      </c>
      <c r="S156" s="107" cm="1">
        <f t="array" ref="S156">_xlfn.IFS(E156="Heavy", 'vehicle E calcs'!$T$21,E156="Cars/vans",'vehicle E calcs'!$S$21)*O156</f>
        <v>24.362584419881831</v>
      </c>
      <c r="T156" s="109">
        <v>0.27</v>
      </c>
      <c r="U156" s="23">
        <f t="shared" si="61"/>
        <v>6.5778977933680949</v>
      </c>
      <c r="V156" s="23">
        <f t="shared" si="62"/>
        <v>5.9132791598532668</v>
      </c>
      <c r="W156" s="106">
        <f t="shared" si="74"/>
        <v>168</v>
      </c>
      <c r="X156" s="23">
        <f t="shared" si="63"/>
        <v>4.0929141825401478</v>
      </c>
      <c r="Y156" s="96">
        <f t="shared" si="75"/>
        <v>0</v>
      </c>
      <c r="Z156" s="23">
        <f t="shared" si="65"/>
        <v>0</v>
      </c>
      <c r="AA156" s="107">
        <f t="shared" si="66"/>
        <v>34.804031754628198</v>
      </c>
      <c r="AB156" s="23">
        <f t="shared" si="67"/>
        <v>5.291056937631045</v>
      </c>
      <c r="AD156" s="107">
        <f t="shared" si="68"/>
        <v>5.6966951217469202</v>
      </c>
      <c r="AE156" s="23">
        <f t="shared" si="69"/>
        <v>0</v>
      </c>
      <c r="AF156" s="108">
        <f t="shared" si="70"/>
        <v>0.2165840381063478</v>
      </c>
      <c r="AH156" s="104">
        <f t="shared" si="72"/>
        <v>1.4482180293501048E-3</v>
      </c>
      <c r="AJ156" s="104">
        <f t="shared" si="73"/>
        <v>9.6372327044025152E-2</v>
      </c>
      <c r="AK156" s="23">
        <f t="shared" si="71"/>
        <v>5.291056937631045</v>
      </c>
    </row>
    <row r="157" spans="1:37" x14ac:dyDescent="0.35">
      <c r="A157" s="23">
        <v>17</v>
      </c>
      <c r="B157" s="118" t="s">
        <v>143</v>
      </c>
      <c r="C157" s="23" t="s">
        <v>156</v>
      </c>
      <c r="D157" s="23" t="s">
        <v>171</v>
      </c>
      <c r="E157" s="23" t="s">
        <v>188</v>
      </c>
      <c r="F157" s="23" t="s">
        <v>83</v>
      </c>
      <c r="G157" s="108">
        <f>'time-factors'!C$38*'time-factors'!B67</f>
        <v>1.3165618448637317E-3</v>
      </c>
      <c r="H157" s="166">
        <f>'time-factors'!K67</f>
        <v>292.59999999999997</v>
      </c>
      <c r="I157" s="96" t="s">
        <v>98</v>
      </c>
      <c r="J157" s="96">
        <f>'time-factors'!P$44</f>
        <v>10</v>
      </c>
      <c r="K157" s="170">
        <f>'time-factors'!J$44</f>
        <v>0.05</v>
      </c>
      <c r="L157" s="173">
        <f t="shared" si="57"/>
        <v>37.893038634892619</v>
      </c>
      <c r="M157" s="170">
        <v>0</v>
      </c>
      <c r="N157" s="96">
        <f t="shared" si="58"/>
        <v>0</v>
      </c>
      <c r="O157" s="167" cm="1">
        <f t="array" ref="O157">IFERROR(_xlfn.IFS(E157="Heavy", 'vehicle E calcs'!$H$33,E157="Cars/vans",'vehicle E calcs'!$H$32),"")</f>
        <v>7.1233383316924828</v>
      </c>
      <c r="P157" s="106">
        <v>300</v>
      </c>
      <c r="Q157" s="108">
        <f t="shared" si="59"/>
        <v>2.1370014995077451</v>
      </c>
      <c r="R157" s="107">
        <f t="shared" si="60"/>
        <v>40.030040134400366</v>
      </c>
      <c r="S157" s="107" cm="1">
        <f t="array" ref="S157">_xlfn.IFS(E157="Heavy", 'vehicle E calcs'!$T$21,E157="Cars/vans",'vehicle E calcs'!$S$21)*O157</f>
        <v>24.362584419881831</v>
      </c>
      <c r="T157" s="109">
        <v>0.27</v>
      </c>
      <c r="U157" s="23">
        <f t="shared" si="61"/>
        <v>6.5778977933680949</v>
      </c>
      <c r="V157" s="23">
        <f t="shared" si="62"/>
        <v>6.0855369590508186</v>
      </c>
      <c r="W157" s="106">
        <f t="shared" si="74"/>
        <v>168</v>
      </c>
      <c r="X157" s="23">
        <f t="shared" si="63"/>
        <v>4.0929141825401478</v>
      </c>
      <c r="Y157" s="96">
        <f t="shared" si="75"/>
        <v>0</v>
      </c>
      <c r="Z157" s="23">
        <f t="shared" si="65"/>
        <v>0</v>
      </c>
      <c r="AA157" s="107">
        <f t="shared" si="66"/>
        <v>35.937125951860217</v>
      </c>
      <c r="AB157" s="23">
        <f t="shared" si="67"/>
        <v>5.4633147368285959</v>
      </c>
      <c r="AD157" s="107">
        <f t="shared" si="68"/>
        <v>5.7606609018912964</v>
      </c>
      <c r="AE157" s="23">
        <f t="shared" si="69"/>
        <v>0</v>
      </c>
      <c r="AF157" s="108">
        <f t="shared" si="70"/>
        <v>0.32487605715952173</v>
      </c>
      <c r="AH157" s="104">
        <f t="shared" si="72"/>
        <v>1.3165618448637317E-3</v>
      </c>
      <c r="AJ157" s="104">
        <f t="shared" si="73"/>
        <v>9.7688888888888881E-2</v>
      </c>
      <c r="AK157" s="23">
        <f t="shared" si="71"/>
        <v>5.4633147368285959</v>
      </c>
    </row>
    <row r="158" spans="1:37" x14ac:dyDescent="0.35">
      <c r="A158" s="23">
        <v>18</v>
      </c>
      <c r="B158" s="119" t="s">
        <v>148</v>
      </c>
      <c r="C158" s="23" t="s">
        <v>156</v>
      </c>
      <c r="D158" s="23" t="s">
        <v>171</v>
      </c>
      <c r="E158" s="23" t="s">
        <v>188</v>
      </c>
      <c r="F158" s="23" t="s">
        <v>83</v>
      </c>
      <c r="G158" s="108">
        <f>'time-factors'!C$38*'time-factors'!B68</f>
        <v>1.3165618448637317E-3</v>
      </c>
      <c r="H158" s="166">
        <f>'time-factors'!K68</f>
        <v>292.59999999999997</v>
      </c>
      <c r="I158" s="96" t="s">
        <v>98</v>
      </c>
      <c r="J158" s="96">
        <f>'time-factors'!P$44</f>
        <v>10</v>
      </c>
      <c r="K158" s="170">
        <f>'time-factors'!J$44</f>
        <v>0.05</v>
      </c>
      <c r="L158" s="173">
        <f t="shared" si="57"/>
        <v>37.893038634892619</v>
      </c>
      <c r="M158" s="170">
        <v>0</v>
      </c>
      <c r="N158" s="96">
        <f t="shared" si="58"/>
        <v>0</v>
      </c>
      <c r="O158" s="167" cm="1">
        <f t="array" ref="O158">IFERROR(_xlfn.IFS(E158="Heavy", 'vehicle E calcs'!$H$33,E158="Cars/vans",'vehicle E calcs'!$H$32),"")</f>
        <v>7.1233383316924828</v>
      </c>
      <c r="P158" s="106">
        <v>300</v>
      </c>
      <c r="Q158" s="108">
        <f t="shared" si="59"/>
        <v>2.1370014995077451</v>
      </c>
      <c r="R158" s="107">
        <f t="shared" si="60"/>
        <v>40.030040134400366</v>
      </c>
      <c r="S158" s="107" cm="1">
        <f t="array" ref="S158">_xlfn.IFS(E158="Heavy", 'vehicle E calcs'!$T$21,E158="Cars/vans",'vehicle E calcs'!$S$21)*O158</f>
        <v>24.362584419881831</v>
      </c>
      <c r="T158" s="109">
        <v>0.27</v>
      </c>
      <c r="U158" s="23">
        <f t="shared" si="61"/>
        <v>6.5778977933680949</v>
      </c>
      <c r="V158" s="23">
        <f t="shared" si="62"/>
        <v>6.0855369590508186</v>
      </c>
      <c r="W158" s="106">
        <f t="shared" si="74"/>
        <v>168</v>
      </c>
      <c r="X158" s="23">
        <f t="shared" si="63"/>
        <v>4.0929141825401478</v>
      </c>
      <c r="Y158" s="96">
        <f t="shared" si="75"/>
        <v>0</v>
      </c>
      <c r="Z158" s="23">
        <f t="shared" si="65"/>
        <v>0</v>
      </c>
      <c r="AA158" s="107">
        <f t="shared" si="66"/>
        <v>35.937125951860217</v>
      </c>
      <c r="AB158" s="23">
        <f t="shared" si="67"/>
        <v>5.4633147368285959</v>
      </c>
      <c r="AD158" s="107">
        <f t="shared" si="68"/>
        <v>5.7606609018912964</v>
      </c>
      <c r="AE158" s="23">
        <f t="shared" si="69"/>
        <v>0</v>
      </c>
      <c r="AF158" s="108">
        <f t="shared" si="70"/>
        <v>0.32487605715952173</v>
      </c>
      <c r="AH158" s="104">
        <f t="shared" si="72"/>
        <v>1.3165618448637317E-3</v>
      </c>
      <c r="AJ158" s="104">
        <f t="shared" si="73"/>
        <v>9.9005450733752609E-2</v>
      </c>
      <c r="AK158" s="23">
        <f t="shared" si="71"/>
        <v>5.4633147368285959</v>
      </c>
    </row>
    <row r="159" spans="1:37" x14ac:dyDescent="0.35">
      <c r="A159" s="23">
        <v>2</v>
      </c>
      <c r="B159" s="118" t="s">
        <v>142</v>
      </c>
      <c r="C159" s="23" t="s">
        <v>139</v>
      </c>
      <c r="D159" s="23" t="s">
        <v>171</v>
      </c>
      <c r="E159" s="23" t="s">
        <v>128</v>
      </c>
      <c r="F159" s="23" t="s">
        <v>83</v>
      </c>
      <c r="G159" s="108">
        <f>'time-factors'!C$38*'time-factors'!B52</f>
        <v>1.9748427672955974E-3</v>
      </c>
      <c r="H159" s="166">
        <f>'time-factors'!K52</f>
        <v>289.351</v>
      </c>
      <c r="I159" s="96" t="s">
        <v>98</v>
      </c>
      <c r="J159" s="96">
        <f>'time-factors'!P$43</f>
        <v>10</v>
      </c>
      <c r="K159" s="170">
        <f>'time-factors'!J$43</f>
        <v>0.05</v>
      </c>
      <c r="L159" s="173">
        <f t="shared" si="57"/>
        <v>37.472278270829854</v>
      </c>
      <c r="M159" s="170">
        <v>0</v>
      </c>
      <c r="N159" s="96">
        <f t="shared" si="58"/>
        <v>0</v>
      </c>
      <c r="O159" s="167" cm="1">
        <f t="array" ref="O159">IFERROR(_xlfn.IFS(E159="Heavy", 'vehicle E calcs'!$H$33,E159="Cars/vans",'vehicle E calcs'!$H$32),"")</f>
        <v>6.3768270755398833</v>
      </c>
      <c r="P159" s="106">
        <v>200</v>
      </c>
      <c r="Q159" s="108">
        <f t="shared" si="59"/>
        <v>1.2753654151079765</v>
      </c>
      <c r="R159" s="107">
        <f t="shared" si="60"/>
        <v>38.747643685937831</v>
      </c>
      <c r="S159" s="107" cm="1">
        <f t="array" ref="S159">_xlfn.IFS(E159="Heavy", 'vehicle E calcs'!$T$21,E159="Cars/vans",'vehicle E calcs'!$S$21)*O159</f>
        <v>23.354986057632608</v>
      </c>
      <c r="T159" s="109">
        <v>0.27</v>
      </c>
      <c r="U159" s="23">
        <f t="shared" si="61"/>
        <v>6.3058462355608045</v>
      </c>
      <c r="V159" s="23">
        <f t="shared" si="62"/>
        <v>6.1447174952390586</v>
      </c>
      <c r="W159" s="106">
        <f t="shared" si="74"/>
        <v>168</v>
      </c>
      <c r="X159" s="23">
        <f t="shared" si="63"/>
        <v>3.9236376576822782</v>
      </c>
      <c r="Y159" s="96">
        <f t="shared" si="75"/>
        <v>0</v>
      </c>
      <c r="Z159" s="23">
        <f t="shared" si="65"/>
        <v>0</v>
      </c>
      <c r="AA159" s="107">
        <f t="shared" si="66"/>
        <v>34.824006028255553</v>
      </c>
      <c r="AB159" s="23">
        <f t="shared" si="67"/>
        <v>5.522495273016836</v>
      </c>
      <c r="AD159" s="107">
        <f t="shared" si="68"/>
        <v>5.9424662243603361</v>
      </c>
      <c r="AE159" s="23">
        <f t="shared" si="69"/>
        <v>0</v>
      </c>
      <c r="AF159" s="108">
        <f t="shared" si="70"/>
        <v>0.20225127087872183</v>
      </c>
      <c r="AH159" s="104">
        <f t="shared" si="72"/>
        <v>1.9748427672955974E-3</v>
      </c>
      <c r="AJ159" s="104">
        <f t="shared" si="73"/>
        <v>0.1009802935010482</v>
      </c>
      <c r="AK159" s="23">
        <f t="shared" si="71"/>
        <v>5.522495273016836</v>
      </c>
    </row>
    <row r="160" spans="1:37" x14ac:dyDescent="0.35">
      <c r="A160" s="23">
        <v>5</v>
      </c>
      <c r="B160" s="118" t="s">
        <v>145</v>
      </c>
      <c r="C160" s="23" t="s">
        <v>139</v>
      </c>
      <c r="D160" s="23" t="s">
        <v>171</v>
      </c>
      <c r="E160" s="23" t="s">
        <v>188</v>
      </c>
      <c r="F160" s="23" t="s">
        <v>83</v>
      </c>
      <c r="G160" s="108">
        <f>'time-factors'!C$38*'time-factors'!B55</f>
        <v>1.3823899371069182E-3</v>
      </c>
      <c r="H160" s="166">
        <f>'time-factors'!K55</f>
        <v>467.4</v>
      </c>
      <c r="I160" s="96" t="s">
        <v>98</v>
      </c>
      <c r="J160" s="96">
        <f>'time-factors'!P$43</f>
        <v>10</v>
      </c>
      <c r="K160" s="170">
        <f>'time-factors'!J$43</f>
        <v>0.05</v>
      </c>
      <c r="L160" s="173">
        <f t="shared" si="57"/>
        <v>60.530438338854438</v>
      </c>
      <c r="M160" s="170">
        <v>0</v>
      </c>
      <c r="N160" s="96">
        <f t="shared" si="58"/>
        <v>0</v>
      </c>
      <c r="O160" s="167" cm="1">
        <f t="array" ref="O160">IFERROR(_xlfn.IFS(E160="Heavy", 'vehicle E calcs'!$H$33,E160="Cars/vans",'vehicle E calcs'!$H$32),"")</f>
        <v>7.1233383316924828</v>
      </c>
      <c r="P160" s="106">
        <v>200</v>
      </c>
      <c r="Q160" s="108">
        <f t="shared" si="59"/>
        <v>1.4246676663384965</v>
      </c>
      <c r="R160" s="107">
        <f t="shared" si="60"/>
        <v>61.955106005192931</v>
      </c>
      <c r="S160" s="107" cm="1">
        <f t="array" ref="S160">_xlfn.IFS(E160="Heavy", 'vehicle E calcs'!$T$21,E160="Cars/vans",'vehicle E calcs'!$S$21)*O160</f>
        <v>24.362584419881831</v>
      </c>
      <c r="T160" s="109">
        <v>0.27</v>
      </c>
      <c r="U160" s="23">
        <f t="shared" si="61"/>
        <v>6.5778977933680949</v>
      </c>
      <c r="V160" s="23">
        <f t="shared" si="62"/>
        <v>9.4186787255430922</v>
      </c>
      <c r="W160" s="106">
        <f t="shared" si="74"/>
        <v>168</v>
      </c>
      <c r="X160" s="23">
        <f t="shared" si="63"/>
        <v>4.0929141825401478</v>
      </c>
      <c r="Y160" s="96">
        <f t="shared" si="75"/>
        <v>0</v>
      </c>
      <c r="Z160" s="23">
        <f t="shared" si="65"/>
        <v>0</v>
      </c>
      <c r="AA160" s="107">
        <f t="shared" si="66"/>
        <v>57.862191822652782</v>
      </c>
      <c r="AB160" s="23">
        <f t="shared" si="67"/>
        <v>8.7964565033208704</v>
      </c>
      <c r="AD160" s="107">
        <f t="shared" si="68"/>
        <v>9.2020946874367464</v>
      </c>
      <c r="AE160" s="23">
        <f t="shared" si="69"/>
        <v>0</v>
      </c>
      <c r="AF160" s="108">
        <f t="shared" si="70"/>
        <v>0.2165840381063478</v>
      </c>
      <c r="AH160" s="104">
        <f t="shared" si="72"/>
        <v>1.3823899371069182E-3</v>
      </c>
      <c r="AJ160" s="104">
        <f t="shared" si="73"/>
        <v>0.10236268343815512</v>
      </c>
      <c r="AK160" s="23">
        <f t="shared" si="71"/>
        <v>8.7964565033208704</v>
      </c>
    </row>
    <row r="161" spans="1:37" x14ac:dyDescent="0.35">
      <c r="A161" s="23">
        <v>8</v>
      </c>
      <c r="B161" s="119" t="s">
        <v>148</v>
      </c>
      <c r="C161" s="23" t="s">
        <v>139</v>
      </c>
      <c r="D161" s="23" t="s">
        <v>171</v>
      </c>
      <c r="E161" s="23" t="s">
        <v>188</v>
      </c>
      <c r="F161" s="23" t="s">
        <v>83</v>
      </c>
      <c r="G161" s="108">
        <f>'time-factors'!C$38*'time-factors'!B58</f>
        <v>9.8742138364779869E-4</v>
      </c>
      <c r="H161" s="166">
        <f>'time-factors'!K58</f>
        <v>467.4</v>
      </c>
      <c r="I161" s="96" t="s">
        <v>98</v>
      </c>
      <c r="J161" s="96">
        <f>'time-factors'!P$43</f>
        <v>10</v>
      </c>
      <c r="K161" s="170">
        <f>'time-factors'!J$43</f>
        <v>0.05</v>
      </c>
      <c r="L161" s="173">
        <f t="shared" si="57"/>
        <v>60.530438338854438</v>
      </c>
      <c r="M161" s="170">
        <v>0</v>
      </c>
      <c r="N161" s="96">
        <f t="shared" si="58"/>
        <v>0</v>
      </c>
      <c r="O161" s="167" cm="1">
        <f t="array" ref="O161">IFERROR(_xlfn.IFS(E161="Heavy", 'vehicle E calcs'!$H$33,E161="Cars/vans",'vehicle E calcs'!$H$32),"")</f>
        <v>7.1233383316924828</v>
      </c>
      <c r="P161" s="106">
        <v>200</v>
      </c>
      <c r="Q161" s="108">
        <f t="shared" si="59"/>
        <v>1.4246676663384965</v>
      </c>
      <c r="R161" s="107">
        <f t="shared" si="60"/>
        <v>61.955106005192931</v>
      </c>
      <c r="S161" s="107" cm="1">
        <f t="array" ref="S161">_xlfn.IFS(E161="Heavy", 'vehicle E calcs'!$T$21,E161="Cars/vans",'vehicle E calcs'!$S$21)*O161</f>
        <v>24.362584419881831</v>
      </c>
      <c r="T161" s="109">
        <v>0.27</v>
      </c>
      <c r="U161" s="23">
        <f t="shared" si="61"/>
        <v>6.5778977933680949</v>
      </c>
      <c r="V161" s="23">
        <f t="shared" si="62"/>
        <v>9.4186787255430922</v>
      </c>
      <c r="W161" s="106">
        <f t="shared" si="74"/>
        <v>168</v>
      </c>
      <c r="X161" s="23">
        <f t="shared" si="63"/>
        <v>4.0929141825401478</v>
      </c>
      <c r="Y161" s="96">
        <f t="shared" si="75"/>
        <v>0</v>
      </c>
      <c r="Z161" s="23">
        <f t="shared" si="65"/>
        <v>0</v>
      </c>
      <c r="AA161" s="107">
        <f t="shared" si="66"/>
        <v>57.862191822652782</v>
      </c>
      <c r="AB161" s="23">
        <f t="shared" si="67"/>
        <v>8.7964565033208704</v>
      </c>
      <c r="AD161" s="107">
        <f t="shared" si="68"/>
        <v>9.2020946874367464</v>
      </c>
      <c r="AE161" s="23">
        <f t="shared" si="69"/>
        <v>0</v>
      </c>
      <c r="AF161" s="108">
        <f t="shared" si="70"/>
        <v>0.2165840381063478</v>
      </c>
      <c r="AH161" s="104">
        <f t="shared" si="72"/>
        <v>9.8742138364779869E-4</v>
      </c>
      <c r="AJ161" s="104">
        <f t="shared" si="73"/>
        <v>0.10335010482180292</v>
      </c>
      <c r="AK161" s="23">
        <f t="shared" si="71"/>
        <v>8.7964565033208704</v>
      </c>
    </row>
    <row r="162" spans="1:37" x14ac:dyDescent="0.35">
      <c r="A162" s="23">
        <v>10</v>
      </c>
      <c r="B162" s="118" t="s">
        <v>58</v>
      </c>
      <c r="C162" s="23" t="s">
        <v>139</v>
      </c>
      <c r="D162" s="23" t="s">
        <v>171</v>
      </c>
      <c r="E162" s="23" t="s">
        <v>188</v>
      </c>
      <c r="F162" s="23" t="s">
        <v>83</v>
      </c>
      <c r="G162" s="108">
        <f>'time-factors'!C$38*'time-factors'!B60</f>
        <v>1.3165618448637317E-3</v>
      </c>
      <c r="H162" s="166">
        <f>'time-factors'!K60</f>
        <v>737.19999999999993</v>
      </c>
      <c r="I162" s="96" t="s">
        <v>98</v>
      </c>
      <c r="J162" s="96">
        <f>'time-factors'!P$43</f>
        <v>10</v>
      </c>
      <c r="K162" s="170">
        <f>'time-factors'!J$43</f>
        <v>0.05</v>
      </c>
      <c r="L162" s="173">
        <f t="shared" si="57"/>
        <v>95.47077266453465</v>
      </c>
      <c r="M162" s="170">
        <v>0</v>
      </c>
      <c r="N162" s="96">
        <f t="shared" si="58"/>
        <v>0</v>
      </c>
      <c r="O162" s="167" cm="1">
        <f t="array" ref="O162">IFERROR(_xlfn.IFS(E162="Heavy", 'vehicle E calcs'!$H$33,E162="Cars/vans",'vehicle E calcs'!$H$32),"")</f>
        <v>7.1233383316924828</v>
      </c>
      <c r="P162" s="106">
        <v>200</v>
      </c>
      <c r="Q162" s="108">
        <f t="shared" si="59"/>
        <v>1.4246676663384965</v>
      </c>
      <c r="R162" s="107">
        <f t="shared" si="60"/>
        <v>96.895440330873143</v>
      </c>
      <c r="S162" s="107" cm="1">
        <f t="array" ref="S162">_xlfn.IFS(E162="Heavy", 'vehicle E calcs'!$T$21,E162="Cars/vans",'vehicle E calcs'!$S$21)*O162</f>
        <v>24.362584419881831</v>
      </c>
      <c r="T162" s="109">
        <v>0.27</v>
      </c>
      <c r="U162" s="23">
        <f t="shared" si="61"/>
        <v>6.5778977933680949</v>
      </c>
      <c r="V162" s="23">
        <f t="shared" si="62"/>
        <v>14.730456959754548</v>
      </c>
      <c r="W162" s="106">
        <f t="shared" si="74"/>
        <v>168</v>
      </c>
      <c r="X162" s="23">
        <f t="shared" si="63"/>
        <v>4.0929141825401478</v>
      </c>
      <c r="Y162" s="96">
        <f t="shared" si="75"/>
        <v>0</v>
      </c>
      <c r="Z162" s="23">
        <f t="shared" si="65"/>
        <v>0</v>
      </c>
      <c r="AA162" s="107">
        <f t="shared" si="66"/>
        <v>92.802526148333001</v>
      </c>
      <c r="AB162" s="23">
        <f t="shared" si="67"/>
        <v>14.108234737532328</v>
      </c>
      <c r="AD162" s="107">
        <f t="shared" si="68"/>
        <v>14.513872921648202</v>
      </c>
      <c r="AE162" s="23">
        <f t="shared" si="69"/>
        <v>0</v>
      </c>
      <c r="AF162" s="108">
        <f t="shared" si="70"/>
        <v>0.2165840381063478</v>
      </c>
      <c r="AH162" s="104">
        <f t="shared" si="72"/>
        <v>1.3165618448637317E-3</v>
      </c>
      <c r="AJ162" s="104">
        <f t="shared" si="73"/>
        <v>0.10466666666666664</v>
      </c>
      <c r="AK162" s="23">
        <f t="shared" si="71"/>
        <v>14.108234737532328</v>
      </c>
    </row>
    <row r="163" spans="1:37" x14ac:dyDescent="0.35">
      <c r="A163" s="23">
        <v>14</v>
      </c>
      <c r="B163" s="118" t="s">
        <v>152</v>
      </c>
      <c r="C163" s="23" t="s">
        <v>139</v>
      </c>
      <c r="D163" s="23" t="s">
        <v>171</v>
      </c>
      <c r="E163" s="23" t="s">
        <v>188</v>
      </c>
      <c r="F163" s="23" t="s">
        <v>83</v>
      </c>
      <c r="G163" s="108">
        <f>'time-factors'!C$38*'time-factors'!B64</f>
        <v>8.5576519916142561E-4</v>
      </c>
      <c r="H163" s="166">
        <f>'time-factors'!K64</f>
        <v>737.19999999999993</v>
      </c>
      <c r="I163" s="96" t="s">
        <v>98</v>
      </c>
      <c r="J163" s="96">
        <f>'time-factors'!P$43</f>
        <v>10</v>
      </c>
      <c r="K163" s="170">
        <f>'time-factors'!J$43</f>
        <v>0.05</v>
      </c>
      <c r="L163" s="173">
        <f t="shared" si="57"/>
        <v>95.47077266453465</v>
      </c>
      <c r="M163" s="170">
        <v>0</v>
      </c>
      <c r="N163" s="96">
        <f t="shared" si="58"/>
        <v>0</v>
      </c>
      <c r="O163" s="167" cm="1">
        <f t="array" ref="O163">IFERROR(_xlfn.IFS(E163="Heavy", 'vehicle E calcs'!$H$33,E163="Cars/vans",'vehicle E calcs'!$H$32),"")</f>
        <v>7.1233383316924828</v>
      </c>
      <c r="P163" s="106">
        <v>200</v>
      </c>
      <c r="Q163" s="108">
        <f t="shared" si="59"/>
        <v>1.4246676663384965</v>
      </c>
      <c r="R163" s="107">
        <f t="shared" si="60"/>
        <v>96.895440330873143</v>
      </c>
      <c r="S163" s="107" cm="1">
        <f t="array" ref="S163">_xlfn.IFS(E163="Heavy", 'vehicle E calcs'!$T$21,E163="Cars/vans",'vehicle E calcs'!$S$21)*O163</f>
        <v>24.362584419881831</v>
      </c>
      <c r="T163" s="109">
        <v>0.27</v>
      </c>
      <c r="U163" s="23">
        <f t="shared" si="61"/>
        <v>6.5778977933680949</v>
      </c>
      <c r="V163" s="23">
        <f t="shared" si="62"/>
        <v>14.730456959754548</v>
      </c>
      <c r="W163" s="106">
        <f t="shared" si="74"/>
        <v>168</v>
      </c>
      <c r="X163" s="23">
        <f t="shared" si="63"/>
        <v>4.0929141825401478</v>
      </c>
      <c r="Y163" s="96">
        <f t="shared" si="75"/>
        <v>0</v>
      </c>
      <c r="Z163" s="23">
        <f t="shared" si="65"/>
        <v>0</v>
      </c>
      <c r="AA163" s="107">
        <f t="shared" si="66"/>
        <v>92.802526148333001</v>
      </c>
      <c r="AB163" s="23">
        <f t="shared" si="67"/>
        <v>14.108234737532328</v>
      </c>
      <c r="AD163" s="107">
        <f t="shared" si="68"/>
        <v>14.513872921648202</v>
      </c>
      <c r="AE163" s="23">
        <f t="shared" si="69"/>
        <v>0</v>
      </c>
      <c r="AF163" s="108">
        <f t="shared" si="70"/>
        <v>0.2165840381063478</v>
      </c>
      <c r="AH163" s="104">
        <f t="shared" si="72"/>
        <v>8.5576519916142561E-4</v>
      </c>
      <c r="AJ163" s="104">
        <f t="shared" si="73"/>
        <v>0.10552243186582808</v>
      </c>
      <c r="AK163" s="23">
        <f t="shared" si="71"/>
        <v>14.108234737532328</v>
      </c>
    </row>
    <row r="164" spans="1:37" x14ac:dyDescent="0.35">
      <c r="B164" s="122"/>
      <c r="C164" s="24"/>
      <c r="D164" s="24"/>
      <c r="E164" s="24"/>
      <c r="F164" s="131" t="s">
        <v>50</v>
      </c>
      <c r="G164" s="145">
        <f>SUM(G139:G163)</f>
        <v>0.10552243186582808</v>
      </c>
    </row>
    <row r="165" spans="1:37" x14ac:dyDescent="0.35">
      <c r="B165" s="122"/>
      <c r="C165" s="24"/>
      <c r="D165" s="24"/>
      <c r="E165" s="24"/>
      <c r="F165" s="24"/>
    </row>
    <row r="166" spans="1:37" x14ac:dyDescent="0.35">
      <c r="B166" s="123"/>
      <c r="C166" s="125"/>
      <c r="F166" s="24"/>
    </row>
    <row r="167" spans="1:37" x14ac:dyDescent="0.35">
      <c r="B167" s="123"/>
      <c r="C167" s="125"/>
    </row>
    <row r="168" spans="1:37" x14ac:dyDescent="0.35">
      <c r="B168" s="96"/>
      <c r="C168" s="96"/>
    </row>
    <row r="169" spans="1:37" x14ac:dyDescent="0.35">
      <c r="B169" s="96"/>
      <c r="C169" s="96"/>
    </row>
  </sheetData>
  <autoFilter ref="A3:AF28" xr:uid="{EF7FAF10-68DD-4B9D-ADDF-1B0A74F371F5}">
    <sortState xmlns:xlrd2="http://schemas.microsoft.com/office/spreadsheetml/2017/richdata2" ref="A4:AF29">
      <sortCondition ref="A3:A28"/>
    </sortState>
  </autoFilter>
  <sortState xmlns:xlrd2="http://schemas.microsoft.com/office/spreadsheetml/2017/richdata2" ref="A139:AF163">
    <sortCondition ref="AB139:AB163"/>
  </sortState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3668EC-0A3B-41E9-89C3-1FD31F6EBCE3}">
          <x14:formula1>
            <xm:f>'vehicle E calcs'!$B$32:$B$33</xm:f>
          </x14:formula1>
          <xm:sqref>E4:E21 E49:E66 E94:E111 E139:E156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D02B5-4B5C-4CFB-80A9-F0A9C5E08038}">
  <sheetPr codeName="Sheet8">
    <tabColor rgb="FF92D050"/>
  </sheetPr>
  <dimension ref="A1:AU169"/>
  <sheetViews>
    <sheetView workbookViewId="0">
      <selection activeCell="G139" sqref="G139:O163"/>
    </sheetView>
  </sheetViews>
  <sheetFormatPr defaultColWidth="8.7265625" defaultRowHeight="14.5" x14ac:dyDescent="0.35"/>
  <cols>
    <col min="1" max="1" width="3.81640625" style="23" customWidth="1"/>
    <col min="2" max="2" width="27.453125" style="23" customWidth="1"/>
    <col min="3" max="3" width="18" style="23" customWidth="1"/>
    <col min="4" max="5" width="10.1796875" style="23" customWidth="1"/>
    <col min="6" max="6" width="9.54296875" style="23" customWidth="1"/>
    <col min="7" max="7" width="10.26953125" style="23" customWidth="1"/>
    <col min="8" max="8" width="10.1796875" style="23" customWidth="1"/>
    <col min="9" max="17" width="8.7265625" style="23"/>
    <col min="18" max="18" width="9.81640625" style="23" customWidth="1"/>
    <col min="19" max="28" width="8.7265625" style="23"/>
    <col min="29" max="29" width="4.54296875" style="23" customWidth="1"/>
    <col min="30" max="34" width="8.7265625" style="23"/>
    <col min="35" max="35" width="3.54296875" style="23" customWidth="1"/>
    <col min="36" max="37" width="8.7265625" style="23"/>
    <col min="38" max="38" width="1.81640625" style="135" customWidth="1"/>
    <col min="39" max="39" width="3.26953125" style="96" customWidth="1"/>
    <col min="40" max="16384" width="8.7265625" style="23"/>
  </cols>
  <sheetData>
    <row r="1" spans="1:47" ht="21" x14ac:dyDescent="0.5">
      <c r="B1" s="133" t="s">
        <v>253</v>
      </c>
      <c r="C1" s="136">
        <v>2030</v>
      </c>
      <c r="W1" s="23" t="s">
        <v>202</v>
      </c>
      <c r="AB1" s="95"/>
    </row>
    <row r="2" spans="1:47" x14ac:dyDescent="0.35">
      <c r="H2" s="96"/>
      <c r="T2" s="99" t="s">
        <v>138</v>
      </c>
      <c r="W2" s="99">
        <v>1.6</v>
      </c>
      <c r="X2" s="23" t="s">
        <v>174</v>
      </c>
      <c r="Z2" s="100">
        <v>0</v>
      </c>
      <c r="AA2" s="23" t="s">
        <v>175</v>
      </c>
      <c r="AC2" s="101">
        <v>0</v>
      </c>
    </row>
    <row r="3" spans="1:47" ht="72.5" x14ac:dyDescent="0.35">
      <c r="A3" s="102" t="s">
        <v>244</v>
      </c>
      <c r="B3" s="102" t="s">
        <v>173</v>
      </c>
      <c r="C3" s="103" t="s">
        <v>95</v>
      </c>
      <c r="D3" s="103" t="s">
        <v>172</v>
      </c>
      <c r="E3" s="103" t="s">
        <v>231</v>
      </c>
      <c r="F3" s="103" t="s">
        <v>96</v>
      </c>
      <c r="G3" s="103" t="s">
        <v>205</v>
      </c>
      <c r="H3" s="103" t="s">
        <v>99</v>
      </c>
      <c r="I3" s="103" t="s">
        <v>97</v>
      </c>
      <c r="J3" s="103" t="s">
        <v>100</v>
      </c>
      <c r="K3" s="103" t="s">
        <v>101</v>
      </c>
      <c r="L3" s="103" t="s">
        <v>102</v>
      </c>
      <c r="M3" s="103" t="s">
        <v>129</v>
      </c>
      <c r="N3" s="103" t="s">
        <v>130</v>
      </c>
      <c r="O3" s="103" t="s">
        <v>132</v>
      </c>
      <c r="P3" s="103" t="s">
        <v>133</v>
      </c>
      <c r="Q3" s="103" t="s">
        <v>131</v>
      </c>
      <c r="R3" s="117" t="s">
        <v>136</v>
      </c>
      <c r="S3" s="103" t="s">
        <v>135</v>
      </c>
      <c r="T3" s="103" t="s">
        <v>134</v>
      </c>
      <c r="U3" s="103" t="s">
        <v>103</v>
      </c>
      <c r="V3" s="117" t="s">
        <v>108</v>
      </c>
      <c r="W3" s="103" t="s">
        <v>199</v>
      </c>
      <c r="X3" s="103" t="s">
        <v>104</v>
      </c>
      <c r="Y3" s="103" t="s">
        <v>105</v>
      </c>
      <c r="Z3" s="103" t="s">
        <v>106</v>
      </c>
      <c r="AA3" s="103" t="s">
        <v>137</v>
      </c>
      <c r="AB3" s="117" t="s">
        <v>107</v>
      </c>
      <c r="AD3" s="103" t="s">
        <v>167</v>
      </c>
      <c r="AE3" s="103" t="s">
        <v>168</v>
      </c>
      <c r="AF3" s="103" t="s">
        <v>169</v>
      </c>
      <c r="AJ3" s="103" t="s">
        <v>177</v>
      </c>
      <c r="AK3" s="103" t="s">
        <v>176</v>
      </c>
      <c r="AO3" s="23" t="s">
        <v>281</v>
      </c>
      <c r="AQ3" s="23" t="s">
        <v>282</v>
      </c>
      <c r="AS3" s="23" t="s">
        <v>283</v>
      </c>
      <c r="AU3" s="23" t="s">
        <v>278</v>
      </c>
    </row>
    <row r="4" spans="1:47" ht="14.5" customHeight="1" x14ac:dyDescent="0.35">
      <c r="A4" s="23">
        <v>20</v>
      </c>
      <c r="B4" s="120" t="s">
        <v>162</v>
      </c>
      <c r="C4" s="111" t="s">
        <v>157</v>
      </c>
      <c r="D4" s="111" t="s">
        <v>170</v>
      </c>
      <c r="E4" s="111"/>
      <c r="F4" s="111" t="s">
        <v>158</v>
      </c>
      <c r="G4" s="141">
        <f>'time-factors'!D$35*'time-factors'!B70</f>
        <v>8.5274380990488581</v>
      </c>
      <c r="H4" s="113">
        <f>'time-factors'!L70</f>
        <v>0.1275</v>
      </c>
      <c r="I4" s="111" t="s">
        <v>166</v>
      </c>
      <c r="J4" s="96">
        <f>'time-factors'!Q$46</f>
        <v>20</v>
      </c>
      <c r="K4" s="170">
        <f>'time-factors'!K$46</f>
        <v>0.05</v>
      </c>
      <c r="L4" s="114">
        <f t="shared" ref="L4:L28" si="0">PMT(K4,J4,-H4)</f>
        <v>1.0230929866813142E-2</v>
      </c>
      <c r="M4" s="47">
        <v>0.02</v>
      </c>
      <c r="N4" s="111">
        <f t="shared" ref="N4:N28" si="1">M4*H4</f>
        <v>2.5500000000000002E-3</v>
      </c>
      <c r="O4" s="111">
        <v>1.5</v>
      </c>
      <c r="P4" s="111">
        <v>200</v>
      </c>
      <c r="Q4" s="115">
        <f t="shared" ref="Q4:Q28" si="2">P4*O4*0.001</f>
        <v>0.3</v>
      </c>
      <c r="R4" s="114">
        <f t="shared" ref="R4:R28" si="3">L4+N4+Q4</f>
        <v>0.31278092986681311</v>
      </c>
      <c r="S4" s="114">
        <f>2*O4</f>
        <v>3</v>
      </c>
      <c r="T4" s="114">
        <v>0.1</v>
      </c>
      <c r="U4" s="111">
        <f t="shared" ref="U4:U28" si="4">T4*S4</f>
        <v>0.30000000000000004</v>
      </c>
      <c r="V4" s="111">
        <f t="shared" ref="V4:V28" si="5">R4/U4</f>
        <v>1.0426030995560436</v>
      </c>
      <c r="W4" s="111">
        <v>200</v>
      </c>
      <c r="X4" s="111">
        <f t="shared" ref="X4:X28" si="6">W4*S4*0.001</f>
        <v>0.6</v>
      </c>
      <c r="Y4" s="111">
        <f t="shared" ref="Y4:Y10" si="7">$AC$2</f>
        <v>0</v>
      </c>
      <c r="Z4" s="111">
        <f t="shared" ref="Z4:Z28" si="8">Y4*U4</f>
        <v>0</v>
      </c>
      <c r="AA4" s="114">
        <f t="shared" ref="AA4:AA28" si="9">R4-X4-Z4</f>
        <v>-0.28721907013318687</v>
      </c>
      <c r="AB4" s="111">
        <f t="shared" ref="AB4:AB28" si="10">AA4/U4</f>
        <v>-0.95739690044395609</v>
      </c>
      <c r="AC4" s="111"/>
      <c r="AD4" s="107">
        <f t="shared" ref="AD4:AD28" si="11">L4/U4</f>
        <v>3.4103099556043799E-2</v>
      </c>
      <c r="AE4" s="23">
        <f t="shared" ref="AE4:AE28" si="12">N4/U4</f>
        <v>8.4999999999999989E-3</v>
      </c>
      <c r="AF4" s="108">
        <f t="shared" ref="AF4:AF28" si="13">Q4/U4</f>
        <v>0.99999999999999978</v>
      </c>
      <c r="AH4" s="104">
        <f>G4</f>
        <v>8.5274380990488581</v>
      </c>
      <c r="AJ4" s="104">
        <f>AH4</f>
        <v>8.5274380990488581</v>
      </c>
      <c r="AK4" s="23">
        <f t="shared" ref="AK4:AK28" si="14">AB4</f>
        <v>-0.95739690044395609</v>
      </c>
      <c r="AO4" s="23">
        <v>8.5274380990488581</v>
      </c>
      <c r="AP4" s="23">
        <v>-0.95055452776607097</v>
      </c>
    </row>
    <row r="5" spans="1:47" ht="14.5" customHeight="1" x14ac:dyDescent="0.35">
      <c r="A5" s="23">
        <v>21</v>
      </c>
      <c r="B5" s="120" t="s">
        <v>160</v>
      </c>
      <c r="C5" s="48" t="s">
        <v>163</v>
      </c>
      <c r="D5" s="111" t="s">
        <v>170</v>
      </c>
      <c r="E5" s="111"/>
      <c r="F5" s="48" t="s">
        <v>158</v>
      </c>
      <c r="G5" s="141">
        <f>'time-factors'!D$35*'time-factors'!B71</f>
        <v>15.633636514922907</v>
      </c>
      <c r="H5" s="113">
        <f>'time-factors'!L71</f>
        <v>0.21249999999999999</v>
      </c>
      <c r="I5" s="111" t="s">
        <v>166</v>
      </c>
      <c r="J5" s="96">
        <f>'time-factors'!Q$46</f>
        <v>20</v>
      </c>
      <c r="K5" s="170">
        <f>'time-factors'!K$46</f>
        <v>0.05</v>
      </c>
      <c r="L5" s="114">
        <f t="shared" si="0"/>
        <v>1.7051549778021906E-2</v>
      </c>
      <c r="M5" s="47">
        <v>0.02</v>
      </c>
      <c r="N5" s="111">
        <f t="shared" si="1"/>
        <v>4.2500000000000003E-3</v>
      </c>
      <c r="O5" s="111">
        <v>4.4000000000000004</v>
      </c>
      <c r="P5" s="111">
        <v>200</v>
      </c>
      <c r="Q5" s="115">
        <f t="shared" si="2"/>
        <v>0.88000000000000012</v>
      </c>
      <c r="R5" s="114">
        <f t="shared" si="3"/>
        <v>0.90130154977802202</v>
      </c>
      <c r="S5" s="114">
        <f>1.2*O5</f>
        <v>5.28</v>
      </c>
      <c r="T5" s="114">
        <v>0.1</v>
      </c>
      <c r="U5" s="111">
        <f t="shared" si="4"/>
        <v>0.52800000000000002</v>
      </c>
      <c r="V5" s="111">
        <f t="shared" si="5"/>
        <v>1.7070105109432234</v>
      </c>
      <c r="W5" s="111">
        <v>200</v>
      </c>
      <c r="X5" s="111">
        <f t="shared" si="6"/>
        <v>1.056</v>
      </c>
      <c r="Y5" s="111">
        <f t="shared" si="7"/>
        <v>0</v>
      </c>
      <c r="Z5" s="111">
        <f t="shared" si="8"/>
        <v>0</v>
      </c>
      <c r="AA5" s="114">
        <f t="shared" si="9"/>
        <v>-0.15469845022197803</v>
      </c>
      <c r="AB5" s="111">
        <f t="shared" si="10"/>
        <v>-0.29298948905677658</v>
      </c>
      <c r="AC5" s="111"/>
      <c r="AD5" s="107">
        <f t="shared" si="11"/>
        <v>3.2294601852314218E-2</v>
      </c>
      <c r="AE5" s="23">
        <f t="shared" si="12"/>
        <v>8.049242424242424E-3</v>
      </c>
      <c r="AF5" s="108">
        <f t="shared" si="13"/>
        <v>1.6666666666666667</v>
      </c>
      <c r="AH5" s="104">
        <f t="shared" ref="AH5:AH28" si="15">G5</f>
        <v>15.633636514922907</v>
      </c>
      <c r="AJ5" s="104">
        <f>AJ4+AH5</f>
        <v>24.161074613971763</v>
      </c>
      <c r="AK5" s="23">
        <f t="shared" si="14"/>
        <v>-0.29298948905677658</v>
      </c>
      <c r="AO5" s="23">
        <v>24.161074613971763</v>
      </c>
      <c r="AP5" s="23">
        <v>-0.28650996947544605</v>
      </c>
    </row>
    <row r="6" spans="1:47" ht="14.5" customHeight="1" x14ac:dyDescent="0.35">
      <c r="A6" s="23">
        <v>22</v>
      </c>
      <c r="B6" s="120" t="s">
        <v>161</v>
      </c>
      <c r="C6" s="48" t="s">
        <v>163</v>
      </c>
      <c r="D6" s="111" t="s">
        <v>170</v>
      </c>
      <c r="E6" s="111"/>
      <c r="F6" s="48" t="s">
        <v>158</v>
      </c>
      <c r="G6" s="141">
        <f>'time-factors'!D$35*'time-factors'!B72</f>
        <v>8.5274380990488581</v>
      </c>
      <c r="H6" s="113">
        <f>'time-factors'!L72</f>
        <v>0.42499999999999999</v>
      </c>
      <c r="I6" s="111" t="s">
        <v>166</v>
      </c>
      <c r="J6" s="96">
        <f>'time-factors'!Q$46</f>
        <v>20</v>
      </c>
      <c r="K6" s="170">
        <f>'time-factors'!K$46</f>
        <v>0.05</v>
      </c>
      <c r="L6" s="114">
        <f t="shared" si="0"/>
        <v>3.4103099556043813E-2</v>
      </c>
      <c r="M6" s="47">
        <v>0.02</v>
      </c>
      <c r="N6" s="111">
        <f t="shared" si="1"/>
        <v>8.5000000000000006E-3</v>
      </c>
      <c r="O6" s="111">
        <v>4.4000000000000004</v>
      </c>
      <c r="P6" s="111">
        <v>200</v>
      </c>
      <c r="Q6" s="115">
        <f t="shared" si="2"/>
        <v>0.88000000000000012</v>
      </c>
      <c r="R6" s="114">
        <f t="shared" si="3"/>
        <v>0.92260309955604392</v>
      </c>
      <c r="S6" s="114">
        <f>1.2*O6</f>
        <v>5.28</v>
      </c>
      <c r="T6" s="114">
        <v>0.1</v>
      </c>
      <c r="U6" s="111">
        <f t="shared" si="4"/>
        <v>0.52800000000000002</v>
      </c>
      <c r="V6" s="111">
        <f t="shared" si="5"/>
        <v>1.7473543552197801</v>
      </c>
      <c r="W6" s="111">
        <v>200</v>
      </c>
      <c r="X6" s="111">
        <f t="shared" si="6"/>
        <v>1.056</v>
      </c>
      <c r="Y6" s="111">
        <f t="shared" si="7"/>
        <v>0</v>
      </c>
      <c r="Z6" s="111">
        <f t="shared" si="8"/>
        <v>0</v>
      </c>
      <c r="AA6" s="114">
        <f t="shared" si="9"/>
        <v>-0.13339690044395613</v>
      </c>
      <c r="AB6" s="111">
        <f t="shared" si="10"/>
        <v>-0.25264564478021995</v>
      </c>
      <c r="AC6" s="111"/>
      <c r="AD6" s="107">
        <f t="shared" si="11"/>
        <v>6.4589203704628437E-2</v>
      </c>
      <c r="AE6" s="23">
        <f t="shared" si="12"/>
        <v>1.6098484848484848E-2</v>
      </c>
      <c r="AF6" s="108">
        <f t="shared" si="13"/>
        <v>1.6666666666666667</v>
      </c>
      <c r="AH6" s="104">
        <f t="shared" si="15"/>
        <v>8.5274380990488581</v>
      </c>
      <c r="AJ6" s="104">
        <f t="shared" ref="AJ6:AJ28" si="16">AJ5+AH6</f>
        <v>32.688512713020621</v>
      </c>
      <c r="AK6" s="23">
        <f t="shared" si="14"/>
        <v>-0.25264564478021995</v>
      </c>
      <c r="AO6" s="23">
        <v>32.688512713020621</v>
      </c>
      <c r="AP6" s="23">
        <v>-0.2129934765903046</v>
      </c>
    </row>
    <row r="7" spans="1:47" ht="14.5" customHeight="1" x14ac:dyDescent="0.35">
      <c r="A7" s="23">
        <v>24</v>
      </c>
      <c r="B7" s="120" t="s">
        <v>165</v>
      </c>
      <c r="C7" s="120" t="s">
        <v>165</v>
      </c>
      <c r="D7" s="111" t="s">
        <v>170</v>
      </c>
      <c r="E7" s="111"/>
      <c r="F7" s="48" t="s">
        <v>158</v>
      </c>
      <c r="G7" s="141">
        <f>'time-factors'!D$35*'time-factors'!B74</f>
        <v>5.684958732699239</v>
      </c>
      <c r="H7" s="113">
        <f>'time-factors'!L74</f>
        <v>0.42499999999999999</v>
      </c>
      <c r="I7" s="111" t="s">
        <v>166</v>
      </c>
      <c r="J7" s="96">
        <f>'time-factors'!Q$46</f>
        <v>20</v>
      </c>
      <c r="K7" s="170">
        <f>'time-factors'!K$46</f>
        <v>0.05</v>
      </c>
      <c r="L7" s="114">
        <f t="shared" si="0"/>
        <v>3.4103099556043813E-2</v>
      </c>
      <c r="M7" s="47">
        <v>0.02</v>
      </c>
      <c r="N7" s="111">
        <f t="shared" si="1"/>
        <v>8.5000000000000006E-3</v>
      </c>
      <c r="O7" s="111">
        <v>4.4000000000000004</v>
      </c>
      <c r="P7" s="111">
        <v>200</v>
      </c>
      <c r="Q7" s="115">
        <f t="shared" si="2"/>
        <v>0.88000000000000012</v>
      </c>
      <c r="R7" s="114">
        <f t="shared" si="3"/>
        <v>0.92260309955604392</v>
      </c>
      <c r="S7" s="114">
        <f>1.2*O7</f>
        <v>5.28</v>
      </c>
      <c r="T7" s="114">
        <v>0.1</v>
      </c>
      <c r="U7" s="111">
        <f t="shared" si="4"/>
        <v>0.52800000000000002</v>
      </c>
      <c r="V7" s="111">
        <f t="shared" si="5"/>
        <v>1.7473543552197801</v>
      </c>
      <c r="W7" s="111">
        <v>200</v>
      </c>
      <c r="X7" s="111">
        <f t="shared" si="6"/>
        <v>1.056</v>
      </c>
      <c r="Y7" s="111">
        <f t="shared" si="7"/>
        <v>0</v>
      </c>
      <c r="Z7" s="111">
        <f t="shared" si="8"/>
        <v>0</v>
      </c>
      <c r="AA7" s="114">
        <f t="shared" si="9"/>
        <v>-0.13339690044395613</v>
      </c>
      <c r="AB7" s="111">
        <f t="shared" si="10"/>
        <v>-0.25264564478021995</v>
      </c>
      <c r="AC7" s="111"/>
      <c r="AD7" s="107">
        <f t="shared" si="11"/>
        <v>6.4589203704628437E-2</v>
      </c>
      <c r="AE7" s="23">
        <f t="shared" si="12"/>
        <v>1.6098484848484848E-2</v>
      </c>
      <c r="AF7" s="108">
        <f t="shared" si="13"/>
        <v>1.6666666666666667</v>
      </c>
      <c r="AH7" s="104">
        <f t="shared" si="15"/>
        <v>5.684958732699239</v>
      </c>
      <c r="AJ7" s="104">
        <f t="shared" si="16"/>
        <v>38.373471445719858</v>
      </c>
      <c r="AK7" s="23">
        <f t="shared" si="14"/>
        <v>-0.25264564478021995</v>
      </c>
      <c r="AO7" s="23">
        <v>38.373471445719858</v>
      </c>
      <c r="AP7" s="23">
        <v>-0.2129934765903046</v>
      </c>
    </row>
    <row r="8" spans="1:47" ht="14.5" customHeight="1" x14ac:dyDescent="0.35">
      <c r="A8" s="23">
        <v>23</v>
      </c>
      <c r="B8" s="120" t="s">
        <v>164</v>
      </c>
      <c r="C8" s="48" t="s">
        <v>163</v>
      </c>
      <c r="D8" s="111" t="s">
        <v>170</v>
      </c>
      <c r="E8" s="111"/>
      <c r="F8" s="48" t="s">
        <v>158</v>
      </c>
      <c r="G8" s="141">
        <f>'time-factors'!D$35*'time-factors'!B73</f>
        <v>14.212396831748098</v>
      </c>
      <c r="H8" s="113">
        <f>'time-factors'!L73</f>
        <v>0.85</v>
      </c>
      <c r="I8" s="111" t="s">
        <v>166</v>
      </c>
      <c r="J8" s="96">
        <f>'time-factors'!Q$46</f>
        <v>20</v>
      </c>
      <c r="K8" s="170">
        <f>'time-factors'!K$46</f>
        <v>0.05</v>
      </c>
      <c r="L8" s="114">
        <f t="shared" si="0"/>
        <v>6.8206199112087626E-2</v>
      </c>
      <c r="M8" s="47">
        <v>0.02</v>
      </c>
      <c r="N8" s="111">
        <f t="shared" si="1"/>
        <v>1.7000000000000001E-2</v>
      </c>
      <c r="O8" s="111">
        <v>4.4000000000000004</v>
      </c>
      <c r="P8" s="111">
        <v>200</v>
      </c>
      <c r="Q8" s="115">
        <f t="shared" si="2"/>
        <v>0.88000000000000012</v>
      </c>
      <c r="R8" s="114">
        <f t="shared" si="3"/>
        <v>0.96520619911208771</v>
      </c>
      <c r="S8" s="114">
        <f>1.2*O8</f>
        <v>5.28</v>
      </c>
      <c r="T8" s="114">
        <v>0.1</v>
      </c>
      <c r="U8" s="111">
        <f t="shared" si="4"/>
        <v>0.52800000000000002</v>
      </c>
      <c r="V8" s="111">
        <f t="shared" si="5"/>
        <v>1.8280420437728933</v>
      </c>
      <c r="W8" s="111">
        <v>200</v>
      </c>
      <c r="X8" s="111">
        <f t="shared" si="6"/>
        <v>1.056</v>
      </c>
      <c r="Y8" s="111">
        <f t="shared" si="7"/>
        <v>0</v>
      </c>
      <c r="Z8" s="111">
        <f t="shared" si="8"/>
        <v>0</v>
      </c>
      <c r="AA8" s="114">
        <f t="shared" si="9"/>
        <v>-9.0793800887912335E-2</v>
      </c>
      <c r="AB8" s="111">
        <f t="shared" si="10"/>
        <v>-0.17195795622710669</v>
      </c>
      <c r="AC8" s="111"/>
      <c r="AD8" s="107">
        <f t="shared" si="11"/>
        <v>0.12917840740925687</v>
      </c>
      <c r="AE8" s="23">
        <f t="shared" si="12"/>
        <v>3.2196969696969696E-2</v>
      </c>
      <c r="AF8" s="108">
        <f t="shared" si="13"/>
        <v>1.6666666666666667</v>
      </c>
      <c r="AH8" s="104">
        <f t="shared" si="15"/>
        <v>14.212396831748098</v>
      </c>
      <c r="AJ8" s="104">
        <f t="shared" si="16"/>
        <v>52.585868277467952</v>
      </c>
      <c r="AK8" s="23">
        <f t="shared" si="14"/>
        <v>-0.17195795622710669</v>
      </c>
      <c r="AO8" s="23">
        <v>56.138967485404976</v>
      </c>
      <c r="AP8" s="23">
        <v>-0.15591351986497953</v>
      </c>
    </row>
    <row r="9" spans="1:47" ht="14.5" customHeight="1" x14ac:dyDescent="0.35">
      <c r="A9" s="23">
        <v>19</v>
      </c>
      <c r="B9" s="120" t="s">
        <v>140</v>
      </c>
      <c r="C9" s="111" t="s">
        <v>157</v>
      </c>
      <c r="D9" s="111" t="s">
        <v>170</v>
      </c>
      <c r="E9" s="111"/>
      <c r="F9" s="111" t="s">
        <v>159</v>
      </c>
      <c r="G9" s="141">
        <f>'time-factors'!D$35*'time-factors'!B69</f>
        <v>17.765496039685122</v>
      </c>
      <c r="H9" s="113">
        <f>'time-factors'!L69</f>
        <v>1.7</v>
      </c>
      <c r="I9" s="111" t="s">
        <v>166</v>
      </c>
      <c r="J9" s="96">
        <f>'time-factors'!Q$45</f>
        <v>15</v>
      </c>
      <c r="K9" s="170">
        <f>'time-factors'!K$45</f>
        <v>0.05</v>
      </c>
      <c r="L9" s="114">
        <f t="shared" si="0"/>
        <v>0.16378188893571544</v>
      </c>
      <c r="M9" s="47">
        <v>0</v>
      </c>
      <c r="N9" s="111">
        <f t="shared" si="1"/>
        <v>0</v>
      </c>
      <c r="O9" s="111">
        <v>2.63</v>
      </c>
      <c r="P9" s="111">
        <v>200</v>
      </c>
      <c r="Q9" s="115">
        <f t="shared" si="2"/>
        <v>0.52600000000000002</v>
      </c>
      <c r="R9" s="114">
        <f t="shared" si="3"/>
        <v>0.68978188893571546</v>
      </c>
      <c r="S9" s="114">
        <f>3.5*O9</f>
        <v>9.2050000000000001</v>
      </c>
      <c r="T9" s="114">
        <v>0.18</v>
      </c>
      <c r="U9" s="111">
        <f t="shared" si="4"/>
        <v>1.6569</v>
      </c>
      <c r="V9" s="111">
        <f t="shared" si="5"/>
        <v>0.41630870235724271</v>
      </c>
      <c r="W9" s="116">
        <v>103</v>
      </c>
      <c r="X9" s="111">
        <f t="shared" si="6"/>
        <v>0.94811500000000004</v>
      </c>
      <c r="Y9" s="111">
        <f t="shared" si="7"/>
        <v>0</v>
      </c>
      <c r="Z9" s="111">
        <f t="shared" si="8"/>
        <v>0</v>
      </c>
      <c r="AA9" s="114">
        <f t="shared" si="9"/>
        <v>-0.25833311106428458</v>
      </c>
      <c r="AB9" s="111">
        <f t="shared" si="10"/>
        <v>-0.15591351986497953</v>
      </c>
      <c r="AC9" s="111"/>
      <c r="AD9" s="107">
        <f t="shared" si="11"/>
        <v>9.884838489692524E-2</v>
      </c>
      <c r="AE9" s="23">
        <f t="shared" si="12"/>
        <v>0</v>
      </c>
      <c r="AF9" s="108">
        <f t="shared" si="13"/>
        <v>0.31746031746031744</v>
      </c>
      <c r="AH9" s="104">
        <f t="shared" si="15"/>
        <v>17.765496039685122</v>
      </c>
      <c r="AJ9" s="104">
        <f t="shared" si="16"/>
        <v>70.35136431715307</v>
      </c>
      <c r="AK9" s="23">
        <f t="shared" si="14"/>
        <v>-0.15591351986497953</v>
      </c>
      <c r="AO9" s="23">
        <v>70.35136431715307</v>
      </c>
      <c r="AP9" s="23">
        <v>-9.2653619847275978E-2</v>
      </c>
    </row>
    <row r="10" spans="1:47" ht="14.5" customHeight="1" x14ac:dyDescent="0.35">
      <c r="A10" s="23">
        <v>25</v>
      </c>
      <c r="B10" s="121" t="s">
        <v>204</v>
      </c>
      <c r="C10" s="24" t="s">
        <v>41</v>
      </c>
      <c r="D10" s="24" t="s">
        <v>198</v>
      </c>
      <c r="E10" s="24"/>
      <c r="F10" s="24" t="s">
        <v>203</v>
      </c>
      <c r="G10" s="141">
        <f>'time-factors'!D$35*'time-factors'!B75</f>
        <v>17.765496039685122</v>
      </c>
      <c r="H10" s="60">
        <f>'time-factors'!L75</f>
        <v>3.4849999999999994</v>
      </c>
      <c r="I10" s="53" t="s">
        <v>166</v>
      </c>
      <c r="J10" s="168">
        <f>'time-factors'!Q$47</f>
        <v>10</v>
      </c>
      <c r="K10" s="171">
        <f>'time-factors'!K$47</f>
        <v>0.05</v>
      </c>
      <c r="L10" s="55">
        <f t="shared" si="0"/>
        <v>0.45132344375461636</v>
      </c>
      <c r="M10" s="54">
        <v>0</v>
      </c>
      <c r="N10" s="53">
        <f t="shared" si="1"/>
        <v>0</v>
      </c>
      <c r="O10" s="58">
        <v>2.2000000000000002</v>
      </c>
      <c r="P10" s="53">
        <v>200</v>
      </c>
      <c r="Q10" s="56">
        <f t="shared" si="2"/>
        <v>0.44000000000000006</v>
      </c>
      <c r="R10" s="55">
        <f t="shared" si="3"/>
        <v>0.89132344375461647</v>
      </c>
      <c r="S10" s="59">
        <f>2*O10</f>
        <v>4.4000000000000004</v>
      </c>
      <c r="T10" s="59">
        <v>0.27</v>
      </c>
      <c r="U10" s="53">
        <f t="shared" si="4"/>
        <v>1.1880000000000002</v>
      </c>
      <c r="V10" s="53">
        <f t="shared" si="5"/>
        <v>0.75027225905270734</v>
      </c>
      <c r="W10" s="53">
        <v>200</v>
      </c>
      <c r="X10" s="57">
        <f t="shared" si="6"/>
        <v>0.88000000000000012</v>
      </c>
      <c r="Y10" s="53">
        <f t="shared" si="7"/>
        <v>0</v>
      </c>
      <c r="Z10" s="53">
        <f t="shared" si="8"/>
        <v>0</v>
      </c>
      <c r="AA10" s="55">
        <f t="shared" si="9"/>
        <v>1.1323443754616358E-2</v>
      </c>
      <c r="AB10" s="53">
        <f t="shared" si="10"/>
        <v>9.5315183119666306E-3</v>
      </c>
      <c r="AC10" s="53"/>
      <c r="AD10" s="107">
        <f t="shared" si="11"/>
        <v>0.37990188868233693</v>
      </c>
      <c r="AE10" s="23">
        <f t="shared" si="12"/>
        <v>0</v>
      </c>
      <c r="AF10" s="108">
        <f t="shared" si="13"/>
        <v>0.37037037037037035</v>
      </c>
      <c r="AH10" s="104">
        <f t="shared" si="15"/>
        <v>17.765496039685122</v>
      </c>
      <c r="AJ10" s="104">
        <f t="shared" si="16"/>
        <v>88.116860356838188</v>
      </c>
      <c r="AK10" s="23">
        <f t="shared" si="14"/>
        <v>9.5315183119666306E-3</v>
      </c>
      <c r="AO10" s="23">
        <v>88.116860356838188</v>
      </c>
      <c r="AP10" s="23">
        <v>9.5315183119666306E-3</v>
      </c>
    </row>
    <row r="11" spans="1:47" ht="14.5" customHeight="1" x14ac:dyDescent="0.35">
      <c r="A11" s="23">
        <v>12</v>
      </c>
      <c r="B11" s="118" t="s">
        <v>151</v>
      </c>
      <c r="C11" s="23" t="s">
        <v>139</v>
      </c>
      <c r="D11" s="23" t="s">
        <v>171</v>
      </c>
      <c r="E11" s="23" t="s">
        <v>128</v>
      </c>
      <c r="F11" s="23" t="s">
        <v>83</v>
      </c>
      <c r="G11" s="141">
        <f>'time-factors'!D$35*'time-factors'!B62</f>
        <v>1.4212396831748098</v>
      </c>
      <c r="H11" s="105">
        <f>'time-factors'!L62</f>
        <v>38.25</v>
      </c>
      <c r="I11" s="106" t="s">
        <v>98</v>
      </c>
      <c r="J11" s="96">
        <f>'time-factors'!Q$43</f>
        <v>10</v>
      </c>
      <c r="K11" s="170">
        <f>'time-factors'!K$43</f>
        <v>0.05</v>
      </c>
      <c r="L11" s="107">
        <f t="shared" si="0"/>
        <v>4.9535499924287176</v>
      </c>
      <c r="M11" s="3">
        <v>0</v>
      </c>
      <c r="N11" s="23">
        <f t="shared" si="1"/>
        <v>0</v>
      </c>
      <c r="O11" s="129" cm="1">
        <f t="array" ref="O11">IFERROR(_xlfn.IFS(E11="Heavy", 'vehicle E calcs'!$H$33,E11="Cars/vans",'vehicle E calcs'!$H$32),"")</f>
        <v>6.3768270755398833</v>
      </c>
      <c r="P11" s="106">
        <v>200</v>
      </c>
      <c r="Q11" s="108">
        <f t="shared" si="2"/>
        <v>1.2753654151079765</v>
      </c>
      <c r="R11" s="107">
        <f t="shared" si="3"/>
        <v>6.2289154075366939</v>
      </c>
      <c r="S11" s="107" cm="1">
        <f t="array" ref="S11">_xlfn.IFS(E11="Heavy", 'vehicle E calcs'!$T$21,E11="Cars/vans",'vehicle E calcs'!$S$21)*O11</f>
        <v>23.354986057632608</v>
      </c>
      <c r="T11" s="109">
        <v>0.27</v>
      </c>
      <c r="U11" s="23">
        <f t="shared" si="4"/>
        <v>6.3058462355608045</v>
      </c>
      <c r="V11" s="23">
        <f t="shared" si="5"/>
        <v>0.98780007866505348</v>
      </c>
      <c r="W11" s="106">
        <f t="shared" ref="W11:W28" si="17">W$2*105</f>
        <v>168</v>
      </c>
      <c r="X11" s="23">
        <f t="shared" si="6"/>
        <v>3.9236376576822782</v>
      </c>
      <c r="Y11" s="96">
        <f t="shared" ref="Y11:Y28" si="18">$Z$2</f>
        <v>0</v>
      </c>
      <c r="Z11" s="23">
        <f t="shared" si="8"/>
        <v>0</v>
      </c>
      <c r="AA11" s="107">
        <f t="shared" si="9"/>
        <v>2.3052777498544157</v>
      </c>
      <c r="AB11" s="23">
        <f t="shared" si="10"/>
        <v>0.36557785644283125</v>
      </c>
      <c r="AD11" s="107">
        <f t="shared" si="11"/>
        <v>0.78554880778633174</v>
      </c>
      <c r="AE11" s="23">
        <f t="shared" si="12"/>
        <v>0</v>
      </c>
      <c r="AF11" s="108">
        <f t="shared" si="13"/>
        <v>0.20225127087872183</v>
      </c>
      <c r="AH11" s="104">
        <f t="shared" si="15"/>
        <v>1.4212396831748098</v>
      </c>
      <c r="AJ11" s="104">
        <f t="shared" si="16"/>
        <v>89.538100040012992</v>
      </c>
      <c r="AK11" s="23">
        <f t="shared" si="14"/>
        <v>0.36557785644283125</v>
      </c>
      <c r="AO11" s="23">
        <v>89.538100040012992</v>
      </c>
      <c r="AP11" s="23">
        <v>0.36557785644283125</v>
      </c>
    </row>
    <row r="12" spans="1:47" ht="14.5" customHeight="1" x14ac:dyDescent="0.35">
      <c r="A12" s="23">
        <v>16</v>
      </c>
      <c r="B12" s="118" t="s">
        <v>154</v>
      </c>
      <c r="C12" s="23" t="s">
        <v>139</v>
      </c>
      <c r="D12" s="23" t="s">
        <v>171</v>
      </c>
      <c r="E12" s="23" t="s">
        <v>128</v>
      </c>
      <c r="F12" s="23" t="s">
        <v>83</v>
      </c>
      <c r="G12" s="141">
        <f>'time-factors'!D$35*'time-factors'!B66</f>
        <v>1.4212396831748098</v>
      </c>
      <c r="H12" s="105">
        <f>'time-factors'!L66</f>
        <v>38.25</v>
      </c>
      <c r="I12" s="106" t="s">
        <v>98</v>
      </c>
      <c r="J12" s="96">
        <f>'time-factors'!Q$43</f>
        <v>10</v>
      </c>
      <c r="K12" s="170">
        <f>'time-factors'!K$43</f>
        <v>0.05</v>
      </c>
      <c r="L12" s="107">
        <f t="shared" si="0"/>
        <v>4.9535499924287176</v>
      </c>
      <c r="M12" s="3">
        <v>0</v>
      </c>
      <c r="N12" s="23">
        <f t="shared" si="1"/>
        <v>0</v>
      </c>
      <c r="O12" s="129" cm="1">
        <f t="array" ref="O12">IFERROR(_xlfn.IFS(E12="Heavy", 'vehicle E calcs'!$H$33,E12="Cars/vans",'vehicle E calcs'!$H$32),"")</f>
        <v>6.3768270755398833</v>
      </c>
      <c r="P12" s="106">
        <v>200</v>
      </c>
      <c r="Q12" s="108">
        <f t="shared" si="2"/>
        <v>1.2753654151079765</v>
      </c>
      <c r="R12" s="107">
        <f t="shared" si="3"/>
        <v>6.2289154075366939</v>
      </c>
      <c r="S12" s="107" cm="1">
        <f t="array" ref="S12">_xlfn.IFS(E12="Heavy", 'vehicle E calcs'!$T$21,E12="Cars/vans",'vehicle E calcs'!$S$21)*O12</f>
        <v>23.354986057632608</v>
      </c>
      <c r="T12" s="109">
        <v>0.27</v>
      </c>
      <c r="U12" s="23">
        <f t="shared" si="4"/>
        <v>6.3058462355608045</v>
      </c>
      <c r="V12" s="23">
        <f t="shared" si="5"/>
        <v>0.98780007866505348</v>
      </c>
      <c r="W12" s="106">
        <f t="shared" si="17"/>
        <v>168</v>
      </c>
      <c r="X12" s="23">
        <f t="shared" si="6"/>
        <v>3.9236376576822782</v>
      </c>
      <c r="Y12" s="96">
        <f t="shared" si="18"/>
        <v>0</v>
      </c>
      <c r="Z12" s="23">
        <f t="shared" si="8"/>
        <v>0</v>
      </c>
      <c r="AA12" s="107">
        <f t="shared" si="9"/>
        <v>2.3052777498544157</v>
      </c>
      <c r="AB12" s="23">
        <f t="shared" si="10"/>
        <v>0.36557785644283125</v>
      </c>
      <c r="AD12" s="107">
        <f t="shared" si="11"/>
        <v>0.78554880778633174</v>
      </c>
      <c r="AE12" s="23">
        <f t="shared" si="12"/>
        <v>0</v>
      </c>
      <c r="AF12" s="108">
        <f t="shared" si="13"/>
        <v>0.20225127087872183</v>
      </c>
      <c r="AH12" s="104">
        <f t="shared" si="15"/>
        <v>1.4212396831748098</v>
      </c>
      <c r="AJ12" s="104">
        <f t="shared" si="16"/>
        <v>90.959339723187796</v>
      </c>
      <c r="AK12" s="23">
        <f t="shared" si="14"/>
        <v>0.36557785644283125</v>
      </c>
      <c r="AO12" s="23">
        <v>90.959339723187796</v>
      </c>
      <c r="AP12" s="23">
        <v>0.36557785644283125</v>
      </c>
    </row>
    <row r="13" spans="1:47" ht="14.5" customHeight="1" x14ac:dyDescent="0.35">
      <c r="A13" s="23">
        <v>13</v>
      </c>
      <c r="B13" s="118" t="s">
        <v>232</v>
      </c>
      <c r="C13" s="23" t="s">
        <v>139</v>
      </c>
      <c r="D13" s="23" t="s">
        <v>171</v>
      </c>
      <c r="E13" s="23" t="s">
        <v>188</v>
      </c>
      <c r="F13" s="23" t="s">
        <v>83</v>
      </c>
      <c r="G13" s="141">
        <f>'time-factors'!D$35*'time-factors'!B63</f>
        <v>1.5633636514922908</v>
      </c>
      <c r="H13" s="105">
        <f>'time-factors'!L63</f>
        <v>65.875</v>
      </c>
      <c r="I13" s="106" t="s">
        <v>98</v>
      </c>
      <c r="J13" s="96">
        <f>'time-factors'!Q$43</f>
        <v>10</v>
      </c>
      <c r="K13" s="170">
        <f>'time-factors'!K$43</f>
        <v>0.05</v>
      </c>
      <c r="L13" s="107">
        <f t="shared" si="0"/>
        <v>8.5311138758494582</v>
      </c>
      <c r="M13" s="3">
        <v>0</v>
      </c>
      <c r="N13" s="23">
        <f t="shared" si="1"/>
        <v>0</v>
      </c>
      <c r="O13" s="129" cm="1">
        <f t="array" ref="O13">IFERROR(_xlfn.IFS(E13="Heavy", 'vehicle E calcs'!$H$33,E13="Cars/vans",'vehicle E calcs'!$H$32),"")</f>
        <v>7.1233383316924828</v>
      </c>
      <c r="P13" s="106">
        <v>200</v>
      </c>
      <c r="Q13" s="108">
        <f t="shared" si="2"/>
        <v>1.4246676663384965</v>
      </c>
      <c r="R13" s="107">
        <f t="shared" si="3"/>
        <v>9.955781542187955</v>
      </c>
      <c r="S13" s="107" cm="1">
        <f t="array" ref="S13">_xlfn.IFS(E13="Heavy", 'vehicle E calcs'!$T$21,E13="Cars/vans",'vehicle E calcs'!$S$21)*O13</f>
        <v>24.362584419881831</v>
      </c>
      <c r="T13" s="109">
        <v>0.27</v>
      </c>
      <c r="U13" s="23">
        <f t="shared" si="4"/>
        <v>6.5778977933680949</v>
      </c>
      <c r="V13" s="23">
        <f t="shared" si="5"/>
        <v>1.5135202544839597</v>
      </c>
      <c r="W13" s="106">
        <f t="shared" si="17"/>
        <v>168</v>
      </c>
      <c r="X13" s="23">
        <f t="shared" si="6"/>
        <v>4.0929141825401478</v>
      </c>
      <c r="Y13" s="96">
        <f t="shared" si="18"/>
        <v>0</v>
      </c>
      <c r="Z13" s="23">
        <f t="shared" si="8"/>
        <v>0</v>
      </c>
      <c r="AA13" s="107">
        <f t="shared" si="9"/>
        <v>5.8628673596478071</v>
      </c>
      <c r="AB13" s="23">
        <f t="shared" si="10"/>
        <v>0.89129803226173732</v>
      </c>
      <c r="AD13" s="107">
        <f t="shared" si="11"/>
        <v>1.2969362163776117</v>
      </c>
      <c r="AE13" s="23">
        <f t="shared" si="12"/>
        <v>0</v>
      </c>
      <c r="AF13" s="108">
        <f t="shared" si="13"/>
        <v>0.2165840381063478</v>
      </c>
      <c r="AH13" s="104">
        <f t="shared" si="15"/>
        <v>1.5633636514922908</v>
      </c>
      <c r="AJ13" s="104">
        <f t="shared" si="16"/>
        <v>92.522703374680091</v>
      </c>
      <c r="AK13" s="23">
        <f t="shared" si="14"/>
        <v>0.89129803226173732</v>
      </c>
      <c r="AO13" s="23">
        <v>92.522703374680091</v>
      </c>
      <c r="AP13" s="23">
        <v>0.82264699181288858</v>
      </c>
    </row>
    <row r="14" spans="1:47" ht="14.5" customHeight="1" x14ac:dyDescent="0.35">
      <c r="A14" s="23">
        <v>11</v>
      </c>
      <c r="B14" s="118" t="s">
        <v>150</v>
      </c>
      <c r="C14" s="23" t="s">
        <v>139</v>
      </c>
      <c r="D14" s="23" t="s">
        <v>171</v>
      </c>
      <c r="E14" s="23" t="s">
        <v>128</v>
      </c>
      <c r="F14" s="23" t="s">
        <v>83</v>
      </c>
      <c r="G14" s="141">
        <f>'time-factors'!D$35*'time-factors'!B61</f>
        <v>0.71061984158740488</v>
      </c>
      <c r="H14" s="105">
        <f>'time-factors'!L61</f>
        <v>65.875</v>
      </c>
      <c r="I14" s="106" t="s">
        <v>98</v>
      </c>
      <c r="J14" s="96">
        <f>'time-factors'!Q$43</f>
        <v>10</v>
      </c>
      <c r="K14" s="170">
        <f>'time-factors'!K$43</f>
        <v>0.05</v>
      </c>
      <c r="L14" s="107">
        <f t="shared" si="0"/>
        <v>8.5311138758494582</v>
      </c>
      <c r="M14" s="3">
        <v>0</v>
      </c>
      <c r="N14" s="23">
        <f t="shared" si="1"/>
        <v>0</v>
      </c>
      <c r="O14" s="129" cm="1">
        <f t="array" ref="O14">IFERROR(_xlfn.IFS(E14="Heavy", 'vehicle E calcs'!$H$33,E14="Cars/vans",'vehicle E calcs'!$H$32),"")</f>
        <v>6.3768270755398833</v>
      </c>
      <c r="P14" s="106">
        <v>200</v>
      </c>
      <c r="Q14" s="108">
        <f t="shared" si="2"/>
        <v>1.2753654151079765</v>
      </c>
      <c r="R14" s="107">
        <f t="shared" si="3"/>
        <v>9.8064792909574354</v>
      </c>
      <c r="S14" s="107" cm="1">
        <f t="array" ref="S14">_xlfn.IFS(E14="Heavy", 'vehicle E calcs'!$T$21,E14="Cars/vans",'vehicle E calcs'!$S$21)*O14</f>
        <v>23.354986057632608</v>
      </c>
      <c r="T14" s="109">
        <v>0.27</v>
      </c>
      <c r="U14" s="23">
        <f t="shared" si="4"/>
        <v>6.3058462355608045</v>
      </c>
      <c r="V14" s="23">
        <f t="shared" si="5"/>
        <v>1.5551408842885155</v>
      </c>
      <c r="W14" s="106">
        <f t="shared" si="17"/>
        <v>168</v>
      </c>
      <c r="X14" s="23">
        <f t="shared" si="6"/>
        <v>3.9236376576822782</v>
      </c>
      <c r="Y14" s="96">
        <f t="shared" si="18"/>
        <v>0</v>
      </c>
      <c r="Z14" s="23">
        <f t="shared" si="8"/>
        <v>0</v>
      </c>
      <c r="AA14" s="107">
        <f t="shared" si="9"/>
        <v>5.8828416332751576</v>
      </c>
      <c r="AB14" s="23">
        <f t="shared" si="10"/>
        <v>0.93291866206629326</v>
      </c>
      <c r="AD14" s="107">
        <f t="shared" si="11"/>
        <v>1.3528896134097934</v>
      </c>
      <c r="AE14" s="23">
        <f t="shared" si="12"/>
        <v>0</v>
      </c>
      <c r="AF14" s="108">
        <f t="shared" si="13"/>
        <v>0.20225127087872183</v>
      </c>
      <c r="AH14" s="104">
        <f t="shared" si="15"/>
        <v>0.71061984158740488</v>
      </c>
      <c r="AJ14" s="104">
        <f t="shared" si="16"/>
        <v>93.233323216267493</v>
      </c>
      <c r="AK14" s="23">
        <f t="shared" si="14"/>
        <v>0.93291866206629326</v>
      </c>
      <c r="AO14" s="23">
        <v>93.233323216267493</v>
      </c>
      <c r="AP14" s="23">
        <v>0.93291866206629326</v>
      </c>
    </row>
    <row r="15" spans="1:47" ht="14.5" customHeight="1" x14ac:dyDescent="0.35">
      <c r="A15" s="23">
        <v>6</v>
      </c>
      <c r="B15" s="118" t="s">
        <v>146</v>
      </c>
      <c r="C15" s="23" t="s">
        <v>139</v>
      </c>
      <c r="D15" s="23" t="s">
        <v>171</v>
      </c>
      <c r="E15" s="23" t="s">
        <v>188</v>
      </c>
      <c r="F15" s="23" t="s">
        <v>83</v>
      </c>
      <c r="G15" s="141">
        <f>'time-factors'!D$35*'time-factors'!B56</f>
        <v>2.060797540603474</v>
      </c>
      <c r="H15" s="105">
        <f>'time-factors'!L56</f>
        <v>126.348488</v>
      </c>
      <c r="I15" s="106" t="s">
        <v>98</v>
      </c>
      <c r="J15" s="96">
        <f>'time-factors'!Q$43</f>
        <v>10</v>
      </c>
      <c r="K15" s="170">
        <f>'time-factors'!K$43</f>
        <v>0.05</v>
      </c>
      <c r="L15" s="107">
        <f t="shared" si="0"/>
        <v>16.362707235968102</v>
      </c>
      <c r="M15" s="3">
        <v>0</v>
      </c>
      <c r="N15" s="23">
        <f t="shared" si="1"/>
        <v>0</v>
      </c>
      <c r="O15" s="129" cm="1">
        <f t="array" ref="O15">IFERROR(_xlfn.IFS(E15="Heavy", 'vehicle E calcs'!$H$33,E15="Cars/vans",'vehicle E calcs'!$H$32),"")</f>
        <v>7.1233383316924828</v>
      </c>
      <c r="P15" s="106">
        <v>200</v>
      </c>
      <c r="Q15" s="108">
        <f t="shared" si="2"/>
        <v>1.4246676663384965</v>
      </c>
      <c r="R15" s="107">
        <f t="shared" si="3"/>
        <v>17.787374902306599</v>
      </c>
      <c r="S15" s="107" cm="1">
        <f t="array" ref="S15">_xlfn.IFS(E15="Heavy", 'vehicle E calcs'!$T$21,E15="Cars/vans",'vehicle E calcs'!$S$21)*O15</f>
        <v>24.362584419881831</v>
      </c>
      <c r="T15" s="109">
        <v>0.27</v>
      </c>
      <c r="U15" s="23">
        <f t="shared" si="4"/>
        <v>6.5778977933680949</v>
      </c>
      <c r="V15" s="23">
        <f t="shared" si="5"/>
        <v>2.7041123868236467</v>
      </c>
      <c r="W15" s="106">
        <f t="shared" si="17"/>
        <v>168</v>
      </c>
      <c r="X15" s="23">
        <f t="shared" si="6"/>
        <v>4.0929141825401478</v>
      </c>
      <c r="Y15" s="96">
        <f t="shared" si="18"/>
        <v>0</v>
      </c>
      <c r="Z15" s="23">
        <f t="shared" si="8"/>
        <v>0</v>
      </c>
      <c r="AA15" s="107">
        <f t="shared" si="9"/>
        <v>13.69446071976645</v>
      </c>
      <c r="AB15" s="23">
        <f t="shared" si="10"/>
        <v>2.0818901646014245</v>
      </c>
      <c r="AD15" s="107">
        <f t="shared" si="11"/>
        <v>2.4875283487172992</v>
      </c>
      <c r="AE15" s="23">
        <f t="shared" si="12"/>
        <v>0</v>
      </c>
      <c r="AF15" s="108">
        <f t="shared" si="13"/>
        <v>0.2165840381063478</v>
      </c>
      <c r="AH15" s="104">
        <f t="shared" si="15"/>
        <v>2.060797540603474</v>
      </c>
      <c r="AJ15" s="104">
        <f t="shared" si="16"/>
        <v>95.294120756870967</v>
      </c>
      <c r="AK15" s="23">
        <f t="shared" si="14"/>
        <v>2.0818901646014245</v>
      </c>
      <c r="AO15" s="23">
        <v>95.294120756870967</v>
      </c>
      <c r="AP15" s="23">
        <v>1.9502172209909676</v>
      </c>
    </row>
    <row r="16" spans="1:47" ht="14.5" customHeight="1" x14ac:dyDescent="0.35">
      <c r="A16" s="23">
        <v>1</v>
      </c>
      <c r="B16" s="118" t="s">
        <v>141</v>
      </c>
      <c r="C16" s="23" t="s">
        <v>139</v>
      </c>
      <c r="D16" s="23" t="s">
        <v>171</v>
      </c>
      <c r="E16" s="23" t="s">
        <v>128</v>
      </c>
      <c r="F16" s="23" t="s">
        <v>83</v>
      </c>
      <c r="G16" s="141">
        <f>'time-factors'!D$35*'time-factors'!B51</f>
        <v>2.4871694455559172</v>
      </c>
      <c r="H16" s="105">
        <f>'time-factors'!L51</f>
        <v>169.216725</v>
      </c>
      <c r="I16" s="106" t="s">
        <v>98</v>
      </c>
      <c r="J16" s="96">
        <f>'time-factors'!Q$43</f>
        <v>10</v>
      </c>
      <c r="K16" s="170">
        <f>'time-factors'!K$43</f>
        <v>0.05</v>
      </c>
      <c r="L16" s="107">
        <f t="shared" si="0"/>
        <v>21.914340048171567</v>
      </c>
      <c r="M16" s="3">
        <v>0</v>
      </c>
      <c r="N16" s="23">
        <f t="shared" si="1"/>
        <v>0</v>
      </c>
      <c r="O16" s="129" cm="1">
        <f t="array" ref="O16">IFERROR(_xlfn.IFS(E16="Heavy", 'vehicle E calcs'!$H$33,E16="Cars/vans",'vehicle E calcs'!$H$32),"")</f>
        <v>6.3768270755398833</v>
      </c>
      <c r="P16" s="106">
        <v>200</v>
      </c>
      <c r="Q16" s="108">
        <f t="shared" si="2"/>
        <v>1.2753654151079765</v>
      </c>
      <c r="R16" s="107">
        <f t="shared" si="3"/>
        <v>23.189705463279545</v>
      </c>
      <c r="S16" s="107" cm="1">
        <f t="array" ref="S16">_xlfn.IFS(E16="Heavy", 'vehicle E calcs'!$T$21,E16="Cars/vans",'vehicle E calcs'!$S$21)*O16</f>
        <v>23.354986057632608</v>
      </c>
      <c r="T16" s="109">
        <v>0.27</v>
      </c>
      <c r="U16" s="23">
        <f t="shared" si="4"/>
        <v>6.3058462355608045</v>
      </c>
      <c r="V16" s="23">
        <f t="shared" si="5"/>
        <v>3.6774930115651938</v>
      </c>
      <c r="W16" s="106">
        <f t="shared" si="17"/>
        <v>168</v>
      </c>
      <c r="X16" s="23">
        <f t="shared" si="6"/>
        <v>3.9236376576822782</v>
      </c>
      <c r="Y16" s="96">
        <f t="shared" si="18"/>
        <v>0</v>
      </c>
      <c r="Z16" s="23">
        <f t="shared" si="8"/>
        <v>0</v>
      </c>
      <c r="AA16" s="107">
        <f t="shared" si="9"/>
        <v>19.266067805597267</v>
      </c>
      <c r="AB16" s="23">
        <f t="shared" si="10"/>
        <v>3.055270789342972</v>
      </c>
      <c r="AD16" s="107">
        <f t="shared" si="11"/>
        <v>3.4752417406864722</v>
      </c>
      <c r="AE16" s="23">
        <f t="shared" si="12"/>
        <v>0</v>
      </c>
      <c r="AF16" s="108">
        <f t="shared" si="13"/>
        <v>0.20225127087872183</v>
      </c>
      <c r="AH16" s="104">
        <f t="shared" si="15"/>
        <v>2.4871694455559172</v>
      </c>
      <c r="AJ16" s="104">
        <f t="shared" si="16"/>
        <v>97.781290202426888</v>
      </c>
      <c r="AK16" s="23">
        <f t="shared" si="14"/>
        <v>3.055270789342972</v>
      </c>
      <c r="AO16" s="23">
        <v>97.781290202426888</v>
      </c>
      <c r="AP16" s="23">
        <v>3.055270789342972</v>
      </c>
    </row>
    <row r="17" spans="1:42" ht="14.5" customHeight="1" x14ac:dyDescent="0.35">
      <c r="A17" s="23">
        <v>4</v>
      </c>
      <c r="B17" s="118" t="s">
        <v>144</v>
      </c>
      <c r="C17" s="23" t="s">
        <v>139</v>
      </c>
      <c r="D17" s="23" t="s">
        <v>171</v>
      </c>
      <c r="E17" s="23" t="s">
        <v>188</v>
      </c>
      <c r="F17" s="23" t="s">
        <v>83</v>
      </c>
      <c r="G17" s="141">
        <f>'time-factors'!D$35*'time-factors'!B54</f>
        <v>1.0659297623811073</v>
      </c>
      <c r="H17" s="105">
        <f>'time-factors'!L54</f>
        <v>244.79999999999998</v>
      </c>
      <c r="I17" s="106" t="s">
        <v>98</v>
      </c>
      <c r="J17" s="96">
        <f>'time-factors'!Q$43</f>
        <v>10</v>
      </c>
      <c r="K17" s="170">
        <f>'time-factors'!K$43</f>
        <v>0.05</v>
      </c>
      <c r="L17" s="107">
        <f t="shared" si="0"/>
        <v>31.702719951543788</v>
      </c>
      <c r="M17" s="3">
        <v>0</v>
      </c>
      <c r="N17" s="23">
        <f t="shared" si="1"/>
        <v>0</v>
      </c>
      <c r="O17" s="129" cm="1">
        <f t="array" ref="O17">IFERROR(_xlfn.IFS(E17="Heavy", 'vehicle E calcs'!$H$33,E17="Cars/vans",'vehicle E calcs'!$H$32),"")</f>
        <v>7.1233383316924828</v>
      </c>
      <c r="P17" s="106">
        <v>200</v>
      </c>
      <c r="Q17" s="108">
        <f t="shared" si="2"/>
        <v>1.4246676663384965</v>
      </c>
      <c r="R17" s="107">
        <f t="shared" si="3"/>
        <v>33.127387617882285</v>
      </c>
      <c r="S17" s="107" cm="1">
        <f t="array" ref="S17">_xlfn.IFS(E17="Heavy", 'vehicle E calcs'!$T$21,E17="Cars/vans",'vehicle E calcs'!$S$21)*O17</f>
        <v>24.362584419881831</v>
      </c>
      <c r="T17" s="109">
        <v>0.27</v>
      </c>
      <c r="U17" s="23">
        <f t="shared" si="4"/>
        <v>6.5778977933680949</v>
      </c>
      <c r="V17" s="23">
        <f t="shared" si="5"/>
        <v>5.0361663647741173</v>
      </c>
      <c r="W17" s="106">
        <f t="shared" si="17"/>
        <v>168</v>
      </c>
      <c r="X17" s="23">
        <f t="shared" si="6"/>
        <v>4.0929141825401478</v>
      </c>
      <c r="Y17" s="96">
        <f t="shared" si="18"/>
        <v>0</v>
      </c>
      <c r="Z17" s="23">
        <f t="shared" si="8"/>
        <v>0</v>
      </c>
      <c r="AA17" s="107">
        <f t="shared" si="9"/>
        <v>29.034473435342136</v>
      </c>
      <c r="AB17" s="23">
        <f t="shared" si="10"/>
        <v>4.4139441425518946</v>
      </c>
      <c r="AD17" s="107">
        <f t="shared" si="11"/>
        <v>4.8195823266677689</v>
      </c>
      <c r="AE17" s="23">
        <f t="shared" si="12"/>
        <v>0</v>
      </c>
      <c r="AF17" s="108">
        <f t="shared" si="13"/>
        <v>0.2165840381063478</v>
      </c>
      <c r="AH17" s="104">
        <f t="shared" si="15"/>
        <v>1.0659297623811073</v>
      </c>
      <c r="AJ17" s="104">
        <f t="shared" si="16"/>
        <v>98.847219964807991</v>
      </c>
      <c r="AK17" s="23">
        <f t="shared" si="14"/>
        <v>4.4139441425518946</v>
      </c>
      <c r="AO17" s="23">
        <v>98.847219964807991</v>
      </c>
      <c r="AP17" s="23">
        <v>4.1588280180452051</v>
      </c>
    </row>
    <row r="18" spans="1:42" ht="14.5" customHeight="1" x14ac:dyDescent="0.35">
      <c r="A18" s="23">
        <v>7</v>
      </c>
      <c r="B18" s="118" t="s">
        <v>147</v>
      </c>
      <c r="C18" s="23" t="s">
        <v>139</v>
      </c>
      <c r="D18" s="23" t="s">
        <v>171</v>
      </c>
      <c r="E18" s="23" t="s">
        <v>188</v>
      </c>
      <c r="F18" s="23" t="s">
        <v>83</v>
      </c>
      <c r="G18" s="141">
        <f>'time-factors'!D$35*'time-factors'!B57</f>
        <v>1.7765496039685122</v>
      </c>
      <c r="H18" s="105">
        <f>'time-factors'!L57</f>
        <v>244.79999999999998</v>
      </c>
      <c r="I18" s="106" t="s">
        <v>98</v>
      </c>
      <c r="J18" s="96">
        <f>'time-factors'!Q$43</f>
        <v>10</v>
      </c>
      <c r="K18" s="170">
        <f>'time-factors'!K$43</f>
        <v>0.05</v>
      </c>
      <c r="L18" s="107">
        <f t="shared" si="0"/>
        <v>31.702719951543788</v>
      </c>
      <c r="M18" s="3">
        <v>0</v>
      </c>
      <c r="N18" s="23">
        <f t="shared" si="1"/>
        <v>0</v>
      </c>
      <c r="O18" s="129" cm="1">
        <f t="array" ref="O18">IFERROR(_xlfn.IFS(E18="Heavy", 'vehicle E calcs'!$H$33,E18="Cars/vans",'vehicle E calcs'!$H$32),"")</f>
        <v>7.1233383316924828</v>
      </c>
      <c r="P18" s="106">
        <v>200</v>
      </c>
      <c r="Q18" s="108">
        <f t="shared" si="2"/>
        <v>1.4246676663384965</v>
      </c>
      <c r="R18" s="107">
        <f t="shared" si="3"/>
        <v>33.127387617882285</v>
      </c>
      <c r="S18" s="107" cm="1">
        <f t="array" ref="S18">_xlfn.IFS(E18="Heavy", 'vehicle E calcs'!$T$21,E18="Cars/vans",'vehicle E calcs'!$S$21)*O18</f>
        <v>24.362584419881831</v>
      </c>
      <c r="T18" s="109">
        <v>0.27</v>
      </c>
      <c r="U18" s="23">
        <f t="shared" si="4"/>
        <v>6.5778977933680949</v>
      </c>
      <c r="V18" s="23">
        <f t="shared" si="5"/>
        <v>5.0361663647741173</v>
      </c>
      <c r="W18" s="106">
        <f t="shared" si="17"/>
        <v>168</v>
      </c>
      <c r="X18" s="23">
        <f t="shared" si="6"/>
        <v>4.0929141825401478</v>
      </c>
      <c r="Y18" s="96">
        <f t="shared" si="18"/>
        <v>0</v>
      </c>
      <c r="Z18" s="23">
        <f t="shared" si="8"/>
        <v>0</v>
      </c>
      <c r="AA18" s="107">
        <f t="shared" si="9"/>
        <v>29.034473435342136</v>
      </c>
      <c r="AB18" s="23">
        <f t="shared" si="10"/>
        <v>4.4139441425518946</v>
      </c>
      <c r="AD18" s="107">
        <f t="shared" si="11"/>
        <v>4.8195823266677689</v>
      </c>
      <c r="AE18" s="23">
        <f t="shared" si="12"/>
        <v>0</v>
      </c>
      <c r="AF18" s="108">
        <f t="shared" si="13"/>
        <v>0.2165840381063478</v>
      </c>
      <c r="AH18" s="104">
        <f t="shared" si="15"/>
        <v>1.7765496039685122</v>
      </c>
      <c r="AJ18" s="104">
        <f t="shared" si="16"/>
        <v>100.62376956877651</v>
      </c>
      <c r="AK18" s="23">
        <f t="shared" si="14"/>
        <v>4.4139441425518946</v>
      </c>
      <c r="AO18" s="23">
        <v>100.62376956877651</v>
      </c>
      <c r="AP18" s="23">
        <v>4.1588280180452051</v>
      </c>
    </row>
    <row r="19" spans="1:42" ht="14.5" customHeight="1" x14ac:dyDescent="0.35">
      <c r="A19" s="23">
        <v>9</v>
      </c>
      <c r="B19" s="118" t="s">
        <v>149</v>
      </c>
      <c r="C19" s="23" t="s">
        <v>139</v>
      </c>
      <c r="D19" s="23" t="s">
        <v>171</v>
      </c>
      <c r="E19" s="23" t="s">
        <v>188</v>
      </c>
      <c r="F19" s="23" t="s">
        <v>83</v>
      </c>
      <c r="G19" s="141">
        <f>'time-factors'!D$35*'time-factors'!B59</f>
        <v>0.71061984158740488</v>
      </c>
      <c r="H19" s="105">
        <f>'time-factors'!L59</f>
        <v>244.79999999999998</v>
      </c>
      <c r="I19" s="106" t="s">
        <v>98</v>
      </c>
      <c r="J19" s="96">
        <f>'time-factors'!Q$43</f>
        <v>10</v>
      </c>
      <c r="K19" s="170">
        <f>'time-factors'!K$43</f>
        <v>0.05</v>
      </c>
      <c r="L19" s="107">
        <f t="shared" si="0"/>
        <v>31.702719951543788</v>
      </c>
      <c r="M19" s="3">
        <v>0</v>
      </c>
      <c r="N19" s="23">
        <f t="shared" si="1"/>
        <v>0</v>
      </c>
      <c r="O19" s="129" cm="1">
        <f t="array" ref="O19">IFERROR(_xlfn.IFS(E19="Heavy", 'vehicle E calcs'!$H$33,E19="Cars/vans",'vehicle E calcs'!$H$32),"")</f>
        <v>7.1233383316924828</v>
      </c>
      <c r="P19" s="106">
        <v>200</v>
      </c>
      <c r="Q19" s="108">
        <f t="shared" si="2"/>
        <v>1.4246676663384965</v>
      </c>
      <c r="R19" s="107">
        <f t="shared" si="3"/>
        <v>33.127387617882285</v>
      </c>
      <c r="S19" s="107" cm="1">
        <f t="array" ref="S19">_xlfn.IFS(E19="Heavy", 'vehicle E calcs'!$T$21,E19="Cars/vans",'vehicle E calcs'!$S$21)*O19</f>
        <v>24.362584419881831</v>
      </c>
      <c r="T19" s="109">
        <v>0.27</v>
      </c>
      <c r="U19" s="23">
        <f t="shared" si="4"/>
        <v>6.5778977933680949</v>
      </c>
      <c r="V19" s="23">
        <f t="shared" si="5"/>
        <v>5.0361663647741173</v>
      </c>
      <c r="W19" s="106">
        <f t="shared" si="17"/>
        <v>168</v>
      </c>
      <c r="X19" s="23">
        <f t="shared" si="6"/>
        <v>4.0929141825401478</v>
      </c>
      <c r="Y19" s="96">
        <f t="shared" si="18"/>
        <v>0</v>
      </c>
      <c r="Z19" s="23">
        <f t="shared" si="8"/>
        <v>0</v>
      </c>
      <c r="AA19" s="107">
        <f t="shared" si="9"/>
        <v>29.034473435342136</v>
      </c>
      <c r="AB19" s="23">
        <f t="shared" si="10"/>
        <v>4.4139441425518946</v>
      </c>
      <c r="AD19" s="107">
        <f t="shared" si="11"/>
        <v>4.8195823266677689</v>
      </c>
      <c r="AE19" s="23">
        <f t="shared" si="12"/>
        <v>0</v>
      </c>
      <c r="AF19" s="108">
        <f t="shared" si="13"/>
        <v>0.2165840381063478</v>
      </c>
      <c r="AH19" s="104">
        <f t="shared" si="15"/>
        <v>0.71061984158740488</v>
      </c>
      <c r="AJ19" s="104">
        <f t="shared" si="16"/>
        <v>101.33438941036391</v>
      </c>
      <c r="AK19" s="23">
        <f t="shared" si="14"/>
        <v>4.4139441425518946</v>
      </c>
      <c r="AO19" s="23">
        <v>101.33438941036391</v>
      </c>
      <c r="AP19" s="23">
        <v>4.1588280180452051</v>
      </c>
    </row>
    <row r="20" spans="1:42" ht="14.5" customHeight="1" x14ac:dyDescent="0.35">
      <c r="A20" s="23">
        <v>15</v>
      </c>
      <c r="B20" s="118" t="s">
        <v>153</v>
      </c>
      <c r="C20" s="23" t="s">
        <v>139</v>
      </c>
      <c r="D20" s="23" t="s">
        <v>171</v>
      </c>
      <c r="E20" s="23" t="s">
        <v>188</v>
      </c>
      <c r="F20" s="23" t="s">
        <v>83</v>
      </c>
      <c r="G20" s="141">
        <f>'time-factors'!D$35*'time-factors'!B65</f>
        <v>1.1369917465398478</v>
      </c>
      <c r="H20" s="105">
        <f>'time-factors'!L65</f>
        <v>244.79999999999998</v>
      </c>
      <c r="I20" s="106" t="s">
        <v>98</v>
      </c>
      <c r="J20" s="96">
        <f>'time-factors'!Q$43</f>
        <v>10</v>
      </c>
      <c r="K20" s="170">
        <f>'time-factors'!K$43</f>
        <v>0.05</v>
      </c>
      <c r="L20" s="107">
        <f t="shared" si="0"/>
        <v>31.702719951543788</v>
      </c>
      <c r="M20" s="3">
        <v>0</v>
      </c>
      <c r="N20" s="23">
        <f t="shared" si="1"/>
        <v>0</v>
      </c>
      <c r="O20" s="129" cm="1">
        <f t="array" ref="O20">IFERROR(_xlfn.IFS(E20="Heavy", 'vehicle E calcs'!$H$33,E20="Cars/vans",'vehicle E calcs'!$H$32),"")</f>
        <v>7.1233383316924828</v>
      </c>
      <c r="P20" s="106">
        <v>200</v>
      </c>
      <c r="Q20" s="108">
        <f t="shared" si="2"/>
        <v>1.4246676663384965</v>
      </c>
      <c r="R20" s="107">
        <f t="shared" si="3"/>
        <v>33.127387617882285</v>
      </c>
      <c r="S20" s="107" cm="1">
        <f t="array" ref="S20">_xlfn.IFS(E20="Heavy", 'vehicle E calcs'!$T$21,E20="Cars/vans",'vehicle E calcs'!$S$21)*O20</f>
        <v>24.362584419881831</v>
      </c>
      <c r="T20" s="109">
        <v>0.27</v>
      </c>
      <c r="U20" s="23">
        <f t="shared" si="4"/>
        <v>6.5778977933680949</v>
      </c>
      <c r="V20" s="23">
        <f t="shared" si="5"/>
        <v>5.0361663647741173</v>
      </c>
      <c r="W20" s="106">
        <f t="shared" si="17"/>
        <v>168</v>
      </c>
      <c r="X20" s="23">
        <f t="shared" si="6"/>
        <v>4.0929141825401478</v>
      </c>
      <c r="Y20" s="96">
        <f t="shared" si="18"/>
        <v>0</v>
      </c>
      <c r="Z20" s="23">
        <f t="shared" si="8"/>
        <v>0</v>
      </c>
      <c r="AA20" s="107">
        <f t="shared" si="9"/>
        <v>29.034473435342136</v>
      </c>
      <c r="AB20" s="23">
        <f t="shared" si="10"/>
        <v>4.4139441425518946</v>
      </c>
      <c r="AD20" s="107">
        <f t="shared" si="11"/>
        <v>4.8195823266677689</v>
      </c>
      <c r="AE20" s="23">
        <f t="shared" si="12"/>
        <v>0</v>
      </c>
      <c r="AF20" s="108">
        <f t="shared" si="13"/>
        <v>0.2165840381063478</v>
      </c>
      <c r="AH20" s="104">
        <f t="shared" si="15"/>
        <v>1.1369917465398478</v>
      </c>
      <c r="AJ20" s="104">
        <f t="shared" si="16"/>
        <v>102.47138115690376</v>
      </c>
      <c r="AK20" s="23">
        <f t="shared" si="14"/>
        <v>4.4139441425518946</v>
      </c>
      <c r="AO20" s="23">
        <v>102.47138115690376</v>
      </c>
      <c r="AP20" s="23">
        <v>4.1588280180452051</v>
      </c>
    </row>
    <row r="21" spans="1:42" ht="14.5" customHeight="1" x14ac:dyDescent="0.35">
      <c r="A21" s="23">
        <v>3</v>
      </c>
      <c r="B21" s="118" t="s">
        <v>143</v>
      </c>
      <c r="C21" s="23" t="s">
        <v>139</v>
      </c>
      <c r="D21" s="23" t="s">
        <v>171</v>
      </c>
      <c r="E21" s="23" t="s">
        <v>188</v>
      </c>
      <c r="F21" s="23" t="s">
        <v>83</v>
      </c>
      <c r="G21" s="141">
        <f>'time-factors'!D$35*'time-factors'!B53</f>
        <v>1.5633636514922908</v>
      </c>
      <c r="H21" s="105">
        <f>'time-factors'!L53</f>
        <v>258.89299999999997</v>
      </c>
      <c r="I21" s="106" t="s">
        <v>98</v>
      </c>
      <c r="J21" s="96">
        <f>'time-factors'!Q$43</f>
        <v>10</v>
      </c>
      <c r="K21" s="170">
        <f>'time-factors'!K$43</f>
        <v>0.05</v>
      </c>
      <c r="L21" s="107">
        <f t="shared" si="0"/>
        <v>33.52782792653197</v>
      </c>
      <c r="M21" s="3">
        <v>0</v>
      </c>
      <c r="N21" s="23">
        <f t="shared" si="1"/>
        <v>0</v>
      </c>
      <c r="O21" s="129" cm="1">
        <f t="array" ref="O21">IFERROR(_xlfn.IFS(E21="Heavy", 'vehicle E calcs'!$H$33,E21="Cars/vans",'vehicle E calcs'!$H$32),"")</f>
        <v>7.1233383316924828</v>
      </c>
      <c r="P21" s="106">
        <v>200</v>
      </c>
      <c r="Q21" s="108">
        <f t="shared" si="2"/>
        <v>1.4246676663384965</v>
      </c>
      <c r="R21" s="107">
        <f t="shared" si="3"/>
        <v>34.952495592870463</v>
      </c>
      <c r="S21" s="107" cm="1">
        <f t="array" ref="S21">_xlfn.IFS(E21="Heavy", 'vehicle E calcs'!$T$21,E21="Cars/vans",'vehicle E calcs'!$S$21)*O21</f>
        <v>24.362584419881831</v>
      </c>
      <c r="T21" s="109">
        <v>0.27</v>
      </c>
      <c r="U21" s="23">
        <f t="shared" si="4"/>
        <v>6.5778977933680949</v>
      </c>
      <c r="V21" s="23">
        <f t="shared" si="5"/>
        <v>5.3136270417746427</v>
      </c>
      <c r="W21" s="106">
        <f t="shared" si="17"/>
        <v>168</v>
      </c>
      <c r="X21" s="23">
        <f t="shared" si="6"/>
        <v>4.0929141825401478</v>
      </c>
      <c r="Y21" s="96">
        <f t="shared" si="18"/>
        <v>0</v>
      </c>
      <c r="Z21" s="23">
        <f t="shared" si="8"/>
        <v>0</v>
      </c>
      <c r="AA21" s="107">
        <f t="shared" si="9"/>
        <v>30.859581410330314</v>
      </c>
      <c r="AB21" s="23">
        <f t="shared" si="10"/>
        <v>4.6914048195524209</v>
      </c>
      <c r="AD21" s="107">
        <f t="shared" si="11"/>
        <v>5.0970430036682961</v>
      </c>
      <c r="AE21" s="23">
        <f t="shared" si="12"/>
        <v>0</v>
      </c>
      <c r="AF21" s="108">
        <f t="shared" si="13"/>
        <v>0.2165840381063478</v>
      </c>
      <c r="AH21" s="104">
        <f t="shared" si="15"/>
        <v>1.5633636514922908</v>
      </c>
      <c r="AJ21" s="104">
        <f t="shared" si="16"/>
        <v>104.03474480839606</v>
      </c>
      <c r="AK21" s="23">
        <f t="shared" si="14"/>
        <v>4.6914048195524209</v>
      </c>
      <c r="AO21" s="23">
        <v>104.03474480839606</v>
      </c>
      <c r="AP21" s="23">
        <v>4.4216018014890626</v>
      </c>
    </row>
    <row r="22" spans="1:42" ht="14.5" customHeight="1" x14ac:dyDescent="0.35">
      <c r="A22" s="23">
        <v>17</v>
      </c>
      <c r="B22" s="118" t="s">
        <v>143</v>
      </c>
      <c r="C22" s="23" t="s">
        <v>156</v>
      </c>
      <c r="D22" s="23" t="s">
        <v>171</v>
      </c>
      <c r="E22" s="23" t="s">
        <v>188</v>
      </c>
      <c r="F22" s="23" t="s">
        <v>83</v>
      </c>
      <c r="G22" s="141">
        <f>'time-factors'!D$35*'time-factors'!B67</f>
        <v>1.4212396831748098</v>
      </c>
      <c r="H22" s="105">
        <f>'time-factors'!L67</f>
        <v>261.8</v>
      </c>
      <c r="I22" s="106" t="s">
        <v>98</v>
      </c>
      <c r="J22" s="96">
        <f>'time-factors'!Q$44</f>
        <v>10</v>
      </c>
      <c r="K22" s="170">
        <f>'time-factors'!K$44</f>
        <v>0.05</v>
      </c>
      <c r="L22" s="107">
        <f t="shared" si="0"/>
        <v>33.904297725956553</v>
      </c>
      <c r="M22" s="3">
        <v>0</v>
      </c>
      <c r="N22" s="23">
        <f t="shared" si="1"/>
        <v>0</v>
      </c>
      <c r="O22" s="129" cm="1">
        <f t="array" ref="O22">IFERROR(_xlfn.IFS(E22="Heavy", 'vehicle E calcs'!$H$33,E22="Cars/vans",'vehicle E calcs'!$H$32),"")</f>
        <v>7.1233383316924828</v>
      </c>
      <c r="P22" s="106">
        <v>250</v>
      </c>
      <c r="Q22" s="108">
        <f t="shared" si="2"/>
        <v>1.7808345829231207</v>
      </c>
      <c r="R22" s="107">
        <f t="shared" si="3"/>
        <v>35.685132308879673</v>
      </c>
      <c r="S22" s="107" cm="1">
        <f t="array" ref="S22">_xlfn.IFS(E22="Heavy", 'vehicle E calcs'!$T$21,E22="Cars/vans",'vehicle E calcs'!$S$21)*O22</f>
        <v>24.362584419881831</v>
      </c>
      <c r="T22" s="109">
        <v>0.27</v>
      </c>
      <c r="U22" s="23">
        <f t="shared" si="4"/>
        <v>6.5778977933680949</v>
      </c>
      <c r="V22" s="23">
        <f t="shared" si="5"/>
        <v>5.4250055914304101</v>
      </c>
      <c r="W22" s="106">
        <f t="shared" si="17"/>
        <v>168</v>
      </c>
      <c r="X22" s="23">
        <f t="shared" si="6"/>
        <v>4.0929141825401478</v>
      </c>
      <c r="Y22" s="96">
        <f t="shared" si="18"/>
        <v>0</v>
      </c>
      <c r="Z22" s="23">
        <f t="shared" si="8"/>
        <v>0</v>
      </c>
      <c r="AA22" s="107">
        <f t="shared" si="9"/>
        <v>31.592218126339525</v>
      </c>
      <c r="AB22" s="23">
        <f t="shared" si="10"/>
        <v>4.8027833692081883</v>
      </c>
      <c r="AD22" s="107">
        <f t="shared" si="11"/>
        <v>5.1542755437974757</v>
      </c>
      <c r="AE22" s="23">
        <f t="shared" si="12"/>
        <v>0</v>
      </c>
      <c r="AF22" s="108">
        <f t="shared" si="13"/>
        <v>0.27073004763293473</v>
      </c>
      <c r="AH22" s="104">
        <f t="shared" si="15"/>
        <v>1.4212396831748098</v>
      </c>
      <c r="AJ22" s="104">
        <f t="shared" si="16"/>
        <v>105.45598449157086</v>
      </c>
      <c r="AK22" s="23">
        <f t="shared" si="14"/>
        <v>4.8027833692081883</v>
      </c>
      <c r="AO22" s="23">
        <v>105.45598449157086</v>
      </c>
      <c r="AP22" s="23">
        <v>4.5299508471663126</v>
      </c>
    </row>
    <row r="23" spans="1:42" ht="14.5" customHeight="1" x14ac:dyDescent="0.35">
      <c r="A23" s="23">
        <v>18</v>
      </c>
      <c r="B23" s="119" t="s">
        <v>148</v>
      </c>
      <c r="C23" s="23" t="s">
        <v>156</v>
      </c>
      <c r="D23" s="23" t="s">
        <v>171</v>
      </c>
      <c r="E23" s="23" t="s">
        <v>188</v>
      </c>
      <c r="F23" s="23" t="s">
        <v>83</v>
      </c>
      <c r="G23" s="141">
        <f>'time-factors'!D$35*'time-factors'!B68</f>
        <v>1.4212396831748098</v>
      </c>
      <c r="H23" s="105">
        <f>'time-factors'!L68</f>
        <v>261.8</v>
      </c>
      <c r="I23" s="106" t="s">
        <v>98</v>
      </c>
      <c r="J23" s="96">
        <f>'time-factors'!Q$44</f>
        <v>10</v>
      </c>
      <c r="K23" s="170">
        <f>'time-factors'!K$44</f>
        <v>0.05</v>
      </c>
      <c r="L23" s="107">
        <f t="shared" si="0"/>
        <v>33.904297725956553</v>
      </c>
      <c r="M23" s="3">
        <v>0</v>
      </c>
      <c r="N23" s="23">
        <f t="shared" si="1"/>
        <v>0</v>
      </c>
      <c r="O23" s="129" cm="1">
        <f t="array" ref="O23">IFERROR(_xlfn.IFS(E23="Heavy", 'vehicle E calcs'!$H$33,E23="Cars/vans",'vehicle E calcs'!$H$32),"")</f>
        <v>7.1233383316924828</v>
      </c>
      <c r="P23" s="106">
        <v>250</v>
      </c>
      <c r="Q23" s="108">
        <f t="shared" si="2"/>
        <v>1.7808345829231207</v>
      </c>
      <c r="R23" s="107">
        <f t="shared" si="3"/>
        <v>35.685132308879673</v>
      </c>
      <c r="S23" s="107" cm="1">
        <f t="array" ref="S23">_xlfn.IFS(E23="Heavy", 'vehicle E calcs'!$T$21,E23="Cars/vans",'vehicle E calcs'!$S$21)*O23</f>
        <v>24.362584419881831</v>
      </c>
      <c r="T23" s="109">
        <v>0.27</v>
      </c>
      <c r="U23" s="23">
        <f t="shared" si="4"/>
        <v>6.5778977933680949</v>
      </c>
      <c r="V23" s="23">
        <f t="shared" si="5"/>
        <v>5.4250055914304101</v>
      </c>
      <c r="W23" s="106">
        <f t="shared" si="17"/>
        <v>168</v>
      </c>
      <c r="X23" s="23">
        <f t="shared" si="6"/>
        <v>4.0929141825401478</v>
      </c>
      <c r="Y23" s="96">
        <f t="shared" si="18"/>
        <v>0</v>
      </c>
      <c r="Z23" s="23">
        <f t="shared" si="8"/>
        <v>0</v>
      </c>
      <c r="AA23" s="107">
        <f t="shared" si="9"/>
        <v>31.592218126339525</v>
      </c>
      <c r="AB23" s="23">
        <f t="shared" si="10"/>
        <v>4.8027833692081883</v>
      </c>
      <c r="AD23" s="107">
        <f t="shared" si="11"/>
        <v>5.1542755437974757</v>
      </c>
      <c r="AE23" s="23">
        <f t="shared" si="12"/>
        <v>0</v>
      </c>
      <c r="AF23" s="108">
        <f t="shared" si="13"/>
        <v>0.27073004763293473</v>
      </c>
      <c r="AH23" s="104">
        <f t="shared" si="15"/>
        <v>1.4212396831748098</v>
      </c>
      <c r="AJ23" s="104">
        <f t="shared" si="16"/>
        <v>106.87722417474566</v>
      </c>
      <c r="AK23" s="23">
        <f t="shared" si="14"/>
        <v>4.8027833692081883</v>
      </c>
      <c r="AO23" s="23">
        <v>106.87722417474566</v>
      </c>
      <c r="AP23" s="23">
        <v>4.5299508471663126</v>
      </c>
    </row>
    <row r="24" spans="1:42" ht="14.5" customHeight="1" x14ac:dyDescent="0.35">
      <c r="A24" s="23">
        <v>2</v>
      </c>
      <c r="B24" s="118" t="s">
        <v>142</v>
      </c>
      <c r="C24" s="23" t="s">
        <v>139</v>
      </c>
      <c r="D24" s="23" t="s">
        <v>171</v>
      </c>
      <c r="E24" s="23" t="s">
        <v>128</v>
      </c>
      <c r="F24" s="23" t="s">
        <v>83</v>
      </c>
      <c r="G24" s="141">
        <f>'time-factors'!D$35*'time-factors'!B52</f>
        <v>2.1318595247622145</v>
      </c>
      <c r="H24" s="105">
        <f>'time-factors'!L52</f>
        <v>258.89299999999997</v>
      </c>
      <c r="I24" s="106" t="s">
        <v>98</v>
      </c>
      <c r="J24" s="96">
        <f>'time-factors'!Q$43</f>
        <v>10</v>
      </c>
      <c r="K24" s="170">
        <f>'time-factors'!K$43</f>
        <v>0.05</v>
      </c>
      <c r="L24" s="107">
        <f t="shared" si="0"/>
        <v>33.52782792653197</v>
      </c>
      <c r="M24" s="3">
        <v>0</v>
      </c>
      <c r="N24" s="23">
        <f t="shared" si="1"/>
        <v>0</v>
      </c>
      <c r="O24" s="129" cm="1">
        <f t="array" ref="O24">IFERROR(_xlfn.IFS(E24="Heavy", 'vehicle E calcs'!$H$33,E24="Cars/vans",'vehicle E calcs'!$H$32),"")</f>
        <v>6.3768270755398833</v>
      </c>
      <c r="P24" s="106">
        <v>200</v>
      </c>
      <c r="Q24" s="108">
        <f t="shared" si="2"/>
        <v>1.2753654151079765</v>
      </c>
      <c r="R24" s="107">
        <f t="shared" si="3"/>
        <v>34.803193341639947</v>
      </c>
      <c r="S24" s="107" cm="1">
        <f t="array" ref="S24">_xlfn.IFS(E24="Heavy", 'vehicle E calcs'!$T$21,E24="Cars/vans",'vehicle E calcs'!$S$21)*O24</f>
        <v>23.354986057632608</v>
      </c>
      <c r="T24" s="109">
        <v>0.27</v>
      </c>
      <c r="U24" s="23">
        <f t="shared" si="4"/>
        <v>6.3058462355608045</v>
      </c>
      <c r="V24" s="23">
        <f t="shared" si="5"/>
        <v>5.5191947347800747</v>
      </c>
      <c r="W24" s="106">
        <f t="shared" si="17"/>
        <v>168</v>
      </c>
      <c r="X24" s="23">
        <f t="shared" si="6"/>
        <v>3.9236376576822782</v>
      </c>
      <c r="Y24" s="96">
        <f t="shared" si="18"/>
        <v>0</v>
      </c>
      <c r="Z24" s="23">
        <f t="shared" si="8"/>
        <v>0</v>
      </c>
      <c r="AA24" s="107">
        <f t="shared" si="9"/>
        <v>30.879555683957669</v>
      </c>
      <c r="AB24" s="23">
        <f t="shared" si="10"/>
        <v>4.8969725125578529</v>
      </c>
      <c r="AD24" s="107">
        <f t="shared" si="11"/>
        <v>5.3169434639013531</v>
      </c>
      <c r="AE24" s="23">
        <f t="shared" si="12"/>
        <v>0</v>
      </c>
      <c r="AF24" s="108">
        <f t="shared" si="13"/>
        <v>0.20225127087872183</v>
      </c>
      <c r="AH24" s="104">
        <f t="shared" si="15"/>
        <v>2.1318595247622145</v>
      </c>
      <c r="AJ24" s="104">
        <f t="shared" si="16"/>
        <v>109.00908369950788</v>
      </c>
      <c r="AK24" s="23">
        <f t="shared" si="14"/>
        <v>4.8969725125578529</v>
      </c>
      <c r="AO24" s="23">
        <v>109.00908369950788</v>
      </c>
      <c r="AP24" s="23">
        <v>4.8969725125578529</v>
      </c>
    </row>
    <row r="25" spans="1:42" ht="14.5" customHeight="1" x14ac:dyDescent="0.35">
      <c r="A25" s="23">
        <v>5</v>
      </c>
      <c r="B25" s="118" t="s">
        <v>145</v>
      </c>
      <c r="C25" s="23" t="s">
        <v>139</v>
      </c>
      <c r="D25" s="23" t="s">
        <v>171</v>
      </c>
      <c r="E25" s="23" t="s">
        <v>188</v>
      </c>
      <c r="F25" s="23" t="s">
        <v>83</v>
      </c>
      <c r="G25" s="141">
        <f>'time-factors'!D$35*'time-factors'!B55</f>
        <v>1.4923016673335503</v>
      </c>
      <c r="H25" s="105">
        <f>'time-factors'!L55</f>
        <v>418.2</v>
      </c>
      <c r="I25" s="106" t="s">
        <v>98</v>
      </c>
      <c r="J25" s="96">
        <f>'time-factors'!Q$43</f>
        <v>10</v>
      </c>
      <c r="K25" s="170">
        <f>'time-factors'!K$43</f>
        <v>0.05</v>
      </c>
      <c r="L25" s="107">
        <f t="shared" si="0"/>
        <v>54.158813250553976</v>
      </c>
      <c r="M25" s="3">
        <v>0</v>
      </c>
      <c r="N25" s="23">
        <f t="shared" si="1"/>
        <v>0</v>
      </c>
      <c r="O25" s="129" cm="1">
        <f t="array" ref="O25">IFERROR(_xlfn.IFS(E25="Heavy", 'vehicle E calcs'!$H$33,E25="Cars/vans",'vehicle E calcs'!$H$32),"")</f>
        <v>7.1233383316924828</v>
      </c>
      <c r="P25" s="106">
        <v>200</v>
      </c>
      <c r="Q25" s="108">
        <f t="shared" si="2"/>
        <v>1.4246676663384965</v>
      </c>
      <c r="R25" s="107">
        <f t="shared" si="3"/>
        <v>55.583480916892469</v>
      </c>
      <c r="S25" s="107" cm="1">
        <f t="array" ref="S25">_xlfn.IFS(E25="Heavy", 'vehicle E calcs'!$T$21,E25="Cars/vans",'vehicle E calcs'!$S$21)*O25</f>
        <v>24.362584419881831</v>
      </c>
      <c r="T25" s="109">
        <v>0.27</v>
      </c>
      <c r="U25" s="23">
        <f t="shared" si="4"/>
        <v>6.5778977933680949</v>
      </c>
      <c r="V25" s="23">
        <f t="shared" si="5"/>
        <v>8.4500371794971212</v>
      </c>
      <c r="W25" s="106">
        <f t="shared" si="17"/>
        <v>168</v>
      </c>
      <c r="X25" s="23">
        <f t="shared" si="6"/>
        <v>4.0929141825401478</v>
      </c>
      <c r="Y25" s="96">
        <f t="shared" si="18"/>
        <v>0</v>
      </c>
      <c r="Z25" s="23">
        <f t="shared" si="8"/>
        <v>0</v>
      </c>
      <c r="AA25" s="107">
        <f t="shared" si="9"/>
        <v>51.490566734352321</v>
      </c>
      <c r="AB25" s="23">
        <f t="shared" si="10"/>
        <v>7.8278149572748985</v>
      </c>
      <c r="AD25" s="107">
        <f t="shared" si="11"/>
        <v>8.2334531413907737</v>
      </c>
      <c r="AE25" s="23">
        <f t="shared" si="12"/>
        <v>0</v>
      </c>
      <c r="AF25" s="108">
        <f t="shared" si="13"/>
        <v>0.2165840381063478</v>
      </c>
      <c r="AH25" s="104">
        <f t="shared" si="15"/>
        <v>1.4923016673335503</v>
      </c>
      <c r="AJ25" s="104">
        <f t="shared" si="16"/>
        <v>110.50138536684143</v>
      </c>
      <c r="AK25" s="23">
        <f t="shared" si="14"/>
        <v>7.8278149572748985</v>
      </c>
      <c r="AO25" s="23">
        <v>110.50138536684143</v>
      </c>
      <c r="AP25" s="23">
        <v>7.3919915779093053</v>
      </c>
    </row>
    <row r="26" spans="1:42" ht="14.5" customHeight="1" x14ac:dyDescent="0.35">
      <c r="A26" s="23">
        <v>8</v>
      </c>
      <c r="B26" s="119" t="s">
        <v>148</v>
      </c>
      <c r="C26" s="23" t="s">
        <v>139</v>
      </c>
      <c r="D26" s="23" t="s">
        <v>171</v>
      </c>
      <c r="E26" s="23" t="s">
        <v>188</v>
      </c>
      <c r="F26" s="23" t="s">
        <v>83</v>
      </c>
      <c r="G26" s="141">
        <f>'time-factors'!D$35*'time-factors'!B58</f>
        <v>1.0659297623811073</v>
      </c>
      <c r="H26" s="105">
        <f>'time-factors'!L58</f>
        <v>418.2</v>
      </c>
      <c r="I26" s="106" t="s">
        <v>98</v>
      </c>
      <c r="J26" s="96">
        <f>'time-factors'!Q$43</f>
        <v>10</v>
      </c>
      <c r="K26" s="170">
        <f>'time-factors'!K$43</f>
        <v>0.05</v>
      </c>
      <c r="L26" s="107">
        <f t="shared" si="0"/>
        <v>54.158813250553976</v>
      </c>
      <c r="M26" s="3">
        <v>0</v>
      </c>
      <c r="N26" s="23">
        <f t="shared" si="1"/>
        <v>0</v>
      </c>
      <c r="O26" s="129" cm="1">
        <f t="array" ref="O26">IFERROR(_xlfn.IFS(E26="Heavy", 'vehicle E calcs'!$H$33,E26="Cars/vans",'vehicle E calcs'!$H$32),"")</f>
        <v>7.1233383316924828</v>
      </c>
      <c r="P26" s="106">
        <v>200</v>
      </c>
      <c r="Q26" s="108">
        <f t="shared" si="2"/>
        <v>1.4246676663384965</v>
      </c>
      <c r="R26" s="107">
        <f t="shared" si="3"/>
        <v>55.583480916892469</v>
      </c>
      <c r="S26" s="107" cm="1">
        <f t="array" ref="S26">_xlfn.IFS(E26="Heavy", 'vehicle E calcs'!$T$21,E26="Cars/vans",'vehicle E calcs'!$S$21)*O26</f>
        <v>24.362584419881831</v>
      </c>
      <c r="T26" s="109">
        <v>0.27</v>
      </c>
      <c r="U26" s="23">
        <f t="shared" si="4"/>
        <v>6.5778977933680949</v>
      </c>
      <c r="V26" s="23">
        <f t="shared" si="5"/>
        <v>8.4500371794971212</v>
      </c>
      <c r="W26" s="106">
        <f t="shared" si="17"/>
        <v>168</v>
      </c>
      <c r="X26" s="23">
        <f t="shared" si="6"/>
        <v>4.0929141825401478</v>
      </c>
      <c r="Y26" s="96">
        <f t="shared" si="18"/>
        <v>0</v>
      </c>
      <c r="Z26" s="23">
        <f t="shared" si="8"/>
        <v>0</v>
      </c>
      <c r="AA26" s="107">
        <f t="shared" si="9"/>
        <v>51.490566734352321</v>
      </c>
      <c r="AB26" s="23">
        <f t="shared" si="10"/>
        <v>7.8278149572748985</v>
      </c>
      <c r="AD26" s="107">
        <f t="shared" si="11"/>
        <v>8.2334531413907737</v>
      </c>
      <c r="AE26" s="23">
        <f t="shared" si="12"/>
        <v>0</v>
      </c>
      <c r="AF26" s="108">
        <f t="shared" si="13"/>
        <v>0.2165840381063478</v>
      </c>
      <c r="AH26" s="104">
        <f t="shared" si="15"/>
        <v>1.0659297623811073</v>
      </c>
      <c r="AJ26" s="104">
        <f t="shared" si="16"/>
        <v>111.56731512922254</v>
      </c>
      <c r="AK26" s="23">
        <f t="shared" si="14"/>
        <v>7.8278149572748985</v>
      </c>
      <c r="AO26" s="23">
        <v>111.56731512922254</v>
      </c>
      <c r="AP26" s="23">
        <v>7.3919915779093053</v>
      </c>
    </row>
    <row r="27" spans="1:42" ht="14.5" customHeight="1" x14ac:dyDescent="0.35">
      <c r="A27" s="23">
        <v>10</v>
      </c>
      <c r="B27" s="118" t="s">
        <v>58</v>
      </c>
      <c r="C27" s="23" t="s">
        <v>139</v>
      </c>
      <c r="D27" s="23" t="s">
        <v>171</v>
      </c>
      <c r="E27" s="23" t="s">
        <v>188</v>
      </c>
      <c r="F27" s="23" t="s">
        <v>83</v>
      </c>
      <c r="G27" s="141">
        <f>'time-factors'!D$35*'time-factors'!B60</f>
        <v>1.4212396831748098</v>
      </c>
      <c r="H27" s="105">
        <f>'time-factors'!L60</f>
        <v>659.6</v>
      </c>
      <c r="I27" s="106" t="s">
        <v>98</v>
      </c>
      <c r="J27" s="96">
        <f>'time-factors'!Q$43</f>
        <v>10</v>
      </c>
      <c r="K27" s="170">
        <f>'time-factors'!K$43</f>
        <v>0.05</v>
      </c>
      <c r="L27" s="107">
        <f t="shared" si="0"/>
        <v>85.421217647215215</v>
      </c>
      <c r="M27" s="3">
        <v>0</v>
      </c>
      <c r="N27" s="23">
        <f t="shared" si="1"/>
        <v>0</v>
      </c>
      <c r="O27" s="129" cm="1">
        <f t="array" ref="O27">IFERROR(_xlfn.IFS(E27="Heavy", 'vehicle E calcs'!$H$33,E27="Cars/vans",'vehicle E calcs'!$H$32),"")</f>
        <v>7.1233383316924828</v>
      </c>
      <c r="P27" s="106">
        <v>200</v>
      </c>
      <c r="Q27" s="108">
        <f t="shared" si="2"/>
        <v>1.4246676663384965</v>
      </c>
      <c r="R27" s="107">
        <f t="shared" si="3"/>
        <v>86.845885313553708</v>
      </c>
      <c r="S27" s="107" cm="1">
        <f t="array" ref="S27">_xlfn.IFS(E27="Heavy", 'vehicle E calcs'!$T$21,E27="Cars/vans",'vehicle E calcs'!$S$21)*O27</f>
        <v>24.362584419881831</v>
      </c>
      <c r="T27" s="109">
        <v>0.27</v>
      </c>
      <c r="U27" s="23">
        <f t="shared" si="4"/>
        <v>6.5778977933680949</v>
      </c>
      <c r="V27" s="23">
        <f t="shared" si="5"/>
        <v>13.20268086273895</v>
      </c>
      <c r="W27" s="106">
        <f t="shared" si="17"/>
        <v>168</v>
      </c>
      <c r="X27" s="23">
        <f t="shared" si="6"/>
        <v>4.0929141825401478</v>
      </c>
      <c r="Y27" s="96">
        <f t="shared" si="18"/>
        <v>0</v>
      </c>
      <c r="Z27" s="23">
        <f t="shared" si="8"/>
        <v>0</v>
      </c>
      <c r="AA27" s="107">
        <f t="shared" si="9"/>
        <v>82.752971131013567</v>
      </c>
      <c r="AB27" s="23">
        <f t="shared" si="10"/>
        <v>12.580458640516728</v>
      </c>
      <c r="AD27" s="107">
        <f t="shared" si="11"/>
        <v>12.986096824632602</v>
      </c>
      <c r="AE27" s="23">
        <f t="shared" si="12"/>
        <v>0</v>
      </c>
      <c r="AF27" s="108">
        <f t="shared" si="13"/>
        <v>0.2165840381063478</v>
      </c>
      <c r="AH27" s="104">
        <f t="shared" si="15"/>
        <v>1.4212396831748098</v>
      </c>
      <c r="AJ27" s="104">
        <f t="shared" si="16"/>
        <v>112.98855481239734</v>
      </c>
      <c r="AK27" s="23">
        <f t="shared" si="14"/>
        <v>12.580458640516728</v>
      </c>
      <c r="AO27" s="23">
        <v>112.98855481239734</v>
      </c>
      <c r="AP27" s="23">
        <v>11.893062416151482</v>
      </c>
    </row>
    <row r="28" spans="1:42" ht="14.5" customHeight="1" x14ac:dyDescent="0.35">
      <c r="A28" s="23">
        <v>14</v>
      </c>
      <c r="B28" s="118" t="s">
        <v>152</v>
      </c>
      <c r="C28" s="23" t="s">
        <v>139</v>
      </c>
      <c r="D28" s="23" t="s">
        <v>171</v>
      </c>
      <c r="E28" s="23" t="s">
        <v>188</v>
      </c>
      <c r="F28" s="23" t="s">
        <v>83</v>
      </c>
      <c r="G28" s="141">
        <f>'time-factors'!D$35*'time-factors'!B64</f>
        <v>0.9238057940636264</v>
      </c>
      <c r="H28" s="105">
        <f>'time-factors'!L64</f>
        <v>659.6</v>
      </c>
      <c r="I28" s="106" t="s">
        <v>98</v>
      </c>
      <c r="J28" s="96">
        <f>'time-factors'!Q$43</f>
        <v>10</v>
      </c>
      <c r="K28" s="170">
        <f>'time-factors'!K$43</f>
        <v>0.05</v>
      </c>
      <c r="L28" s="107">
        <f t="shared" si="0"/>
        <v>85.421217647215215</v>
      </c>
      <c r="M28" s="3">
        <v>0</v>
      </c>
      <c r="N28" s="23">
        <f t="shared" si="1"/>
        <v>0</v>
      </c>
      <c r="O28" s="129" cm="1">
        <f t="array" ref="O28">IFERROR(_xlfn.IFS(E28="Heavy", 'vehicle E calcs'!$H$33,E28="Cars/vans",'vehicle E calcs'!$H$32),"")</f>
        <v>7.1233383316924828</v>
      </c>
      <c r="P28" s="106">
        <v>200</v>
      </c>
      <c r="Q28" s="108">
        <f t="shared" si="2"/>
        <v>1.4246676663384965</v>
      </c>
      <c r="R28" s="107">
        <f t="shared" si="3"/>
        <v>86.845885313553708</v>
      </c>
      <c r="S28" s="107" cm="1">
        <f t="array" ref="S28">_xlfn.IFS(E28="Heavy", 'vehicle E calcs'!$T$21,E28="Cars/vans",'vehicle E calcs'!$S$21)*O28</f>
        <v>24.362584419881831</v>
      </c>
      <c r="T28" s="109">
        <v>0.27</v>
      </c>
      <c r="U28" s="23">
        <f t="shared" si="4"/>
        <v>6.5778977933680949</v>
      </c>
      <c r="V28" s="23">
        <f t="shared" si="5"/>
        <v>13.20268086273895</v>
      </c>
      <c r="W28" s="106">
        <f t="shared" si="17"/>
        <v>168</v>
      </c>
      <c r="X28" s="23">
        <f t="shared" si="6"/>
        <v>4.0929141825401478</v>
      </c>
      <c r="Y28" s="96">
        <f t="shared" si="18"/>
        <v>0</v>
      </c>
      <c r="Z28" s="23">
        <f t="shared" si="8"/>
        <v>0</v>
      </c>
      <c r="AA28" s="107">
        <f t="shared" si="9"/>
        <v>82.752971131013567</v>
      </c>
      <c r="AB28" s="23">
        <f t="shared" si="10"/>
        <v>12.580458640516728</v>
      </c>
      <c r="AD28" s="107">
        <f t="shared" si="11"/>
        <v>12.986096824632602</v>
      </c>
      <c r="AE28" s="23">
        <f t="shared" si="12"/>
        <v>0</v>
      </c>
      <c r="AF28" s="108">
        <f t="shared" si="13"/>
        <v>0.2165840381063478</v>
      </c>
      <c r="AH28" s="104">
        <f t="shared" si="15"/>
        <v>0.9238057940636264</v>
      </c>
      <c r="AJ28" s="104">
        <f t="shared" si="16"/>
        <v>113.91236060646096</v>
      </c>
      <c r="AK28" s="23">
        <f t="shared" si="14"/>
        <v>12.580458640516728</v>
      </c>
      <c r="AO28" s="23">
        <v>113.91236060646096</v>
      </c>
      <c r="AP28" s="23">
        <v>11.893062416151482</v>
      </c>
    </row>
    <row r="29" spans="1:42" x14ac:dyDescent="0.35">
      <c r="B29" s="122"/>
      <c r="C29" s="24"/>
      <c r="D29" s="24"/>
      <c r="E29" s="24"/>
      <c r="F29" s="131" t="s">
        <v>50</v>
      </c>
      <c r="G29" s="104">
        <f>SUM(G4:G28)</f>
        <v>113.91236060646096</v>
      </c>
    </row>
    <row r="30" spans="1:42" x14ac:dyDescent="0.35">
      <c r="B30" s="122"/>
      <c r="C30" s="24"/>
      <c r="D30" s="24"/>
      <c r="E30" s="24"/>
      <c r="F30" s="24"/>
    </row>
    <row r="31" spans="1:42" x14ac:dyDescent="0.35">
      <c r="B31" s="123"/>
      <c r="C31" s="125"/>
      <c r="F31" s="24"/>
    </row>
    <row r="32" spans="1:42" x14ac:dyDescent="0.35">
      <c r="B32" s="123"/>
      <c r="C32" s="125"/>
    </row>
    <row r="33" spans="1:39" x14ac:dyDescent="0.35">
      <c r="B33" s="96"/>
      <c r="C33" s="96"/>
    </row>
    <row r="34" spans="1:39" x14ac:dyDescent="0.35">
      <c r="B34" s="96"/>
      <c r="C34" s="96"/>
    </row>
    <row r="45" spans="1:39" s="132" customFormat="1" x14ac:dyDescent="0.35">
      <c r="AL45" s="135"/>
      <c r="AM45" s="96"/>
    </row>
    <row r="46" spans="1:39" ht="21" x14ac:dyDescent="0.5">
      <c r="A46" s="96"/>
      <c r="B46" s="134" t="s">
        <v>254</v>
      </c>
      <c r="C46" s="136">
        <f>C1</f>
        <v>2030</v>
      </c>
      <c r="W46" s="23" t="s">
        <v>202</v>
      </c>
      <c r="AB46" s="95"/>
    </row>
    <row r="47" spans="1:39" x14ac:dyDescent="0.35">
      <c r="A47" s="96"/>
      <c r="H47" s="96"/>
      <c r="T47" s="99" t="s">
        <v>138</v>
      </c>
      <c r="W47" s="99">
        <v>1.7</v>
      </c>
      <c r="X47" s="23" t="s">
        <v>174</v>
      </c>
      <c r="Z47" s="100">
        <v>0</v>
      </c>
      <c r="AA47" s="23" t="s">
        <v>175</v>
      </c>
      <c r="AC47" s="101">
        <v>0</v>
      </c>
    </row>
    <row r="48" spans="1:39" ht="72.5" x14ac:dyDescent="0.35">
      <c r="A48" s="96"/>
      <c r="B48" s="102" t="s">
        <v>173</v>
      </c>
      <c r="C48" s="103" t="s">
        <v>95</v>
      </c>
      <c r="D48" s="103" t="s">
        <v>172</v>
      </c>
      <c r="E48" s="103" t="s">
        <v>231</v>
      </c>
      <c r="F48" s="103" t="s">
        <v>96</v>
      </c>
      <c r="G48" s="103" t="s">
        <v>205</v>
      </c>
      <c r="H48" s="103" t="s">
        <v>99</v>
      </c>
      <c r="I48" s="103" t="s">
        <v>97</v>
      </c>
      <c r="J48" s="103" t="s">
        <v>100</v>
      </c>
      <c r="K48" s="103" t="s">
        <v>101</v>
      </c>
      <c r="L48" s="103" t="s">
        <v>102</v>
      </c>
      <c r="M48" s="103" t="s">
        <v>129</v>
      </c>
      <c r="N48" s="103" t="s">
        <v>130</v>
      </c>
      <c r="O48" s="103" t="s">
        <v>132</v>
      </c>
      <c r="P48" s="103" t="s">
        <v>133</v>
      </c>
      <c r="Q48" s="103" t="s">
        <v>131</v>
      </c>
      <c r="R48" s="117" t="s">
        <v>136</v>
      </c>
      <c r="S48" s="103" t="s">
        <v>135</v>
      </c>
      <c r="T48" s="103" t="s">
        <v>134</v>
      </c>
      <c r="U48" s="103" t="s">
        <v>103</v>
      </c>
      <c r="V48" s="117" t="s">
        <v>108</v>
      </c>
      <c r="W48" s="103" t="s">
        <v>199</v>
      </c>
      <c r="X48" s="103" t="s">
        <v>104</v>
      </c>
      <c r="Y48" s="103" t="s">
        <v>105</v>
      </c>
      <c r="Z48" s="103" t="s">
        <v>106</v>
      </c>
      <c r="AA48" s="103" t="s">
        <v>137</v>
      </c>
      <c r="AB48" s="117" t="s">
        <v>107</v>
      </c>
      <c r="AD48" s="103" t="s">
        <v>167</v>
      </c>
      <c r="AE48" s="103" t="s">
        <v>168</v>
      </c>
      <c r="AF48" s="103" t="s">
        <v>169</v>
      </c>
      <c r="AJ48" s="103" t="s">
        <v>177</v>
      </c>
      <c r="AK48" s="103" t="s">
        <v>176</v>
      </c>
    </row>
    <row r="49" spans="1:37" x14ac:dyDescent="0.35">
      <c r="A49" s="96">
        <v>20</v>
      </c>
      <c r="B49" s="120" t="s">
        <v>162</v>
      </c>
      <c r="C49" s="111" t="s">
        <v>157</v>
      </c>
      <c r="D49" s="111" t="s">
        <v>170</v>
      </c>
      <c r="E49" s="111"/>
      <c r="F49" s="111" t="s">
        <v>158</v>
      </c>
      <c r="G49" s="108">
        <f>'time-factors'!D$36*'time-factors'!B70</f>
        <v>2.3928591893103803</v>
      </c>
      <c r="H49" s="105">
        <f>'time-factors'!L70</f>
        <v>0.1275</v>
      </c>
      <c r="I49" s="111" t="s">
        <v>166</v>
      </c>
      <c r="J49" s="96">
        <f>'time-factors'!Q$46</f>
        <v>20</v>
      </c>
      <c r="K49" s="170">
        <f>'time-factors'!K$46</f>
        <v>0.05</v>
      </c>
      <c r="L49" s="114">
        <f t="shared" ref="L49:L73" si="19">PMT(K49,J49,-H49)</f>
        <v>1.0230929866813142E-2</v>
      </c>
      <c r="M49" s="47">
        <v>0.02</v>
      </c>
      <c r="N49" s="111">
        <f t="shared" ref="N49:N73" si="20">M49*H49</f>
        <v>2.5500000000000002E-3</v>
      </c>
      <c r="O49" s="111">
        <v>1.5</v>
      </c>
      <c r="P49" s="111">
        <v>200</v>
      </c>
      <c r="Q49" s="115">
        <f t="shared" ref="Q49:Q73" si="21">P49*O49*0.001</f>
        <v>0.3</v>
      </c>
      <c r="R49" s="114">
        <f t="shared" ref="R49:R73" si="22">L49+N49+Q49</f>
        <v>0.31278092986681311</v>
      </c>
      <c r="S49" s="114">
        <f>2*O49</f>
        <v>3</v>
      </c>
      <c r="T49" s="114">
        <v>0.1</v>
      </c>
      <c r="U49" s="111">
        <f t="shared" ref="U49:U73" si="23">T49*S49</f>
        <v>0.30000000000000004</v>
      </c>
      <c r="V49" s="111">
        <f t="shared" ref="V49:V73" si="24">R49/U49</f>
        <v>1.0426030995560436</v>
      </c>
      <c r="W49" s="111">
        <v>200</v>
      </c>
      <c r="X49" s="111">
        <f t="shared" ref="X49:X73" si="25">W49*S49*0.001</f>
        <v>0.6</v>
      </c>
      <c r="Y49" s="111">
        <f t="shared" ref="Y49:Y55" si="26">$AC$2</f>
        <v>0</v>
      </c>
      <c r="Z49" s="111">
        <f t="shared" ref="Z49:Z73" si="27">Y49*U49</f>
        <v>0</v>
      </c>
      <c r="AA49" s="114">
        <f t="shared" ref="AA49:AA73" si="28">R49-X49-Z49</f>
        <v>-0.28721907013318687</v>
      </c>
      <c r="AB49" s="111">
        <f t="shared" ref="AB49:AB73" si="29">AA49/U49</f>
        <v>-0.95739690044395609</v>
      </c>
      <c r="AC49" s="111"/>
      <c r="AD49" s="107">
        <f t="shared" ref="AD49:AD73" si="30">L49/U49</f>
        <v>3.4103099556043799E-2</v>
      </c>
      <c r="AE49" s="23">
        <f t="shared" ref="AE49:AE73" si="31">N49/U49</f>
        <v>8.4999999999999989E-3</v>
      </c>
      <c r="AF49" s="108">
        <f t="shared" ref="AF49:AF73" si="32">Q49/U49</f>
        <v>0.99999999999999978</v>
      </c>
      <c r="AH49" s="104">
        <f>G49</f>
        <v>2.3928591893103803</v>
      </c>
      <c r="AJ49" s="104">
        <f>AH49</f>
        <v>2.3928591893103803</v>
      </c>
      <c r="AK49" s="23">
        <f t="shared" ref="AK49:AK73" si="33">AB49</f>
        <v>-0.95739690044395609</v>
      </c>
    </row>
    <row r="50" spans="1:37" x14ac:dyDescent="0.35">
      <c r="A50" s="96">
        <v>21</v>
      </c>
      <c r="B50" s="120" t="s">
        <v>160</v>
      </c>
      <c r="C50" s="48" t="s">
        <v>163</v>
      </c>
      <c r="D50" s="111" t="s">
        <v>170</v>
      </c>
      <c r="E50" s="111"/>
      <c r="F50" s="48" t="s">
        <v>158</v>
      </c>
      <c r="G50" s="108">
        <f>'time-factors'!D$36*'time-factors'!B71</f>
        <v>4.3869085137356967</v>
      </c>
      <c r="H50" s="105">
        <f>'time-factors'!L71</f>
        <v>0.21249999999999999</v>
      </c>
      <c r="I50" s="111" t="s">
        <v>166</v>
      </c>
      <c r="J50" s="96">
        <f>'time-factors'!Q$46</f>
        <v>20</v>
      </c>
      <c r="K50" s="170">
        <f>'time-factors'!K$46</f>
        <v>0.05</v>
      </c>
      <c r="L50" s="114">
        <f t="shared" si="19"/>
        <v>1.7051549778021906E-2</v>
      </c>
      <c r="M50" s="47">
        <v>0.02</v>
      </c>
      <c r="N50" s="111">
        <f t="shared" si="20"/>
        <v>4.2500000000000003E-3</v>
      </c>
      <c r="O50" s="111">
        <v>4.4000000000000004</v>
      </c>
      <c r="P50" s="111">
        <v>200</v>
      </c>
      <c r="Q50" s="115">
        <f t="shared" si="21"/>
        <v>0.88000000000000012</v>
      </c>
      <c r="R50" s="114">
        <f t="shared" si="22"/>
        <v>0.90130154977802202</v>
      </c>
      <c r="S50" s="114">
        <f>1.2*O50</f>
        <v>5.28</v>
      </c>
      <c r="T50" s="114">
        <v>0.1</v>
      </c>
      <c r="U50" s="111">
        <f t="shared" si="23"/>
        <v>0.52800000000000002</v>
      </c>
      <c r="V50" s="111">
        <f t="shared" si="24"/>
        <v>1.7070105109432234</v>
      </c>
      <c r="W50" s="111">
        <v>200</v>
      </c>
      <c r="X50" s="111">
        <f t="shared" si="25"/>
        <v>1.056</v>
      </c>
      <c r="Y50" s="111">
        <f t="shared" si="26"/>
        <v>0</v>
      </c>
      <c r="Z50" s="111">
        <f t="shared" si="27"/>
        <v>0</v>
      </c>
      <c r="AA50" s="114">
        <f t="shared" si="28"/>
        <v>-0.15469845022197803</v>
      </c>
      <c r="AB50" s="111">
        <f t="shared" si="29"/>
        <v>-0.29298948905677658</v>
      </c>
      <c r="AC50" s="111"/>
      <c r="AD50" s="107">
        <f t="shared" si="30"/>
        <v>3.2294601852314218E-2</v>
      </c>
      <c r="AE50" s="23">
        <f t="shared" si="31"/>
        <v>8.049242424242424E-3</v>
      </c>
      <c r="AF50" s="108">
        <f t="shared" si="32"/>
        <v>1.6666666666666667</v>
      </c>
      <c r="AH50" s="104">
        <f t="shared" ref="AH50:AH73" si="34">G50</f>
        <v>4.3869085137356967</v>
      </c>
      <c r="AJ50" s="104">
        <f>AJ49+AH50</f>
        <v>6.779767703046077</v>
      </c>
      <c r="AK50" s="23">
        <f t="shared" si="33"/>
        <v>-0.29298948905677658</v>
      </c>
    </row>
    <row r="51" spans="1:37" ht="29" x14ac:dyDescent="0.35">
      <c r="A51" s="96">
        <v>22</v>
      </c>
      <c r="B51" s="120" t="s">
        <v>161</v>
      </c>
      <c r="C51" s="48" t="s">
        <v>163</v>
      </c>
      <c r="D51" s="111" t="s">
        <v>170</v>
      </c>
      <c r="E51" s="111"/>
      <c r="F51" s="48" t="s">
        <v>158</v>
      </c>
      <c r="G51" s="108">
        <f>'time-factors'!D$36*'time-factors'!B72</f>
        <v>2.3928591893103803</v>
      </c>
      <c r="H51" s="105">
        <f>'time-factors'!L72</f>
        <v>0.42499999999999999</v>
      </c>
      <c r="I51" s="111" t="s">
        <v>166</v>
      </c>
      <c r="J51" s="96">
        <f>'time-factors'!Q$46</f>
        <v>20</v>
      </c>
      <c r="K51" s="170">
        <f>'time-factors'!K$46</f>
        <v>0.05</v>
      </c>
      <c r="L51" s="114">
        <f t="shared" si="19"/>
        <v>3.4103099556043813E-2</v>
      </c>
      <c r="M51" s="47">
        <v>0.02</v>
      </c>
      <c r="N51" s="111">
        <f t="shared" si="20"/>
        <v>8.5000000000000006E-3</v>
      </c>
      <c r="O51" s="111">
        <v>4.4000000000000004</v>
      </c>
      <c r="P51" s="111">
        <v>200</v>
      </c>
      <c r="Q51" s="115">
        <f t="shared" si="21"/>
        <v>0.88000000000000012</v>
      </c>
      <c r="R51" s="114">
        <f t="shared" si="22"/>
        <v>0.92260309955604392</v>
      </c>
      <c r="S51" s="114">
        <f>1.2*O51</f>
        <v>5.28</v>
      </c>
      <c r="T51" s="114">
        <v>0.1</v>
      </c>
      <c r="U51" s="111">
        <f t="shared" si="23"/>
        <v>0.52800000000000002</v>
      </c>
      <c r="V51" s="111">
        <f t="shared" si="24"/>
        <v>1.7473543552197801</v>
      </c>
      <c r="W51" s="111">
        <v>200</v>
      </c>
      <c r="X51" s="111">
        <f t="shared" si="25"/>
        <v>1.056</v>
      </c>
      <c r="Y51" s="111">
        <f t="shared" si="26"/>
        <v>0</v>
      </c>
      <c r="Z51" s="111">
        <f t="shared" si="27"/>
        <v>0</v>
      </c>
      <c r="AA51" s="114">
        <f t="shared" si="28"/>
        <v>-0.13339690044395613</v>
      </c>
      <c r="AB51" s="111">
        <f t="shared" si="29"/>
        <v>-0.25264564478021995</v>
      </c>
      <c r="AC51" s="111"/>
      <c r="AD51" s="107">
        <f t="shared" si="30"/>
        <v>6.4589203704628437E-2</v>
      </c>
      <c r="AE51" s="23">
        <f t="shared" si="31"/>
        <v>1.6098484848484848E-2</v>
      </c>
      <c r="AF51" s="108">
        <f t="shared" si="32"/>
        <v>1.6666666666666667</v>
      </c>
      <c r="AH51" s="104">
        <f t="shared" si="34"/>
        <v>2.3928591893103803</v>
      </c>
      <c r="AJ51" s="104">
        <f t="shared" ref="AJ51:AJ73" si="35">AJ50+AH51</f>
        <v>9.1726268923564582</v>
      </c>
      <c r="AK51" s="23">
        <f t="shared" si="33"/>
        <v>-0.25264564478021995</v>
      </c>
    </row>
    <row r="52" spans="1:37" x14ac:dyDescent="0.35">
      <c r="A52" s="96">
        <v>24</v>
      </c>
      <c r="B52" s="120" t="s">
        <v>165</v>
      </c>
      <c r="C52" s="120" t="s">
        <v>165</v>
      </c>
      <c r="D52" s="111" t="s">
        <v>170</v>
      </c>
      <c r="E52" s="111"/>
      <c r="F52" s="48" t="s">
        <v>158</v>
      </c>
      <c r="G52" s="108">
        <f>'time-factors'!D$36*'time-factors'!B74</f>
        <v>1.5952394595402535</v>
      </c>
      <c r="H52" s="105">
        <f>'time-factors'!L74</f>
        <v>0.42499999999999999</v>
      </c>
      <c r="I52" s="111" t="s">
        <v>166</v>
      </c>
      <c r="J52" s="96">
        <f>'time-factors'!Q$46</f>
        <v>20</v>
      </c>
      <c r="K52" s="170">
        <f>'time-factors'!K$46</f>
        <v>0.05</v>
      </c>
      <c r="L52" s="114">
        <f t="shared" si="19"/>
        <v>3.4103099556043813E-2</v>
      </c>
      <c r="M52" s="47">
        <v>0.02</v>
      </c>
      <c r="N52" s="111">
        <f t="shared" si="20"/>
        <v>8.5000000000000006E-3</v>
      </c>
      <c r="O52" s="111">
        <v>4.4000000000000004</v>
      </c>
      <c r="P52" s="111">
        <v>200</v>
      </c>
      <c r="Q52" s="115">
        <f t="shared" si="21"/>
        <v>0.88000000000000012</v>
      </c>
      <c r="R52" s="114">
        <f t="shared" si="22"/>
        <v>0.92260309955604392</v>
      </c>
      <c r="S52" s="114">
        <f>1.2*O52</f>
        <v>5.28</v>
      </c>
      <c r="T52" s="114">
        <v>0.1</v>
      </c>
      <c r="U52" s="111">
        <f t="shared" si="23"/>
        <v>0.52800000000000002</v>
      </c>
      <c r="V52" s="111">
        <f t="shared" si="24"/>
        <v>1.7473543552197801</v>
      </c>
      <c r="W52" s="111">
        <v>200</v>
      </c>
      <c r="X52" s="111">
        <f t="shared" si="25"/>
        <v>1.056</v>
      </c>
      <c r="Y52" s="111">
        <f t="shared" si="26"/>
        <v>0</v>
      </c>
      <c r="Z52" s="111">
        <f t="shared" si="27"/>
        <v>0</v>
      </c>
      <c r="AA52" s="114">
        <f t="shared" si="28"/>
        <v>-0.13339690044395613</v>
      </c>
      <c r="AB52" s="111">
        <f t="shared" si="29"/>
        <v>-0.25264564478021995</v>
      </c>
      <c r="AC52" s="111"/>
      <c r="AD52" s="107">
        <f t="shared" si="30"/>
        <v>6.4589203704628437E-2</v>
      </c>
      <c r="AE52" s="23">
        <f t="shared" si="31"/>
        <v>1.6098484848484848E-2</v>
      </c>
      <c r="AF52" s="108">
        <f t="shared" si="32"/>
        <v>1.6666666666666667</v>
      </c>
      <c r="AH52" s="104">
        <f t="shared" si="34"/>
        <v>1.5952394595402535</v>
      </c>
      <c r="AJ52" s="104">
        <f t="shared" si="35"/>
        <v>10.767866351896712</v>
      </c>
      <c r="AK52" s="23">
        <f t="shared" si="33"/>
        <v>-0.25264564478021995</v>
      </c>
    </row>
    <row r="53" spans="1:37" x14ac:dyDescent="0.35">
      <c r="A53" s="96">
        <v>23</v>
      </c>
      <c r="B53" s="120" t="s">
        <v>164</v>
      </c>
      <c r="C53" s="48" t="s">
        <v>163</v>
      </c>
      <c r="D53" s="111" t="s">
        <v>170</v>
      </c>
      <c r="E53" s="111"/>
      <c r="F53" s="48" t="s">
        <v>158</v>
      </c>
      <c r="G53" s="108">
        <f>'time-factors'!D$36*'time-factors'!B73</f>
        <v>3.9880986488506336</v>
      </c>
      <c r="H53" s="105">
        <f>'time-factors'!L73</f>
        <v>0.85</v>
      </c>
      <c r="I53" s="111" t="s">
        <v>166</v>
      </c>
      <c r="J53" s="96">
        <f>'time-factors'!Q$46</f>
        <v>20</v>
      </c>
      <c r="K53" s="170">
        <f>'time-factors'!K$46</f>
        <v>0.05</v>
      </c>
      <c r="L53" s="114">
        <f t="shared" si="19"/>
        <v>6.8206199112087626E-2</v>
      </c>
      <c r="M53" s="47">
        <v>0.02</v>
      </c>
      <c r="N53" s="111">
        <f t="shared" si="20"/>
        <v>1.7000000000000001E-2</v>
      </c>
      <c r="O53" s="111">
        <v>4.4000000000000004</v>
      </c>
      <c r="P53" s="111">
        <v>200</v>
      </c>
      <c r="Q53" s="115">
        <f t="shared" si="21"/>
        <v>0.88000000000000012</v>
      </c>
      <c r="R53" s="114">
        <f t="shared" si="22"/>
        <v>0.96520619911208771</v>
      </c>
      <c r="S53" s="114">
        <f>1.2*O53</f>
        <v>5.28</v>
      </c>
      <c r="T53" s="114">
        <v>0.1</v>
      </c>
      <c r="U53" s="111">
        <f t="shared" si="23"/>
        <v>0.52800000000000002</v>
      </c>
      <c r="V53" s="111">
        <f t="shared" si="24"/>
        <v>1.8280420437728933</v>
      </c>
      <c r="W53" s="111">
        <v>200</v>
      </c>
      <c r="X53" s="111">
        <f t="shared" si="25"/>
        <v>1.056</v>
      </c>
      <c r="Y53" s="111">
        <f t="shared" si="26"/>
        <v>0</v>
      </c>
      <c r="Z53" s="111">
        <f t="shared" si="27"/>
        <v>0</v>
      </c>
      <c r="AA53" s="114">
        <f t="shared" si="28"/>
        <v>-9.0793800887912335E-2</v>
      </c>
      <c r="AB53" s="111">
        <f t="shared" si="29"/>
        <v>-0.17195795622710669</v>
      </c>
      <c r="AC53" s="111"/>
      <c r="AD53" s="107">
        <f t="shared" si="30"/>
        <v>0.12917840740925687</v>
      </c>
      <c r="AE53" s="23">
        <f t="shared" si="31"/>
        <v>3.2196969696969696E-2</v>
      </c>
      <c r="AF53" s="108">
        <f t="shared" si="32"/>
        <v>1.6666666666666667</v>
      </c>
      <c r="AH53" s="104">
        <f t="shared" si="34"/>
        <v>3.9880986488506336</v>
      </c>
      <c r="AJ53" s="104">
        <f t="shared" si="35"/>
        <v>14.755965000747345</v>
      </c>
      <c r="AK53" s="23">
        <f t="shared" si="33"/>
        <v>-0.17195795622710669</v>
      </c>
    </row>
    <row r="54" spans="1:37" x14ac:dyDescent="0.35">
      <c r="A54" s="96">
        <v>19</v>
      </c>
      <c r="B54" s="120" t="s">
        <v>140</v>
      </c>
      <c r="C54" s="111" t="s">
        <v>157</v>
      </c>
      <c r="D54" s="111" t="s">
        <v>170</v>
      </c>
      <c r="E54" s="111"/>
      <c r="F54" s="111" t="s">
        <v>159</v>
      </c>
      <c r="G54" s="108">
        <f>'time-factors'!D$36*'time-factors'!B69</f>
        <v>4.9851233110632922</v>
      </c>
      <c r="H54" s="105">
        <f>'time-factors'!L69</f>
        <v>1.7</v>
      </c>
      <c r="I54" s="111" t="s">
        <v>166</v>
      </c>
      <c r="J54" s="96">
        <f>'time-factors'!Q$45</f>
        <v>15</v>
      </c>
      <c r="K54" s="170">
        <f>'time-factors'!K$45</f>
        <v>0.05</v>
      </c>
      <c r="L54" s="114">
        <f t="shared" si="19"/>
        <v>0.16378188893571544</v>
      </c>
      <c r="M54" s="47">
        <v>0</v>
      </c>
      <c r="N54" s="111">
        <f t="shared" si="20"/>
        <v>0</v>
      </c>
      <c r="O54" s="111">
        <v>2.63</v>
      </c>
      <c r="P54" s="111">
        <v>200</v>
      </c>
      <c r="Q54" s="115">
        <f t="shared" si="21"/>
        <v>0.52600000000000002</v>
      </c>
      <c r="R54" s="114">
        <f t="shared" si="22"/>
        <v>0.68978188893571546</v>
      </c>
      <c r="S54" s="114">
        <f>3.5*O54</f>
        <v>9.2050000000000001</v>
      </c>
      <c r="T54" s="114">
        <v>0.18</v>
      </c>
      <c r="U54" s="111">
        <f t="shared" si="23"/>
        <v>1.6569</v>
      </c>
      <c r="V54" s="111">
        <f t="shared" si="24"/>
        <v>0.41630870235724271</v>
      </c>
      <c r="W54" s="116">
        <v>103</v>
      </c>
      <c r="X54" s="111">
        <f t="shared" si="25"/>
        <v>0.94811500000000004</v>
      </c>
      <c r="Y54" s="111">
        <f t="shared" si="26"/>
        <v>0</v>
      </c>
      <c r="Z54" s="111">
        <f t="shared" si="27"/>
        <v>0</v>
      </c>
      <c r="AA54" s="114">
        <f t="shared" si="28"/>
        <v>-0.25833311106428458</v>
      </c>
      <c r="AB54" s="111">
        <f t="shared" si="29"/>
        <v>-0.15591351986497953</v>
      </c>
      <c r="AC54" s="111"/>
      <c r="AD54" s="107">
        <f t="shared" si="30"/>
        <v>9.884838489692524E-2</v>
      </c>
      <c r="AE54" s="23">
        <f t="shared" si="31"/>
        <v>0</v>
      </c>
      <c r="AF54" s="108">
        <f t="shared" si="32"/>
        <v>0.31746031746031744</v>
      </c>
      <c r="AH54" s="104">
        <f t="shared" si="34"/>
        <v>4.9851233110632922</v>
      </c>
      <c r="AJ54" s="104">
        <f t="shared" si="35"/>
        <v>19.741088311810636</v>
      </c>
      <c r="AK54" s="23">
        <f t="shared" si="33"/>
        <v>-0.15591351986497953</v>
      </c>
    </row>
    <row r="55" spans="1:37" ht="29" x14ac:dyDescent="0.35">
      <c r="A55" s="96">
        <v>25</v>
      </c>
      <c r="B55" s="121" t="s">
        <v>204</v>
      </c>
      <c r="C55" s="24" t="s">
        <v>41</v>
      </c>
      <c r="D55" s="24" t="s">
        <v>198</v>
      </c>
      <c r="E55" s="24"/>
      <c r="F55" s="24" t="s">
        <v>203</v>
      </c>
      <c r="G55" s="108">
        <f>'time-factors'!D$36*'time-factors'!B75</f>
        <v>4.9851233110632922</v>
      </c>
      <c r="H55" s="105">
        <f>'time-factors'!L75</f>
        <v>3.4849999999999994</v>
      </c>
      <c r="I55" s="53" t="s">
        <v>166</v>
      </c>
      <c r="J55" s="168">
        <f>'time-factors'!Q$47</f>
        <v>10</v>
      </c>
      <c r="K55" s="171">
        <f>'time-factors'!K$47</f>
        <v>0.05</v>
      </c>
      <c r="L55" s="55">
        <f t="shared" si="19"/>
        <v>0.45132344375461636</v>
      </c>
      <c r="M55" s="54">
        <v>0</v>
      </c>
      <c r="N55" s="53">
        <f t="shared" si="20"/>
        <v>0</v>
      </c>
      <c r="O55" s="58">
        <v>2.2000000000000002</v>
      </c>
      <c r="P55" s="53">
        <v>200</v>
      </c>
      <c r="Q55" s="56">
        <f t="shared" si="21"/>
        <v>0.44000000000000006</v>
      </c>
      <c r="R55" s="55">
        <f t="shared" si="22"/>
        <v>0.89132344375461647</v>
      </c>
      <c r="S55" s="59">
        <f>2*O55</f>
        <v>4.4000000000000004</v>
      </c>
      <c r="T55" s="59">
        <v>0.27</v>
      </c>
      <c r="U55" s="53">
        <f t="shared" si="23"/>
        <v>1.1880000000000002</v>
      </c>
      <c r="V55" s="53">
        <f t="shared" si="24"/>
        <v>0.75027225905270734</v>
      </c>
      <c r="W55" s="53">
        <v>200</v>
      </c>
      <c r="X55" s="57">
        <f t="shared" si="25"/>
        <v>0.88000000000000012</v>
      </c>
      <c r="Y55" s="53">
        <f t="shared" si="26"/>
        <v>0</v>
      </c>
      <c r="Z55" s="53">
        <f t="shared" si="27"/>
        <v>0</v>
      </c>
      <c r="AA55" s="55">
        <f t="shared" si="28"/>
        <v>1.1323443754616358E-2</v>
      </c>
      <c r="AB55" s="53">
        <f t="shared" si="29"/>
        <v>9.5315183119666306E-3</v>
      </c>
      <c r="AC55" s="53"/>
      <c r="AD55" s="107">
        <f t="shared" si="30"/>
        <v>0.37990188868233693</v>
      </c>
      <c r="AE55" s="23">
        <f t="shared" si="31"/>
        <v>0</v>
      </c>
      <c r="AF55" s="108">
        <f t="shared" si="32"/>
        <v>0.37037037037037035</v>
      </c>
      <c r="AH55" s="104">
        <f t="shared" si="34"/>
        <v>4.9851233110632922</v>
      </c>
      <c r="AJ55" s="104">
        <f t="shared" si="35"/>
        <v>24.726211622873926</v>
      </c>
      <c r="AK55" s="23">
        <f t="shared" si="33"/>
        <v>9.5315183119666306E-3</v>
      </c>
    </row>
    <row r="56" spans="1:37" x14ac:dyDescent="0.35">
      <c r="A56" s="96">
        <v>12</v>
      </c>
      <c r="B56" s="118" t="s">
        <v>151</v>
      </c>
      <c r="C56" s="23" t="s">
        <v>139</v>
      </c>
      <c r="D56" s="23" t="s">
        <v>171</v>
      </c>
      <c r="E56" s="23" t="s">
        <v>128</v>
      </c>
      <c r="F56" s="23" t="s">
        <v>83</v>
      </c>
      <c r="G56" s="108">
        <f>'time-factors'!D$36*'time-factors'!B62</f>
        <v>0.39880986488506337</v>
      </c>
      <c r="H56" s="105">
        <f>'time-factors'!L62</f>
        <v>38.25</v>
      </c>
      <c r="I56" s="106" t="s">
        <v>98</v>
      </c>
      <c r="J56" s="96">
        <f>'time-factors'!Q$43</f>
        <v>10</v>
      </c>
      <c r="K56" s="170">
        <f>'time-factors'!K$43</f>
        <v>0.05</v>
      </c>
      <c r="L56" s="107">
        <f t="shared" si="19"/>
        <v>4.9535499924287176</v>
      </c>
      <c r="M56" s="3">
        <v>0</v>
      </c>
      <c r="N56" s="23">
        <f t="shared" si="20"/>
        <v>0</v>
      </c>
      <c r="O56" s="129" cm="1">
        <f t="array" ref="O56">IFERROR(_xlfn.IFS(E56="Heavy", 'vehicle E calcs'!$H$33,E56="Cars/vans",'vehicle E calcs'!$H$32),"")</f>
        <v>6.3768270755398833</v>
      </c>
      <c r="P56" s="106">
        <v>200</v>
      </c>
      <c r="Q56" s="108">
        <f t="shared" si="21"/>
        <v>1.2753654151079765</v>
      </c>
      <c r="R56" s="107">
        <f t="shared" si="22"/>
        <v>6.2289154075366939</v>
      </c>
      <c r="S56" s="107" cm="1">
        <f t="array" ref="S56">_xlfn.IFS(E56="Heavy", 'vehicle E calcs'!$T$21,E56="Cars/vans",'vehicle E calcs'!$S$21)*O56</f>
        <v>23.354986057632608</v>
      </c>
      <c r="T56" s="109">
        <v>0.27</v>
      </c>
      <c r="U56" s="23">
        <f t="shared" si="23"/>
        <v>6.3058462355608045</v>
      </c>
      <c r="V56" s="23">
        <f t="shared" si="24"/>
        <v>0.98780007866505348</v>
      </c>
      <c r="W56" s="106">
        <f t="shared" ref="W56:W73" si="36">W$2*105</f>
        <v>168</v>
      </c>
      <c r="X56" s="23">
        <f t="shared" si="25"/>
        <v>3.9236376576822782</v>
      </c>
      <c r="Y56" s="96">
        <f t="shared" ref="Y56:Y73" si="37">$Z$2</f>
        <v>0</v>
      </c>
      <c r="Z56" s="23">
        <f t="shared" si="27"/>
        <v>0</v>
      </c>
      <c r="AA56" s="107">
        <f t="shared" si="28"/>
        <v>2.3052777498544157</v>
      </c>
      <c r="AB56" s="23">
        <f t="shared" si="29"/>
        <v>0.36557785644283125</v>
      </c>
      <c r="AD56" s="107">
        <f t="shared" si="30"/>
        <v>0.78554880778633174</v>
      </c>
      <c r="AE56" s="23">
        <f t="shared" si="31"/>
        <v>0</v>
      </c>
      <c r="AF56" s="108">
        <f t="shared" si="32"/>
        <v>0.20225127087872183</v>
      </c>
      <c r="AH56" s="104">
        <f t="shared" si="34"/>
        <v>0.39880986488506337</v>
      </c>
      <c r="AJ56" s="104">
        <f t="shared" si="35"/>
        <v>25.125021487758989</v>
      </c>
      <c r="AK56" s="23">
        <f t="shared" si="33"/>
        <v>0.36557785644283125</v>
      </c>
    </row>
    <row r="57" spans="1:37" x14ac:dyDescent="0.35">
      <c r="A57" s="96">
        <v>16</v>
      </c>
      <c r="B57" s="118" t="s">
        <v>154</v>
      </c>
      <c r="C57" s="23" t="s">
        <v>139</v>
      </c>
      <c r="D57" s="23" t="s">
        <v>171</v>
      </c>
      <c r="E57" s="23" t="s">
        <v>128</v>
      </c>
      <c r="F57" s="23" t="s">
        <v>83</v>
      </c>
      <c r="G57" s="108">
        <f>'time-factors'!D$36*'time-factors'!B66</f>
        <v>0.39880986488506337</v>
      </c>
      <c r="H57" s="105">
        <f>'time-factors'!L66</f>
        <v>38.25</v>
      </c>
      <c r="I57" s="106" t="s">
        <v>98</v>
      </c>
      <c r="J57" s="96">
        <f>'time-factors'!Q$43</f>
        <v>10</v>
      </c>
      <c r="K57" s="170">
        <f>'time-factors'!K$43</f>
        <v>0.05</v>
      </c>
      <c r="L57" s="107">
        <f t="shared" si="19"/>
        <v>4.9535499924287176</v>
      </c>
      <c r="M57" s="3">
        <v>0</v>
      </c>
      <c r="N57" s="23">
        <f t="shared" si="20"/>
        <v>0</v>
      </c>
      <c r="O57" s="129" cm="1">
        <f t="array" ref="O57">IFERROR(_xlfn.IFS(E57="Heavy", 'vehicle E calcs'!$H$33,E57="Cars/vans",'vehicle E calcs'!$H$32),"")</f>
        <v>6.3768270755398833</v>
      </c>
      <c r="P57" s="106">
        <v>200</v>
      </c>
      <c r="Q57" s="108">
        <f t="shared" si="21"/>
        <v>1.2753654151079765</v>
      </c>
      <c r="R57" s="107">
        <f t="shared" si="22"/>
        <v>6.2289154075366939</v>
      </c>
      <c r="S57" s="107" cm="1">
        <f t="array" ref="S57">_xlfn.IFS(E57="Heavy", 'vehicle E calcs'!$T$21,E57="Cars/vans",'vehicle E calcs'!$S$21)*O57</f>
        <v>23.354986057632608</v>
      </c>
      <c r="T57" s="109">
        <v>0.27</v>
      </c>
      <c r="U57" s="23">
        <f t="shared" si="23"/>
        <v>6.3058462355608045</v>
      </c>
      <c r="V57" s="23">
        <f t="shared" si="24"/>
        <v>0.98780007866505348</v>
      </c>
      <c r="W57" s="106">
        <f t="shared" si="36"/>
        <v>168</v>
      </c>
      <c r="X57" s="23">
        <f t="shared" si="25"/>
        <v>3.9236376576822782</v>
      </c>
      <c r="Y57" s="96">
        <f t="shared" si="37"/>
        <v>0</v>
      </c>
      <c r="Z57" s="23">
        <f t="shared" si="27"/>
        <v>0</v>
      </c>
      <c r="AA57" s="107">
        <f t="shared" si="28"/>
        <v>2.3052777498544157</v>
      </c>
      <c r="AB57" s="23">
        <f t="shared" si="29"/>
        <v>0.36557785644283125</v>
      </c>
      <c r="AD57" s="107">
        <f t="shared" si="30"/>
        <v>0.78554880778633174</v>
      </c>
      <c r="AE57" s="23">
        <f t="shared" si="31"/>
        <v>0</v>
      </c>
      <c r="AF57" s="108">
        <f t="shared" si="32"/>
        <v>0.20225127087872183</v>
      </c>
      <c r="AH57" s="104">
        <f t="shared" si="34"/>
        <v>0.39880986488506337</v>
      </c>
      <c r="AJ57" s="104">
        <f t="shared" si="35"/>
        <v>25.523831352644052</v>
      </c>
      <c r="AK57" s="23">
        <f t="shared" si="33"/>
        <v>0.36557785644283125</v>
      </c>
    </row>
    <row r="58" spans="1:37" ht="45.5" x14ac:dyDescent="0.35">
      <c r="A58" s="96">
        <v>13</v>
      </c>
      <c r="B58" s="118" t="s">
        <v>232</v>
      </c>
      <c r="C58" s="23" t="s">
        <v>139</v>
      </c>
      <c r="D58" s="23" t="s">
        <v>171</v>
      </c>
      <c r="E58" s="23" t="s">
        <v>188</v>
      </c>
      <c r="F58" s="23" t="s">
        <v>83</v>
      </c>
      <c r="G58" s="108">
        <f>'time-factors'!D$36*'time-factors'!B63</f>
        <v>0.43869085137356972</v>
      </c>
      <c r="H58" s="105">
        <f>'time-factors'!L63</f>
        <v>65.875</v>
      </c>
      <c r="I58" s="106" t="s">
        <v>98</v>
      </c>
      <c r="J58" s="96">
        <f>'time-factors'!Q$43</f>
        <v>10</v>
      </c>
      <c r="K58" s="170">
        <f>'time-factors'!K$43</f>
        <v>0.05</v>
      </c>
      <c r="L58" s="107">
        <f t="shared" si="19"/>
        <v>8.5311138758494582</v>
      </c>
      <c r="M58" s="3">
        <v>0</v>
      </c>
      <c r="N58" s="23">
        <f t="shared" si="20"/>
        <v>0</v>
      </c>
      <c r="O58" s="129" cm="1">
        <f t="array" ref="O58">IFERROR(_xlfn.IFS(E58="Heavy", 'vehicle E calcs'!$H$33,E58="Cars/vans",'vehicle E calcs'!$H$32),"")</f>
        <v>7.1233383316924828</v>
      </c>
      <c r="P58" s="106">
        <v>200</v>
      </c>
      <c r="Q58" s="108">
        <f t="shared" si="21"/>
        <v>1.4246676663384965</v>
      </c>
      <c r="R58" s="107">
        <f t="shared" si="22"/>
        <v>9.955781542187955</v>
      </c>
      <c r="S58" s="107" cm="1">
        <f t="array" ref="S58">_xlfn.IFS(E58="Heavy", 'vehicle E calcs'!$T$21,E58="Cars/vans",'vehicle E calcs'!$S$21)*O58</f>
        <v>24.362584419881831</v>
      </c>
      <c r="T58" s="109">
        <v>0.27</v>
      </c>
      <c r="U58" s="23">
        <f t="shared" si="23"/>
        <v>6.5778977933680949</v>
      </c>
      <c r="V58" s="23">
        <f t="shared" si="24"/>
        <v>1.5135202544839597</v>
      </c>
      <c r="W58" s="106">
        <f t="shared" si="36"/>
        <v>168</v>
      </c>
      <c r="X58" s="23">
        <f t="shared" si="25"/>
        <v>4.0929141825401478</v>
      </c>
      <c r="Y58" s="96">
        <f t="shared" si="37"/>
        <v>0</v>
      </c>
      <c r="Z58" s="23">
        <f t="shared" si="27"/>
        <v>0</v>
      </c>
      <c r="AA58" s="107">
        <f t="shared" si="28"/>
        <v>5.8628673596478071</v>
      </c>
      <c r="AB58" s="23">
        <f t="shared" si="29"/>
        <v>0.89129803226173732</v>
      </c>
      <c r="AD58" s="107">
        <f t="shared" si="30"/>
        <v>1.2969362163776117</v>
      </c>
      <c r="AE58" s="23">
        <f t="shared" si="31"/>
        <v>0</v>
      </c>
      <c r="AF58" s="108">
        <f t="shared" si="32"/>
        <v>0.2165840381063478</v>
      </c>
      <c r="AH58" s="104">
        <f t="shared" si="34"/>
        <v>0.43869085137356972</v>
      </c>
      <c r="AJ58" s="104">
        <f t="shared" si="35"/>
        <v>25.96252220401762</v>
      </c>
      <c r="AK58" s="23">
        <f t="shared" si="33"/>
        <v>0.89129803226173732</v>
      </c>
    </row>
    <row r="59" spans="1:37" x14ac:dyDescent="0.35">
      <c r="A59" s="96">
        <v>11</v>
      </c>
      <c r="B59" s="118" t="s">
        <v>150</v>
      </c>
      <c r="C59" s="23" t="s">
        <v>139</v>
      </c>
      <c r="D59" s="23" t="s">
        <v>171</v>
      </c>
      <c r="E59" s="23" t="s">
        <v>128</v>
      </c>
      <c r="F59" s="23" t="s">
        <v>83</v>
      </c>
      <c r="G59" s="108">
        <f>'time-factors'!D$36*'time-factors'!B61</f>
        <v>0.19940493244253168</v>
      </c>
      <c r="H59" s="105">
        <f>'time-factors'!L61</f>
        <v>65.875</v>
      </c>
      <c r="I59" s="106" t="s">
        <v>98</v>
      </c>
      <c r="J59" s="96">
        <f>'time-factors'!Q$43</f>
        <v>10</v>
      </c>
      <c r="K59" s="170">
        <f>'time-factors'!K$43</f>
        <v>0.05</v>
      </c>
      <c r="L59" s="107">
        <f t="shared" si="19"/>
        <v>8.5311138758494582</v>
      </c>
      <c r="M59" s="3">
        <v>0</v>
      </c>
      <c r="N59" s="23">
        <f t="shared" si="20"/>
        <v>0</v>
      </c>
      <c r="O59" s="129" cm="1">
        <f t="array" ref="O59">IFERROR(_xlfn.IFS(E59="Heavy", 'vehicle E calcs'!$H$33,E59="Cars/vans",'vehicle E calcs'!$H$32),"")</f>
        <v>6.3768270755398833</v>
      </c>
      <c r="P59" s="106">
        <v>200</v>
      </c>
      <c r="Q59" s="108">
        <f t="shared" si="21"/>
        <v>1.2753654151079765</v>
      </c>
      <c r="R59" s="107">
        <f t="shared" si="22"/>
        <v>9.8064792909574354</v>
      </c>
      <c r="S59" s="107" cm="1">
        <f t="array" ref="S59">_xlfn.IFS(E59="Heavy", 'vehicle E calcs'!$T$21,E59="Cars/vans",'vehicle E calcs'!$S$21)*O59</f>
        <v>23.354986057632608</v>
      </c>
      <c r="T59" s="109">
        <v>0.27</v>
      </c>
      <c r="U59" s="23">
        <f t="shared" si="23"/>
        <v>6.3058462355608045</v>
      </c>
      <c r="V59" s="23">
        <f t="shared" si="24"/>
        <v>1.5551408842885155</v>
      </c>
      <c r="W59" s="106">
        <f t="shared" si="36"/>
        <v>168</v>
      </c>
      <c r="X59" s="23">
        <f t="shared" si="25"/>
        <v>3.9236376576822782</v>
      </c>
      <c r="Y59" s="96">
        <f t="shared" si="37"/>
        <v>0</v>
      </c>
      <c r="Z59" s="23">
        <f t="shared" si="27"/>
        <v>0</v>
      </c>
      <c r="AA59" s="107">
        <f t="shared" si="28"/>
        <v>5.8828416332751576</v>
      </c>
      <c r="AB59" s="23">
        <f t="shared" si="29"/>
        <v>0.93291866206629326</v>
      </c>
      <c r="AD59" s="107">
        <f t="shared" si="30"/>
        <v>1.3528896134097934</v>
      </c>
      <c r="AE59" s="23">
        <f t="shared" si="31"/>
        <v>0</v>
      </c>
      <c r="AF59" s="108">
        <f t="shared" si="32"/>
        <v>0.20225127087872183</v>
      </c>
      <c r="AH59" s="104">
        <f t="shared" si="34"/>
        <v>0.19940493244253168</v>
      </c>
      <c r="AJ59" s="104">
        <f t="shared" si="35"/>
        <v>26.161927136460154</v>
      </c>
      <c r="AK59" s="23">
        <f t="shared" si="33"/>
        <v>0.93291866206629326</v>
      </c>
    </row>
    <row r="60" spans="1:37" x14ac:dyDescent="0.35">
      <c r="A60" s="96">
        <v>6</v>
      </c>
      <c r="B60" s="118" t="s">
        <v>146</v>
      </c>
      <c r="C60" s="23" t="s">
        <v>139</v>
      </c>
      <c r="D60" s="23" t="s">
        <v>171</v>
      </c>
      <c r="E60" s="23" t="s">
        <v>188</v>
      </c>
      <c r="F60" s="23" t="s">
        <v>83</v>
      </c>
      <c r="G60" s="108">
        <f>'time-factors'!D$36*'time-factors'!B56</f>
        <v>0.57827430408334191</v>
      </c>
      <c r="H60" s="105">
        <f>'time-factors'!L56</f>
        <v>126.348488</v>
      </c>
      <c r="I60" s="106" t="s">
        <v>98</v>
      </c>
      <c r="J60" s="96">
        <f>'time-factors'!Q$43</f>
        <v>10</v>
      </c>
      <c r="K60" s="170">
        <f>'time-factors'!K$43</f>
        <v>0.05</v>
      </c>
      <c r="L60" s="107">
        <f t="shared" si="19"/>
        <v>16.362707235968102</v>
      </c>
      <c r="M60" s="3">
        <v>0</v>
      </c>
      <c r="N60" s="23">
        <f t="shared" si="20"/>
        <v>0</v>
      </c>
      <c r="O60" s="129" cm="1">
        <f t="array" ref="O60">IFERROR(_xlfn.IFS(E60="Heavy", 'vehicle E calcs'!$H$33,E60="Cars/vans",'vehicle E calcs'!$H$32),"")</f>
        <v>7.1233383316924828</v>
      </c>
      <c r="P60" s="106">
        <v>200</v>
      </c>
      <c r="Q60" s="108">
        <f t="shared" si="21"/>
        <v>1.4246676663384965</v>
      </c>
      <c r="R60" s="107">
        <f t="shared" si="22"/>
        <v>17.787374902306599</v>
      </c>
      <c r="S60" s="107" cm="1">
        <f t="array" ref="S60">_xlfn.IFS(E60="Heavy", 'vehicle E calcs'!$T$21,E60="Cars/vans",'vehicle E calcs'!$S$21)*O60</f>
        <v>24.362584419881831</v>
      </c>
      <c r="T60" s="109">
        <v>0.27</v>
      </c>
      <c r="U60" s="23">
        <f t="shared" si="23"/>
        <v>6.5778977933680949</v>
      </c>
      <c r="V60" s="23">
        <f t="shared" si="24"/>
        <v>2.7041123868236467</v>
      </c>
      <c r="W60" s="106">
        <f t="shared" si="36"/>
        <v>168</v>
      </c>
      <c r="X60" s="23">
        <f t="shared" si="25"/>
        <v>4.0929141825401478</v>
      </c>
      <c r="Y60" s="96">
        <f t="shared" si="37"/>
        <v>0</v>
      </c>
      <c r="Z60" s="23">
        <f t="shared" si="27"/>
        <v>0</v>
      </c>
      <c r="AA60" s="107">
        <f t="shared" si="28"/>
        <v>13.69446071976645</v>
      </c>
      <c r="AB60" s="23">
        <f t="shared" si="29"/>
        <v>2.0818901646014245</v>
      </c>
      <c r="AD60" s="107">
        <f t="shared" si="30"/>
        <v>2.4875283487172992</v>
      </c>
      <c r="AE60" s="23">
        <f t="shared" si="31"/>
        <v>0</v>
      </c>
      <c r="AF60" s="108">
        <f t="shared" si="32"/>
        <v>0.2165840381063478</v>
      </c>
      <c r="AH60" s="104">
        <f t="shared" si="34"/>
        <v>0.57827430408334191</v>
      </c>
      <c r="AJ60" s="104">
        <f t="shared" si="35"/>
        <v>26.740201440543494</v>
      </c>
      <c r="AK60" s="23">
        <f t="shared" si="33"/>
        <v>2.0818901646014245</v>
      </c>
    </row>
    <row r="61" spans="1:37" x14ac:dyDescent="0.35">
      <c r="A61" s="96">
        <v>1</v>
      </c>
      <c r="B61" s="118" t="s">
        <v>141</v>
      </c>
      <c r="C61" s="23" t="s">
        <v>139</v>
      </c>
      <c r="D61" s="23" t="s">
        <v>171</v>
      </c>
      <c r="E61" s="23" t="s">
        <v>128</v>
      </c>
      <c r="F61" s="23" t="s">
        <v>83</v>
      </c>
      <c r="G61" s="108">
        <f>'time-factors'!D$36*'time-factors'!B51</f>
        <v>0.69791726354886086</v>
      </c>
      <c r="H61" s="105">
        <f>'time-factors'!L51</f>
        <v>169.216725</v>
      </c>
      <c r="I61" s="106" t="s">
        <v>98</v>
      </c>
      <c r="J61" s="96">
        <f>'time-factors'!Q$43</f>
        <v>10</v>
      </c>
      <c r="K61" s="170">
        <f>'time-factors'!K$43</f>
        <v>0.05</v>
      </c>
      <c r="L61" s="107">
        <f t="shared" si="19"/>
        <v>21.914340048171567</v>
      </c>
      <c r="M61" s="3">
        <v>0</v>
      </c>
      <c r="N61" s="23">
        <f t="shared" si="20"/>
        <v>0</v>
      </c>
      <c r="O61" s="129" cm="1">
        <f t="array" ref="O61">IFERROR(_xlfn.IFS(E61="Heavy", 'vehicle E calcs'!$H$33,E61="Cars/vans",'vehicle E calcs'!$H$32),"")</f>
        <v>6.3768270755398833</v>
      </c>
      <c r="P61" s="106">
        <v>200</v>
      </c>
      <c r="Q61" s="108">
        <f t="shared" si="21"/>
        <v>1.2753654151079765</v>
      </c>
      <c r="R61" s="107">
        <f t="shared" si="22"/>
        <v>23.189705463279545</v>
      </c>
      <c r="S61" s="107" cm="1">
        <f t="array" ref="S61">_xlfn.IFS(E61="Heavy", 'vehicle E calcs'!$T$21,E61="Cars/vans",'vehicle E calcs'!$S$21)*O61</f>
        <v>23.354986057632608</v>
      </c>
      <c r="T61" s="109">
        <v>0.27</v>
      </c>
      <c r="U61" s="23">
        <f t="shared" si="23"/>
        <v>6.3058462355608045</v>
      </c>
      <c r="V61" s="23">
        <f t="shared" si="24"/>
        <v>3.6774930115651938</v>
      </c>
      <c r="W61" s="106">
        <f t="shared" si="36"/>
        <v>168</v>
      </c>
      <c r="X61" s="23">
        <f t="shared" si="25"/>
        <v>3.9236376576822782</v>
      </c>
      <c r="Y61" s="96">
        <f t="shared" si="37"/>
        <v>0</v>
      </c>
      <c r="Z61" s="23">
        <f t="shared" si="27"/>
        <v>0</v>
      </c>
      <c r="AA61" s="107">
        <f t="shared" si="28"/>
        <v>19.266067805597267</v>
      </c>
      <c r="AB61" s="23">
        <f t="shared" si="29"/>
        <v>3.055270789342972</v>
      </c>
      <c r="AD61" s="107">
        <f t="shared" si="30"/>
        <v>3.4752417406864722</v>
      </c>
      <c r="AE61" s="23">
        <f t="shared" si="31"/>
        <v>0</v>
      </c>
      <c r="AF61" s="108">
        <f t="shared" si="32"/>
        <v>0.20225127087872183</v>
      </c>
      <c r="AH61" s="104">
        <f t="shared" si="34"/>
        <v>0.69791726354886086</v>
      </c>
      <c r="AJ61" s="104">
        <f t="shared" si="35"/>
        <v>27.438118704092354</v>
      </c>
      <c r="AK61" s="23">
        <f t="shared" si="33"/>
        <v>3.055270789342972</v>
      </c>
    </row>
    <row r="62" spans="1:37" x14ac:dyDescent="0.35">
      <c r="A62" s="96">
        <v>4</v>
      </c>
      <c r="B62" s="118" t="s">
        <v>144</v>
      </c>
      <c r="C62" s="23" t="s">
        <v>139</v>
      </c>
      <c r="D62" s="23" t="s">
        <v>171</v>
      </c>
      <c r="E62" s="23" t="s">
        <v>188</v>
      </c>
      <c r="F62" s="23" t="s">
        <v>83</v>
      </c>
      <c r="G62" s="108">
        <f>'time-factors'!D$36*'time-factors'!B54</f>
        <v>0.29910739866379754</v>
      </c>
      <c r="H62" s="105">
        <f>'time-factors'!L54</f>
        <v>244.79999999999998</v>
      </c>
      <c r="I62" s="106" t="s">
        <v>98</v>
      </c>
      <c r="J62" s="96">
        <f>'time-factors'!Q$43</f>
        <v>10</v>
      </c>
      <c r="K62" s="170">
        <f>'time-factors'!K$43</f>
        <v>0.05</v>
      </c>
      <c r="L62" s="107">
        <f t="shared" si="19"/>
        <v>31.702719951543788</v>
      </c>
      <c r="M62" s="3">
        <v>0</v>
      </c>
      <c r="N62" s="23">
        <f t="shared" si="20"/>
        <v>0</v>
      </c>
      <c r="O62" s="129" cm="1">
        <f t="array" ref="O62">IFERROR(_xlfn.IFS(E62="Heavy", 'vehicle E calcs'!$H$33,E62="Cars/vans",'vehicle E calcs'!$H$32),"")</f>
        <v>7.1233383316924828</v>
      </c>
      <c r="P62" s="106">
        <v>200</v>
      </c>
      <c r="Q62" s="108">
        <f t="shared" si="21"/>
        <v>1.4246676663384965</v>
      </c>
      <c r="R62" s="107">
        <f t="shared" si="22"/>
        <v>33.127387617882285</v>
      </c>
      <c r="S62" s="107" cm="1">
        <f t="array" ref="S62">_xlfn.IFS(E62="Heavy", 'vehicle E calcs'!$T$21,E62="Cars/vans",'vehicle E calcs'!$S$21)*O62</f>
        <v>24.362584419881831</v>
      </c>
      <c r="T62" s="109">
        <v>0.27</v>
      </c>
      <c r="U62" s="23">
        <f t="shared" si="23"/>
        <v>6.5778977933680949</v>
      </c>
      <c r="V62" s="23">
        <f t="shared" si="24"/>
        <v>5.0361663647741173</v>
      </c>
      <c r="W62" s="106">
        <f t="shared" si="36"/>
        <v>168</v>
      </c>
      <c r="X62" s="23">
        <f t="shared" si="25"/>
        <v>4.0929141825401478</v>
      </c>
      <c r="Y62" s="96">
        <f t="shared" si="37"/>
        <v>0</v>
      </c>
      <c r="Z62" s="23">
        <f t="shared" si="27"/>
        <v>0</v>
      </c>
      <c r="AA62" s="107">
        <f t="shared" si="28"/>
        <v>29.034473435342136</v>
      </c>
      <c r="AB62" s="23">
        <f t="shared" si="29"/>
        <v>4.4139441425518946</v>
      </c>
      <c r="AD62" s="107">
        <f t="shared" si="30"/>
        <v>4.8195823266677689</v>
      </c>
      <c r="AE62" s="23">
        <f t="shared" si="31"/>
        <v>0</v>
      </c>
      <c r="AF62" s="108">
        <f t="shared" si="32"/>
        <v>0.2165840381063478</v>
      </c>
      <c r="AH62" s="104">
        <f t="shared" si="34"/>
        <v>0.29910739866379754</v>
      </c>
      <c r="AJ62" s="104">
        <f t="shared" si="35"/>
        <v>27.73722610275615</v>
      </c>
      <c r="AK62" s="23">
        <f t="shared" si="33"/>
        <v>4.4139441425518946</v>
      </c>
    </row>
    <row r="63" spans="1:37" ht="29" x14ac:dyDescent="0.35">
      <c r="A63" s="96">
        <v>7</v>
      </c>
      <c r="B63" s="118" t="s">
        <v>147</v>
      </c>
      <c r="C63" s="23" t="s">
        <v>139</v>
      </c>
      <c r="D63" s="23" t="s">
        <v>171</v>
      </c>
      <c r="E63" s="23" t="s">
        <v>188</v>
      </c>
      <c r="F63" s="23" t="s">
        <v>83</v>
      </c>
      <c r="G63" s="108">
        <f>'time-factors'!D$36*'time-factors'!B57</f>
        <v>0.4985123311063292</v>
      </c>
      <c r="H63" s="105">
        <f>'time-factors'!L57</f>
        <v>244.79999999999998</v>
      </c>
      <c r="I63" s="106" t="s">
        <v>98</v>
      </c>
      <c r="J63" s="96">
        <f>'time-factors'!Q$43</f>
        <v>10</v>
      </c>
      <c r="K63" s="170">
        <f>'time-factors'!K$43</f>
        <v>0.05</v>
      </c>
      <c r="L63" s="107">
        <f t="shared" si="19"/>
        <v>31.702719951543788</v>
      </c>
      <c r="M63" s="3">
        <v>0</v>
      </c>
      <c r="N63" s="23">
        <f t="shared" si="20"/>
        <v>0</v>
      </c>
      <c r="O63" s="129" cm="1">
        <f t="array" ref="O63">IFERROR(_xlfn.IFS(E63="Heavy", 'vehicle E calcs'!$H$33,E63="Cars/vans",'vehicle E calcs'!$H$32),"")</f>
        <v>7.1233383316924828</v>
      </c>
      <c r="P63" s="106">
        <v>200</v>
      </c>
      <c r="Q63" s="108">
        <f t="shared" si="21"/>
        <v>1.4246676663384965</v>
      </c>
      <c r="R63" s="107">
        <f t="shared" si="22"/>
        <v>33.127387617882285</v>
      </c>
      <c r="S63" s="107" cm="1">
        <f t="array" ref="S63">_xlfn.IFS(E63="Heavy", 'vehicle E calcs'!$T$21,E63="Cars/vans",'vehicle E calcs'!$S$21)*O63</f>
        <v>24.362584419881831</v>
      </c>
      <c r="T63" s="109">
        <v>0.27</v>
      </c>
      <c r="U63" s="23">
        <f t="shared" si="23"/>
        <v>6.5778977933680949</v>
      </c>
      <c r="V63" s="23">
        <f t="shared" si="24"/>
        <v>5.0361663647741173</v>
      </c>
      <c r="W63" s="106">
        <f t="shared" si="36"/>
        <v>168</v>
      </c>
      <c r="X63" s="23">
        <f t="shared" si="25"/>
        <v>4.0929141825401478</v>
      </c>
      <c r="Y63" s="96">
        <f t="shared" si="37"/>
        <v>0</v>
      </c>
      <c r="Z63" s="23">
        <f t="shared" si="27"/>
        <v>0</v>
      </c>
      <c r="AA63" s="107">
        <f t="shared" si="28"/>
        <v>29.034473435342136</v>
      </c>
      <c r="AB63" s="23">
        <f t="shared" si="29"/>
        <v>4.4139441425518946</v>
      </c>
      <c r="AD63" s="107">
        <f t="shared" si="30"/>
        <v>4.8195823266677689</v>
      </c>
      <c r="AE63" s="23">
        <f t="shared" si="31"/>
        <v>0</v>
      </c>
      <c r="AF63" s="108">
        <f t="shared" si="32"/>
        <v>0.2165840381063478</v>
      </c>
      <c r="AH63" s="104">
        <f t="shared" si="34"/>
        <v>0.4985123311063292</v>
      </c>
      <c r="AJ63" s="104">
        <f t="shared" si="35"/>
        <v>28.23573843386248</v>
      </c>
      <c r="AK63" s="23">
        <f t="shared" si="33"/>
        <v>4.4139441425518946</v>
      </c>
    </row>
    <row r="64" spans="1:37" x14ac:dyDescent="0.35">
      <c r="A64" s="96">
        <v>9</v>
      </c>
      <c r="B64" s="118" t="s">
        <v>149</v>
      </c>
      <c r="C64" s="23" t="s">
        <v>139</v>
      </c>
      <c r="D64" s="23" t="s">
        <v>171</v>
      </c>
      <c r="E64" s="23" t="s">
        <v>188</v>
      </c>
      <c r="F64" s="23" t="s">
        <v>83</v>
      </c>
      <c r="G64" s="108">
        <f>'time-factors'!D$36*'time-factors'!B59</f>
        <v>0.19940493244253168</v>
      </c>
      <c r="H64" s="105">
        <f>'time-factors'!L59</f>
        <v>244.79999999999998</v>
      </c>
      <c r="I64" s="106" t="s">
        <v>98</v>
      </c>
      <c r="J64" s="96">
        <f>'time-factors'!Q$43</f>
        <v>10</v>
      </c>
      <c r="K64" s="170">
        <f>'time-factors'!K$43</f>
        <v>0.05</v>
      </c>
      <c r="L64" s="107">
        <f t="shared" si="19"/>
        <v>31.702719951543788</v>
      </c>
      <c r="M64" s="3">
        <v>0</v>
      </c>
      <c r="N64" s="23">
        <f t="shared" si="20"/>
        <v>0</v>
      </c>
      <c r="O64" s="129" cm="1">
        <f t="array" ref="O64">IFERROR(_xlfn.IFS(E64="Heavy", 'vehicle E calcs'!$H$33,E64="Cars/vans",'vehicle E calcs'!$H$32),"")</f>
        <v>7.1233383316924828</v>
      </c>
      <c r="P64" s="106">
        <v>200</v>
      </c>
      <c r="Q64" s="108">
        <f t="shared" si="21"/>
        <v>1.4246676663384965</v>
      </c>
      <c r="R64" s="107">
        <f t="shared" si="22"/>
        <v>33.127387617882285</v>
      </c>
      <c r="S64" s="107" cm="1">
        <f t="array" ref="S64">_xlfn.IFS(E64="Heavy", 'vehicle E calcs'!$T$21,E64="Cars/vans",'vehicle E calcs'!$S$21)*O64</f>
        <v>24.362584419881831</v>
      </c>
      <c r="T64" s="109">
        <v>0.27</v>
      </c>
      <c r="U64" s="23">
        <f t="shared" si="23"/>
        <v>6.5778977933680949</v>
      </c>
      <c r="V64" s="23">
        <f t="shared" si="24"/>
        <v>5.0361663647741173</v>
      </c>
      <c r="W64" s="106">
        <f t="shared" si="36"/>
        <v>168</v>
      </c>
      <c r="X64" s="23">
        <f t="shared" si="25"/>
        <v>4.0929141825401478</v>
      </c>
      <c r="Y64" s="96">
        <f t="shared" si="37"/>
        <v>0</v>
      </c>
      <c r="Z64" s="23">
        <f t="shared" si="27"/>
        <v>0</v>
      </c>
      <c r="AA64" s="107">
        <f t="shared" si="28"/>
        <v>29.034473435342136</v>
      </c>
      <c r="AB64" s="23">
        <f t="shared" si="29"/>
        <v>4.4139441425518946</v>
      </c>
      <c r="AD64" s="107">
        <f t="shared" si="30"/>
        <v>4.8195823266677689</v>
      </c>
      <c r="AE64" s="23">
        <f t="shared" si="31"/>
        <v>0</v>
      </c>
      <c r="AF64" s="108">
        <f t="shared" si="32"/>
        <v>0.2165840381063478</v>
      </c>
      <c r="AH64" s="104">
        <f t="shared" si="34"/>
        <v>0.19940493244253168</v>
      </c>
      <c r="AJ64" s="104">
        <f t="shared" si="35"/>
        <v>28.435143366305013</v>
      </c>
      <c r="AK64" s="23">
        <f t="shared" si="33"/>
        <v>4.4139441425518946</v>
      </c>
    </row>
    <row r="65" spans="1:37" x14ac:dyDescent="0.35">
      <c r="A65" s="96">
        <v>15</v>
      </c>
      <c r="B65" s="118" t="s">
        <v>153</v>
      </c>
      <c r="C65" s="23" t="s">
        <v>139</v>
      </c>
      <c r="D65" s="23" t="s">
        <v>171</v>
      </c>
      <c r="E65" s="23" t="s">
        <v>188</v>
      </c>
      <c r="F65" s="23" t="s">
        <v>83</v>
      </c>
      <c r="G65" s="108">
        <f>'time-factors'!D$36*'time-factors'!B65</f>
        <v>0.31904789190805072</v>
      </c>
      <c r="H65" s="105">
        <f>'time-factors'!L65</f>
        <v>244.79999999999998</v>
      </c>
      <c r="I65" s="106" t="s">
        <v>98</v>
      </c>
      <c r="J65" s="96">
        <f>'time-factors'!Q$43</f>
        <v>10</v>
      </c>
      <c r="K65" s="170">
        <f>'time-factors'!K$43</f>
        <v>0.05</v>
      </c>
      <c r="L65" s="107">
        <f t="shared" si="19"/>
        <v>31.702719951543788</v>
      </c>
      <c r="M65" s="3">
        <v>0</v>
      </c>
      <c r="N65" s="23">
        <f t="shared" si="20"/>
        <v>0</v>
      </c>
      <c r="O65" s="129" cm="1">
        <f t="array" ref="O65">IFERROR(_xlfn.IFS(E65="Heavy", 'vehicle E calcs'!$H$33,E65="Cars/vans",'vehicle E calcs'!$H$32),"")</f>
        <v>7.1233383316924828</v>
      </c>
      <c r="P65" s="106">
        <v>200</v>
      </c>
      <c r="Q65" s="108">
        <f t="shared" si="21"/>
        <v>1.4246676663384965</v>
      </c>
      <c r="R65" s="107">
        <f t="shared" si="22"/>
        <v>33.127387617882285</v>
      </c>
      <c r="S65" s="107" cm="1">
        <f t="array" ref="S65">_xlfn.IFS(E65="Heavy", 'vehicle E calcs'!$T$21,E65="Cars/vans",'vehicle E calcs'!$S$21)*O65</f>
        <v>24.362584419881831</v>
      </c>
      <c r="T65" s="109">
        <v>0.27</v>
      </c>
      <c r="U65" s="23">
        <f t="shared" si="23"/>
        <v>6.5778977933680949</v>
      </c>
      <c r="V65" s="23">
        <f t="shared" si="24"/>
        <v>5.0361663647741173</v>
      </c>
      <c r="W65" s="106">
        <f t="shared" si="36"/>
        <v>168</v>
      </c>
      <c r="X65" s="23">
        <f t="shared" si="25"/>
        <v>4.0929141825401478</v>
      </c>
      <c r="Y65" s="96">
        <f t="shared" si="37"/>
        <v>0</v>
      </c>
      <c r="Z65" s="23">
        <f t="shared" si="27"/>
        <v>0</v>
      </c>
      <c r="AA65" s="107">
        <f t="shared" si="28"/>
        <v>29.034473435342136</v>
      </c>
      <c r="AB65" s="23">
        <f t="shared" si="29"/>
        <v>4.4139441425518946</v>
      </c>
      <c r="AD65" s="107">
        <f t="shared" si="30"/>
        <v>4.8195823266677689</v>
      </c>
      <c r="AE65" s="23">
        <f t="shared" si="31"/>
        <v>0</v>
      </c>
      <c r="AF65" s="108">
        <f t="shared" si="32"/>
        <v>0.2165840381063478</v>
      </c>
      <c r="AH65" s="104">
        <f t="shared" si="34"/>
        <v>0.31904789190805072</v>
      </c>
      <c r="AJ65" s="104">
        <f t="shared" si="35"/>
        <v>28.754191258213062</v>
      </c>
      <c r="AK65" s="23">
        <f t="shared" si="33"/>
        <v>4.4139441425518946</v>
      </c>
    </row>
    <row r="66" spans="1:37" x14ac:dyDescent="0.35">
      <c r="A66" s="96">
        <v>3</v>
      </c>
      <c r="B66" s="118" t="s">
        <v>143</v>
      </c>
      <c r="C66" s="23" t="s">
        <v>139</v>
      </c>
      <c r="D66" s="23" t="s">
        <v>171</v>
      </c>
      <c r="E66" s="23" t="s">
        <v>188</v>
      </c>
      <c r="F66" s="23" t="s">
        <v>83</v>
      </c>
      <c r="G66" s="108">
        <f>'time-factors'!D$36*'time-factors'!B53</f>
        <v>0.43869085137356972</v>
      </c>
      <c r="H66" s="105">
        <f>'time-factors'!L53</f>
        <v>258.89299999999997</v>
      </c>
      <c r="I66" s="106" t="s">
        <v>98</v>
      </c>
      <c r="J66" s="96">
        <f>'time-factors'!Q$43</f>
        <v>10</v>
      </c>
      <c r="K66" s="170">
        <f>'time-factors'!K$43</f>
        <v>0.05</v>
      </c>
      <c r="L66" s="107">
        <f t="shared" si="19"/>
        <v>33.52782792653197</v>
      </c>
      <c r="M66" s="3">
        <v>0</v>
      </c>
      <c r="N66" s="23">
        <f t="shared" si="20"/>
        <v>0</v>
      </c>
      <c r="O66" s="129" cm="1">
        <f t="array" ref="O66">IFERROR(_xlfn.IFS(E66="Heavy", 'vehicle E calcs'!$H$33,E66="Cars/vans",'vehicle E calcs'!$H$32),"")</f>
        <v>7.1233383316924828</v>
      </c>
      <c r="P66" s="106">
        <v>200</v>
      </c>
      <c r="Q66" s="108">
        <f t="shared" si="21"/>
        <v>1.4246676663384965</v>
      </c>
      <c r="R66" s="107">
        <f t="shared" si="22"/>
        <v>34.952495592870463</v>
      </c>
      <c r="S66" s="107" cm="1">
        <f t="array" ref="S66">_xlfn.IFS(E66="Heavy", 'vehicle E calcs'!$T$21,E66="Cars/vans",'vehicle E calcs'!$S$21)*O66</f>
        <v>24.362584419881831</v>
      </c>
      <c r="T66" s="109">
        <v>0.27</v>
      </c>
      <c r="U66" s="23">
        <f t="shared" si="23"/>
        <v>6.5778977933680949</v>
      </c>
      <c r="V66" s="23">
        <f t="shared" si="24"/>
        <v>5.3136270417746427</v>
      </c>
      <c r="W66" s="106">
        <f t="shared" si="36"/>
        <v>168</v>
      </c>
      <c r="X66" s="23">
        <f t="shared" si="25"/>
        <v>4.0929141825401478</v>
      </c>
      <c r="Y66" s="96">
        <f t="shared" si="37"/>
        <v>0</v>
      </c>
      <c r="Z66" s="23">
        <f t="shared" si="27"/>
        <v>0</v>
      </c>
      <c r="AA66" s="107">
        <f t="shared" si="28"/>
        <v>30.859581410330314</v>
      </c>
      <c r="AB66" s="23">
        <f t="shared" si="29"/>
        <v>4.6914048195524209</v>
      </c>
      <c r="AD66" s="107">
        <f t="shared" si="30"/>
        <v>5.0970430036682961</v>
      </c>
      <c r="AE66" s="23">
        <f t="shared" si="31"/>
        <v>0</v>
      </c>
      <c r="AF66" s="108">
        <f t="shared" si="32"/>
        <v>0.2165840381063478</v>
      </c>
      <c r="AH66" s="104">
        <f t="shared" si="34"/>
        <v>0.43869085137356972</v>
      </c>
      <c r="AJ66" s="104">
        <f t="shared" si="35"/>
        <v>29.19288210958663</v>
      </c>
      <c r="AK66" s="23">
        <f t="shared" si="33"/>
        <v>4.6914048195524209</v>
      </c>
    </row>
    <row r="67" spans="1:37" x14ac:dyDescent="0.35">
      <c r="A67" s="96">
        <v>17</v>
      </c>
      <c r="B67" s="118" t="s">
        <v>143</v>
      </c>
      <c r="C67" s="23" t="s">
        <v>156</v>
      </c>
      <c r="D67" s="23" t="s">
        <v>171</v>
      </c>
      <c r="E67" s="23" t="s">
        <v>188</v>
      </c>
      <c r="F67" s="23" t="s">
        <v>83</v>
      </c>
      <c r="G67" s="108">
        <f>'time-factors'!D$36*'time-factors'!B67</f>
        <v>0.39880986488506337</v>
      </c>
      <c r="H67" s="105">
        <f>'time-factors'!L67</f>
        <v>261.8</v>
      </c>
      <c r="I67" s="106" t="s">
        <v>98</v>
      </c>
      <c r="J67" s="96">
        <f>'time-factors'!Q$44</f>
        <v>10</v>
      </c>
      <c r="K67" s="170">
        <f>'time-factors'!K$44</f>
        <v>0.05</v>
      </c>
      <c r="L67" s="107">
        <f t="shared" si="19"/>
        <v>33.904297725956553</v>
      </c>
      <c r="M67" s="3">
        <v>0</v>
      </c>
      <c r="N67" s="23">
        <f t="shared" si="20"/>
        <v>0</v>
      </c>
      <c r="O67" s="129" cm="1">
        <f t="array" ref="O67">IFERROR(_xlfn.IFS(E67="Heavy", 'vehicle E calcs'!$H$33,E67="Cars/vans",'vehicle E calcs'!$H$32),"")</f>
        <v>7.1233383316924828</v>
      </c>
      <c r="P67" s="106">
        <v>300</v>
      </c>
      <c r="Q67" s="108">
        <f t="shared" si="21"/>
        <v>2.1370014995077451</v>
      </c>
      <c r="R67" s="107">
        <f t="shared" si="22"/>
        <v>36.0412992254643</v>
      </c>
      <c r="S67" s="107" cm="1">
        <f t="array" ref="S67">_xlfn.IFS(E67="Heavy", 'vehicle E calcs'!$T$21,E67="Cars/vans",'vehicle E calcs'!$S$21)*O67</f>
        <v>24.362584419881831</v>
      </c>
      <c r="T67" s="109">
        <v>0.27</v>
      </c>
      <c r="U67" s="23">
        <f t="shared" si="23"/>
        <v>6.5778977933680949</v>
      </c>
      <c r="V67" s="23">
        <f t="shared" si="24"/>
        <v>5.4791516009569978</v>
      </c>
      <c r="W67" s="106">
        <f t="shared" si="36"/>
        <v>168</v>
      </c>
      <c r="X67" s="23">
        <f t="shared" si="25"/>
        <v>4.0929141825401478</v>
      </c>
      <c r="Y67" s="96">
        <f t="shared" si="37"/>
        <v>0</v>
      </c>
      <c r="Z67" s="23">
        <f t="shared" si="27"/>
        <v>0</v>
      </c>
      <c r="AA67" s="107">
        <f t="shared" si="28"/>
        <v>31.948385042924151</v>
      </c>
      <c r="AB67" s="23">
        <f t="shared" si="29"/>
        <v>4.8569293787347751</v>
      </c>
      <c r="AD67" s="107">
        <f t="shared" si="30"/>
        <v>5.1542755437974757</v>
      </c>
      <c r="AE67" s="23">
        <f t="shared" si="31"/>
        <v>0</v>
      </c>
      <c r="AF67" s="108">
        <f t="shared" si="32"/>
        <v>0.32487605715952173</v>
      </c>
      <c r="AH67" s="104">
        <f t="shared" si="34"/>
        <v>0.39880986488506337</v>
      </c>
      <c r="AJ67" s="104">
        <f t="shared" si="35"/>
        <v>29.591691974471694</v>
      </c>
      <c r="AK67" s="23">
        <f t="shared" si="33"/>
        <v>4.8569293787347751</v>
      </c>
    </row>
    <row r="68" spans="1:37" x14ac:dyDescent="0.35">
      <c r="A68" s="96">
        <v>18</v>
      </c>
      <c r="B68" s="119" t="s">
        <v>148</v>
      </c>
      <c r="C68" s="23" t="s">
        <v>156</v>
      </c>
      <c r="D68" s="23" t="s">
        <v>171</v>
      </c>
      <c r="E68" s="23" t="s">
        <v>188</v>
      </c>
      <c r="F68" s="23" t="s">
        <v>83</v>
      </c>
      <c r="G68" s="108">
        <f>'time-factors'!D$36*'time-factors'!B68</f>
        <v>0.39880986488506337</v>
      </c>
      <c r="H68" s="105">
        <f>'time-factors'!L68</f>
        <v>261.8</v>
      </c>
      <c r="I68" s="106" t="s">
        <v>98</v>
      </c>
      <c r="J68" s="96">
        <f>'time-factors'!Q$44</f>
        <v>10</v>
      </c>
      <c r="K68" s="170">
        <f>'time-factors'!K$44</f>
        <v>0.05</v>
      </c>
      <c r="L68" s="107">
        <f t="shared" si="19"/>
        <v>33.904297725956553</v>
      </c>
      <c r="M68" s="3">
        <v>0</v>
      </c>
      <c r="N68" s="23">
        <f t="shared" si="20"/>
        <v>0</v>
      </c>
      <c r="O68" s="129" cm="1">
        <f t="array" ref="O68">IFERROR(_xlfn.IFS(E68="Heavy", 'vehicle E calcs'!$H$33,E68="Cars/vans",'vehicle E calcs'!$H$32),"")</f>
        <v>7.1233383316924828</v>
      </c>
      <c r="P68" s="106">
        <v>300</v>
      </c>
      <c r="Q68" s="108">
        <f t="shared" si="21"/>
        <v>2.1370014995077451</v>
      </c>
      <c r="R68" s="107">
        <f t="shared" si="22"/>
        <v>36.0412992254643</v>
      </c>
      <c r="S68" s="107" cm="1">
        <f t="array" ref="S68">_xlfn.IFS(E68="Heavy", 'vehicle E calcs'!$T$21,E68="Cars/vans",'vehicle E calcs'!$S$21)*O68</f>
        <v>24.362584419881831</v>
      </c>
      <c r="T68" s="109">
        <v>0.27</v>
      </c>
      <c r="U68" s="23">
        <f t="shared" si="23"/>
        <v>6.5778977933680949</v>
      </c>
      <c r="V68" s="23">
        <f t="shared" si="24"/>
        <v>5.4791516009569978</v>
      </c>
      <c r="W68" s="106">
        <f t="shared" si="36"/>
        <v>168</v>
      </c>
      <c r="X68" s="23">
        <f t="shared" si="25"/>
        <v>4.0929141825401478</v>
      </c>
      <c r="Y68" s="96">
        <f t="shared" si="37"/>
        <v>0</v>
      </c>
      <c r="Z68" s="23">
        <f t="shared" si="27"/>
        <v>0</v>
      </c>
      <c r="AA68" s="107">
        <f t="shared" si="28"/>
        <v>31.948385042924151</v>
      </c>
      <c r="AB68" s="23">
        <f t="shared" si="29"/>
        <v>4.8569293787347751</v>
      </c>
      <c r="AD68" s="107">
        <f t="shared" si="30"/>
        <v>5.1542755437974757</v>
      </c>
      <c r="AE68" s="23">
        <f t="shared" si="31"/>
        <v>0</v>
      </c>
      <c r="AF68" s="108">
        <f t="shared" si="32"/>
        <v>0.32487605715952173</v>
      </c>
      <c r="AH68" s="104">
        <f t="shared" si="34"/>
        <v>0.39880986488506337</v>
      </c>
      <c r="AJ68" s="104">
        <f t="shared" si="35"/>
        <v>29.990501839356757</v>
      </c>
      <c r="AK68" s="23">
        <f t="shared" si="33"/>
        <v>4.8569293787347751</v>
      </c>
    </row>
    <row r="69" spans="1:37" x14ac:dyDescent="0.35">
      <c r="A69" s="96">
        <v>2</v>
      </c>
      <c r="B69" s="118" t="s">
        <v>142</v>
      </c>
      <c r="C69" s="23" t="s">
        <v>139</v>
      </c>
      <c r="D69" s="23" t="s">
        <v>171</v>
      </c>
      <c r="E69" s="23" t="s">
        <v>128</v>
      </c>
      <c r="F69" s="23" t="s">
        <v>83</v>
      </c>
      <c r="G69" s="108">
        <f>'time-factors'!D$36*'time-factors'!B52</f>
        <v>0.59821479732759508</v>
      </c>
      <c r="H69" s="105">
        <f>'time-factors'!L52</f>
        <v>258.89299999999997</v>
      </c>
      <c r="I69" s="106" t="s">
        <v>98</v>
      </c>
      <c r="J69" s="96">
        <f>'time-factors'!Q$43</f>
        <v>10</v>
      </c>
      <c r="K69" s="170">
        <f>'time-factors'!K$43</f>
        <v>0.05</v>
      </c>
      <c r="L69" s="107">
        <f t="shared" si="19"/>
        <v>33.52782792653197</v>
      </c>
      <c r="M69" s="3">
        <v>0</v>
      </c>
      <c r="N69" s="23">
        <f t="shared" si="20"/>
        <v>0</v>
      </c>
      <c r="O69" s="129" cm="1">
        <f t="array" ref="O69">IFERROR(_xlfn.IFS(E69="Heavy", 'vehicle E calcs'!$H$33,E69="Cars/vans",'vehicle E calcs'!$H$32),"")</f>
        <v>6.3768270755398833</v>
      </c>
      <c r="P69" s="106">
        <v>200</v>
      </c>
      <c r="Q69" s="108">
        <f t="shared" si="21"/>
        <v>1.2753654151079765</v>
      </c>
      <c r="R69" s="107">
        <f t="shared" si="22"/>
        <v>34.803193341639947</v>
      </c>
      <c r="S69" s="107" cm="1">
        <f t="array" ref="S69">_xlfn.IFS(E69="Heavy", 'vehicle E calcs'!$T$21,E69="Cars/vans",'vehicle E calcs'!$S$21)*O69</f>
        <v>23.354986057632608</v>
      </c>
      <c r="T69" s="109">
        <v>0.27</v>
      </c>
      <c r="U69" s="23">
        <f t="shared" si="23"/>
        <v>6.3058462355608045</v>
      </c>
      <c r="V69" s="23">
        <f t="shared" si="24"/>
        <v>5.5191947347800747</v>
      </c>
      <c r="W69" s="106">
        <f t="shared" si="36"/>
        <v>168</v>
      </c>
      <c r="X69" s="23">
        <f t="shared" si="25"/>
        <v>3.9236376576822782</v>
      </c>
      <c r="Y69" s="96">
        <f t="shared" si="37"/>
        <v>0</v>
      </c>
      <c r="Z69" s="23">
        <f t="shared" si="27"/>
        <v>0</v>
      </c>
      <c r="AA69" s="107">
        <f t="shared" si="28"/>
        <v>30.879555683957669</v>
      </c>
      <c r="AB69" s="23">
        <f t="shared" si="29"/>
        <v>4.8969725125578529</v>
      </c>
      <c r="AD69" s="107">
        <f t="shared" si="30"/>
        <v>5.3169434639013531</v>
      </c>
      <c r="AE69" s="23">
        <f t="shared" si="31"/>
        <v>0</v>
      </c>
      <c r="AF69" s="108">
        <f t="shared" si="32"/>
        <v>0.20225127087872183</v>
      </c>
      <c r="AH69" s="104">
        <f t="shared" si="34"/>
        <v>0.59821479732759508</v>
      </c>
      <c r="AJ69" s="104">
        <f t="shared" si="35"/>
        <v>30.588716636684353</v>
      </c>
      <c r="AK69" s="23">
        <f t="shared" si="33"/>
        <v>4.8969725125578529</v>
      </c>
    </row>
    <row r="70" spans="1:37" x14ac:dyDescent="0.35">
      <c r="A70" s="96">
        <v>5</v>
      </c>
      <c r="B70" s="118" t="s">
        <v>145</v>
      </c>
      <c r="C70" s="23" t="s">
        <v>139</v>
      </c>
      <c r="D70" s="23" t="s">
        <v>171</v>
      </c>
      <c r="E70" s="23" t="s">
        <v>188</v>
      </c>
      <c r="F70" s="23" t="s">
        <v>83</v>
      </c>
      <c r="G70" s="108">
        <f>'time-factors'!D$36*'time-factors'!B55</f>
        <v>0.41875035812931655</v>
      </c>
      <c r="H70" s="105">
        <f>'time-factors'!L55</f>
        <v>418.2</v>
      </c>
      <c r="I70" s="106" t="s">
        <v>98</v>
      </c>
      <c r="J70" s="96">
        <f>'time-factors'!Q$43</f>
        <v>10</v>
      </c>
      <c r="K70" s="170">
        <f>'time-factors'!K$43</f>
        <v>0.05</v>
      </c>
      <c r="L70" s="107">
        <f t="shared" si="19"/>
        <v>54.158813250553976</v>
      </c>
      <c r="M70" s="3">
        <v>0</v>
      </c>
      <c r="N70" s="23">
        <f t="shared" si="20"/>
        <v>0</v>
      </c>
      <c r="O70" s="129" cm="1">
        <f t="array" ref="O70">IFERROR(_xlfn.IFS(E70="Heavy", 'vehicle E calcs'!$H$33,E70="Cars/vans",'vehicle E calcs'!$H$32),"")</f>
        <v>7.1233383316924828</v>
      </c>
      <c r="P70" s="106">
        <v>200</v>
      </c>
      <c r="Q70" s="108">
        <f t="shared" si="21"/>
        <v>1.4246676663384965</v>
      </c>
      <c r="R70" s="107">
        <f t="shared" si="22"/>
        <v>55.583480916892469</v>
      </c>
      <c r="S70" s="107" cm="1">
        <f t="array" ref="S70">_xlfn.IFS(E70="Heavy", 'vehicle E calcs'!$T$21,E70="Cars/vans",'vehicle E calcs'!$S$21)*O70</f>
        <v>24.362584419881831</v>
      </c>
      <c r="T70" s="109">
        <v>0.27</v>
      </c>
      <c r="U70" s="23">
        <f t="shared" si="23"/>
        <v>6.5778977933680949</v>
      </c>
      <c r="V70" s="23">
        <f t="shared" si="24"/>
        <v>8.4500371794971212</v>
      </c>
      <c r="W70" s="106">
        <f t="shared" si="36"/>
        <v>168</v>
      </c>
      <c r="X70" s="23">
        <f t="shared" si="25"/>
        <v>4.0929141825401478</v>
      </c>
      <c r="Y70" s="96">
        <f t="shared" si="37"/>
        <v>0</v>
      </c>
      <c r="Z70" s="23">
        <f t="shared" si="27"/>
        <v>0</v>
      </c>
      <c r="AA70" s="107">
        <f t="shared" si="28"/>
        <v>51.490566734352321</v>
      </c>
      <c r="AB70" s="23">
        <f t="shared" si="29"/>
        <v>7.8278149572748985</v>
      </c>
      <c r="AD70" s="107">
        <f t="shared" si="30"/>
        <v>8.2334531413907737</v>
      </c>
      <c r="AE70" s="23">
        <f t="shared" si="31"/>
        <v>0</v>
      </c>
      <c r="AF70" s="108">
        <f t="shared" si="32"/>
        <v>0.2165840381063478</v>
      </c>
      <c r="AH70" s="104">
        <f t="shared" si="34"/>
        <v>0.41875035812931655</v>
      </c>
      <c r="AJ70" s="104">
        <f t="shared" si="35"/>
        <v>31.007466994813669</v>
      </c>
      <c r="AK70" s="23">
        <f t="shared" si="33"/>
        <v>7.8278149572748985</v>
      </c>
    </row>
    <row r="71" spans="1:37" x14ac:dyDescent="0.35">
      <c r="A71" s="96">
        <v>8</v>
      </c>
      <c r="B71" s="119" t="s">
        <v>148</v>
      </c>
      <c r="C71" s="23" t="s">
        <v>139</v>
      </c>
      <c r="D71" s="23" t="s">
        <v>171</v>
      </c>
      <c r="E71" s="23" t="s">
        <v>188</v>
      </c>
      <c r="F71" s="23" t="s">
        <v>83</v>
      </c>
      <c r="G71" s="108">
        <f>'time-factors'!D$36*'time-factors'!B58</f>
        <v>0.29910739866379754</v>
      </c>
      <c r="H71" s="105">
        <f>'time-factors'!L58</f>
        <v>418.2</v>
      </c>
      <c r="I71" s="106" t="s">
        <v>98</v>
      </c>
      <c r="J71" s="96">
        <f>'time-factors'!Q$43</f>
        <v>10</v>
      </c>
      <c r="K71" s="170">
        <f>'time-factors'!K$43</f>
        <v>0.05</v>
      </c>
      <c r="L71" s="107">
        <f t="shared" si="19"/>
        <v>54.158813250553976</v>
      </c>
      <c r="M71" s="3">
        <v>0</v>
      </c>
      <c r="N71" s="23">
        <f t="shared" si="20"/>
        <v>0</v>
      </c>
      <c r="O71" s="129" cm="1">
        <f t="array" ref="O71">IFERROR(_xlfn.IFS(E71="Heavy", 'vehicle E calcs'!$H$33,E71="Cars/vans",'vehicle E calcs'!$H$32),"")</f>
        <v>7.1233383316924828</v>
      </c>
      <c r="P71" s="106">
        <v>200</v>
      </c>
      <c r="Q71" s="108">
        <f t="shared" si="21"/>
        <v>1.4246676663384965</v>
      </c>
      <c r="R71" s="107">
        <f t="shared" si="22"/>
        <v>55.583480916892469</v>
      </c>
      <c r="S71" s="107" cm="1">
        <f t="array" ref="S71">_xlfn.IFS(E71="Heavy", 'vehicle E calcs'!$T$21,E71="Cars/vans",'vehicle E calcs'!$S$21)*O71</f>
        <v>24.362584419881831</v>
      </c>
      <c r="T71" s="109">
        <v>0.27</v>
      </c>
      <c r="U71" s="23">
        <f t="shared" si="23"/>
        <v>6.5778977933680949</v>
      </c>
      <c r="V71" s="23">
        <f t="shared" si="24"/>
        <v>8.4500371794971212</v>
      </c>
      <c r="W71" s="106">
        <f t="shared" si="36"/>
        <v>168</v>
      </c>
      <c r="X71" s="23">
        <f t="shared" si="25"/>
        <v>4.0929141825401478</v>
      </c>
      <c r="Y71" s="96">
        <f t="shared" si="37"/>
        <v>0</v>
      </c>
      <c r="Z71" s="23">
        <f t="shared" si="27"/>
        <v>0</v>
      </c>
      <c r="AA71" s="107">
        <f t="shared" si="28"/>
        <v>51.490566734352321</v>
      </c>
      <c r="AB71" s="23">
        <f t="shared" si="29"/>
        <v>7.8278149572748985</v>
      </c>
      <c r="AD71" s="107">
        <f t="shared" si="30"/>
        <v>8.2334531413907737</v>
      </c>
      <c r="AE71" s="23">
        <f t="shared" si="31"/>
        <v>0</v>
      </c>
      <c r="AF71" s="108">
        <f t="shared" si="32"/>
        <v>0.2165840381063478</v>
      </c>
      <c r="AH71" s="104">
        <f t="shared" si="34"/>
        <v>0.29910739866379754</v>
      </c>
      <c r="AJ71" s="104">
        <f t="shared" si="35"/>
        <v>31.306574393477465</v>
      </c>
      <c r="AK71" s="23">
        <f t="shared" si="33"/>
        <v>7.8278149572748985</v>
      </c>
    </row>
    <row r="72" spans="1:37" x14ac:dyDescent="0.35">
      <c r="A72" s="96">
        <v>10</v>
      </c>
      <c r="B72" s="118" t="s">
        <v>58</v>
      </c>
      <c r="C72" s="23" t="s">
        <v>139</v>
      </c>
      <c r="D72" s="23" t="s">
        <v>171</v>
      </c>
      <c r="E72" s="23" t="s">
        <v>188</v>
      </c>
      <c r="F72" s="23" t="s">
        <v>83</v>
      </c>
      <c r="G72" s="108">
        <f>'time-factors'!D$36*'time-factors'!B60</f>
        <v>0.39880986488506337</v>
      </c>
      <c r="H72" s="105">
        <f>'time-factors'!L60</f>
        <v>659.6</v>
      </c>
      <c r="I72" s="106" t="s">
        <v>98</v>
      </c>
      <c r="J72" s="96">
        <f>'time-factors'!Q$43</f>
        <v>10</v>
      </c>
      <c r="K72" s="170">
        <f>'time-factors'!K$43</f>
        <v>0.05</v>
      </c>
      <c r="L72" s="107">
        <f t="shared" si="19"/>
        <v>85.421217647215215</v>
      </c>
      <c r="M72" s="3">
        <v>0</v>
      </c>
      <c r="N72" s="23">
        <f t="shared" si="20"/>
        <v>0</v>
      </c>
      <c r="O72" s="129" cm="1">
        <f t="array" ref="O72">IFERROR(_xlfn.IFS(E72="Heavy", 'vehicle E calcs'!$H$33,E72="Cars/vans",'vehicle E calcs'!$H$32),"")</f>
        <v>7.1233383316924828</v>
      </c>
      <c r="P72" s="106">
        <v>200</v>
      </c>
      <c r="Q72" s="108">
        <f t="shared" si="21"/>
        <v>1.4246676663384965</v>
      </c>
      <c r="R72" s="107">
        <f t="shared" si="22"/>
        <v>86.845885313553708</v>
      </c>
      <c r="S72" s="107" cm="1">
        <f t="array" ref="S72">_xlfn.IFS(E72="Heavy", 'vehicle E calcs'!$T$21,E72="Cars/vans",'vehicle E calcs'!$S$21)*O72</f>
        <v>24.362584419881831</v>
      </c>
      <c r="T72" s="109">
        <v>0.27</v>
      </c>
      <c r="U72" s="23">
        <f t="shared" si="23"/>
        <v>6.5778977933680949</v>
      </c>
      <c r="V72" s="23">
        <f t="shared" si="24"/>
        <v>13.20268086273895</v>
      </c>
      <c r="W72" s="106">
        <f t="shared" si="36"/>
        <v>168</v>
      </c>
      <c r="X72" s="23">
        <f t="shared" si="25"/>
        <v>4.0929141825401478</v>
      </c>
      <c r="Y72" s="96">
        <f t="shared" si="37"/>
        <v>0</v>
      </c>
      <c r="Z72" s="23">
        <f t="shared" si="27"/>
        <v>0</v>
      </c>
      <c r="AA72" s="107">
        <f t="shared" si="28"/>
        <v>82.752971131013567</v>
      </c>
      <c r="AB72" s="23">
        <f t="shared" si="29"/>
        <v>12.580458640516728</v>
      </c>
      <c r="AD72" s="107">
        <f t="shared" si="30"/>
        <v>12.986096824632602</v>
      </c>
      <c r="AE72" s="23">
        <f t="shared" si="31"/>
        <v>0</v>
      </c>
      <c r="AF72" s="108">
        <f t="shared" si="32"/>
        <v>0.2165840381063478</v>
      </c>
      <c r="AH72" s="104">
        <f t="shared" si="34"/>
        <v>0.39880986488506337</v>
      </c>
      <c r="AJ72" s="104">
        <f t="shared" si="35"/>
        <v>31.705384258362528</v>
      </c>
      <c r="AK72" s="23">
        <f t="shared" si="33"/>
        <v>12.580458640516728</v>
      </c>
    </row>
    <row r="73" spans="1:37" x14ac:dyDescent="0.35">
      <c r="A73" s="96">
        <v>14</v>
      </c>
      <c r="B73" s="118" t="s">
        <v>152</v>
      </c>
      <c r="C73" s="23" t="s">
        <v>139</v>
      </c>
      <c r="D73" s="23" t="s">
        <v>171</v>
      </c>
      <c r="E73" s="23" t="s">
        <v>188</v>
      </c>
      <c r="F73" s="23" t="s">
        <v>83</v>
      </c>
      <c r="G73" s="108">
        <f>'time-factors'!D$36*'time-factors'!B64</f>
        <v>0.25922641217529119</v>
      </c>
      <c r="H73" s="105">
        <f>'time-factors'!L64</f>
        <v>659.6</v>
      </c>
      <c r="I73" s="106" t="s">
        <v>98</v>
      </c>
      <c r="J73" s="96">
        <f>'time-factors'!Q$43</f>
        <v>10</v>
      </c>
      <c r="K73" s="170">
        <f>'time-factors'!K$43</f>
        <v>0.05</v>
      </c>
      <c r="L73" s="107">
        <f t="shared" si="19"/>
        <v>85.421217647215215</v>
      </c>
      <c r="M73" s="3">
        <v>0</v>
      </c>
      <c r="N73" s="23">
        <f t="shared" si="20"/>
        <v>0</v>
      </c>
      <c r="O73" s="129" cm="1">
        <f t="array" ref="O73">IFERROR(_xlfn.IFS(E73="Heavy", 'vehicle E calcs'!$H$33,E73="Cars/vans",'vehicle E calcs'!$H$32),"")</f>
        <v>7.1233383316924828</v>
      </c>
      <c r="P73" s="106">
        <v>200</v>
      </c>
      <c r="Q73" s="108">
        <f t="shared" si="21"/>
        <v>1.4246676663384965</v>
      </c>
      <c r="R73" s="107">
        <f t="shared" si="22"/>
        <v>86.845885313553708</v>
      </c>
      <c r="S73" s="107" cm="1">
        <f t="array" ref="S73">_xlfn.IFS(E73="Heavy", 'vehicle E calcs'!$T$21,E73="Cars/vans",'vehicle E calcs'!$S$21)*O73</f>
        <v>24.362584419881831</v>
      </c>
      <c r="T73" s="109">
        <v>0.27</v>
      </c>
      <c r="U73" s="23">
        <f t="shared" si="23"/>
        <v>6.5778977933680949</v>
      </c>
      <c r="V73" s="23">
        <f t="shared" si="24"/>
        <v>13.20268086273895</v>
      </c>
      <c r="W73" s="106">
        <f t="shared" si="36"/>
        <v>168</v>
      </c>
      <c r="X73" s="23">
        <f t="shared" si="25"/>
        <v>4.0929141825401478</v>
      </c>
      <c r="Y73" s="96">
        <f t="shared" si="37"/>
        <v>0</v>
      </c>
      <c r="Z73" s="23">
        <f t="shared" si="27"/>
        <v>0</v>
      </c>
      <c r="AA73" s="107">
        <f t="shared" si="28"/>
        <v>82.752971131013567</v>
      </c>
      <c r="AB73" s="23">
        <f t="shared" si="29"/>
        <v>12.580458640516728</v>
      </c>
      <c r="AD73" s="107">
        <f t="shared" si="30"/>
        <v>12.986096824632602</v>
      </c>
      <c r="AE73" s="23">
        <f t="shared" si="31"/>
        <v>0</v>
      </c>
      <c r="AF73" s="108">
        <f t="shared" si="32"/>
        <v>0.2165840381063478</v>
      </c>
      <c r="AH73" s="104">
        <f t="shared" si="34"/>
        <v>0.25922641217529119</v>
      </c>
      <c r="AJ73" s="104">
        <f t="shared" si="35"/>
        <v>31.964610670537819</v>
      </c>
      <c r="AK73" s="23">
        <f t="shared" si="33"/>
        <v>12.580458640516728</v>
      </c>
    </row>
    <row r="74" spans="1:37" x14ac:dyDescent="0.35">
      <c r="A74" s="96"/>
      <c r="B74" s="122"/>
      <c r="C74" s="24"/>
      <c r="D74" s="24"/>
      <c r="E74" s="24"/>
      <c r="F74" s="131" t="s">
        <v>50</v>
      </c>
      <c r="G74" s="104">
        <f>SUM(G49:G73)</f>
        <v>31.964610670537819</v>
      </c>
    </row>
    <row r="75" spans="1:37" x14ac:dyDescent="0.35">
      <c r="A75" s="96"/>
      <c r="B75" s="122"/>
      <c r="C75" s="24"/>
      <c r="D75" s="24"/>
      <c r="E75" s="24"/>
      <c r="F75" s="24"/>
    </row>
    <row r="76" spans="1:37" x14ac:dyDescent="0.35">
      <c r="A76" s="96"/>
      <c r="B76" s="123"/>
      <c r="C76" s="125"/>
      <c r="F76" s="24"/>
    </row>
    <row r="77" spans="1:37" x14ac:dyDescent="0.35">
      <c r="A77" s="96"/>
      <c r="B77" s="123"/>
      <c r="C77" s="125"/>
    </row>
    <row r="78" spans="1:37" x14ac:dyDescent="0.35">
      <c r="A78" s="96"/>
      <c r="B78" s="96"/>
      <c r="C78" s="96"/>
    </row>
    <row r="79" spans="1:37" x14ac:dyDescent="0.35">
      <c r="A79" s="96"/>
      <c r="B79" s="96"/>
      <c r="C79" s="96"/>
    </row>
    <row r="80" spans="1:37" x14ac:dyDescent="0.35">
      <c r="A80" s="96"/>
    </row>
    <row r="81" spans="1:37" x14ac:dyDescent="0.35">
      <c r="A81" s="96"/>
    </row>
    <row r="82" spans="1:37" x14ac:dyDescent="0.35">
      <c r="A82" s="96"/>
    </row>
    <row r="83" spans="1:37" x14ac:dyDescent="0.35">
      <c r="A83" s="96"/>
    </row>
    <row r="84" spans="1:37" x14ac:dyDescent="0.35">
      <c r="A84" s="96"/>
    </row>
    <row r="85" spans="1:37" x14ac:dyDescent="0.35">
      <c r="A85" s="96"/>
    </row>
    <row r="86" spans="1:37" x14ac:dyDescent="0.35">
      <c r="A86" s="96"/>
    </row>
    <row r="87" spans="1:37" x14ac:dyDescent="0.35">
      <c r="A87" s="96"/>
    </row>
    <row r="88" spans="1:37" x14ac:dyDescent="0.35">
      <c r="A88" s="96"/>
    </row>
    <row r="89" spans="1:37" x14ac:dyDescent="0.35">
      <c r="A89" s="96"/>
    </row>
    <row r="90" spans="1:37" x14ac:dyDescent="0.35">
      <c r="A90" s="132"/>
    </row>
    <row r="91" spans="1:37" ht="21" x14ac:dyDescent="0.5">
      <c r="B91" s="134" t="s">
        <v>255</v>
      </c>
      <c r="C91" s="136">
        <f>C46</f>
        <v>2030</v>
      </c>
      <c r="W91" s="23" t="s">
        <v>202</v>
      </c>
      <c r="AB91" s="95"/>
    </row>
    <row r="92" spans="1:37" x14ac:dyDescent="0.35">
      <c r="H92" s="96"/>
      <c r="T92" s="99" t="s">
        <v>138</v>
      </c>
      <c r="W92" s="99">
        <v>1.7</v>
      </c>
      <c r="X92" s="23" t="s">
        <v>174</v>
      </c>
      <c r="Z92" s="100">
        <v>0</v>
      </c>
      <c r="AA92" s="23" t="s">
        <v>175</v>
      </c>
      <c r="AC92" s="101">
        <v>0</v>
      </c>
    </row>
    <row r="93" spans="1:37" ht="72.5" x14ac:dyDescent="0.35">
      <c r="B93" s="102" t="s">
        <v>173</v>
      </c>
      <c r="C93" s="103" t="s">
        <v>95</v>
      </c>
      <c r="D93" s="103" t="s">
        <v>172</v>
      </c>
      <c r="E93" s="103" t="s">
        <v>231</v>
      </c>
      <c r="F93" s="103" t="s">
        <v>96</v>
      </c>
      <c r="G93" s="103" t="s">
        <v>205</v>
      </c>
      <c r="H93" s="103" t="s">
        <v>99</v>
      </c>
      <c r="I93" s="103" t="s">
        <v>97</v>
      </c>
      <c r="J93" s="103" t="s">
        <v>100</v>
      </c>
      <c r="K93" s="103" t="s">
        <v>101</v>
      </c>
      <c r="L93" s="103" t="s">
        <v>102</v>
      </c>
      <c r="M93" s="103" t="s">
        <v>129</v>
      </c>
      <c r="N93" s="103" t="s">
        <v>130</v>
      </c>
      <c r="O93" s="103" t="s">
        <v>132</v>
      </c>
      <c r="P93" s="103" t="s">
        <v>133</v>
      </c>
      <c r="Q93" s="103" t="s">
        <v>131</v>
      </c>
      <c r="R93" s="117" t="s">
        <v>136</v>
      </c>
      <c r="S93" s="103" t="s">
        <v>135</v>
      </c>
      <c r="T93" s="103" t="s">
        <v>134</v>
      </c>
      <c r="U93" s="103" t="s">
        <v>103</v>
      </c>
      <c r="V93" s="117" t="s">
        <v>108</v>
      </c>
      <c r="W93" s="103" t="s">
        <v>199</v>
      </c>
      <c r="X93" s="103" t="s">
        <v>104</v>
      </c>
      <c r="Y93" s="103" t="s">
        <v>105</v>
      </c>
      <c r="Z93" s="103" t="s">
        <v>106</v>
      </c>
      <c r="AA93" s="103" t="s">
        <v>137</v>
      </c>
      <c r="AB93" s="117" t="s">
        <v>107</v>
      </c>
      <c r="AD93" s="103" t="s">
        <v>167</v>
      </c>
      <c r="AE93" s="103" t="s">
        <v>168</v>
      </c>
      <c r="AF93" s="103" t="s">
        <v>169</v>
      </c>
      <c r="AJ93" s="103" t="s">
        <v>177</v>
      </c>
      <c r="AK93" s="103" t="s">
        <v>176</v>
      </c>
    </row>
    <row r="94" spans="1:37" x14ac:dyDescent="0.35">
      <c r="A94" s="23">
        <v>20</v>
      </c>
      <c r="B94" s="120" t="s">
        <v>162</v>
      </c>
      <c r="C94" s="111" t="s">
        <v>157</v>
      </c>
      <c r="D94" s="111" t="s">
        <v>170</v>
      </c>
      <c r="E94" s="111"/>
      <c r="F94" s="111" t="s">
        <v>158</v>
      </c>
      <c r="G94" s="108">
        <f>'time-factors'!D$37*'time-factors'!B70</f>
        <v>0.72229852411813744</v>
      </c>
      <c r="H94" s="105">
        <f>'time-factors'!L70</f>
        <v>0.1275</v>
      </c>
      <c r="I94" s="111" t="s">
        <v>166</v>
      </c>
      <c r="J94" s="96">
        <f>'time-factors'!Q$46</f>
        <v>20</v>
      </c>
      <c r="K94" s="170">
        <f>'time-factors'!K$46</f>
        <v>0.05</v>
      </c>
      <c r="L94" s="114">
        <f t="shared" ref="L94:L118" si="38">PMT(K94,J94,-H94)</f>
        <v>1.0230929866813142E-2</v>
      </c>
      <c r="M94" s="47">
        <v>0.02</v>
      </c>
      <c r="N94" s="111">
        <f t="shared" ref="N94:N118" si="39">M94*H94</f>
        <v>2.5500000000000002E-3</v>
      </c>
      <c r="O94" s="111">
        <v>1.5</v>
      </c>
      <c r="P94" s="111">
        <v>200</v>
      </c>
      <c r="Q94" s="115">
        <f t="shared" ref="Q94:Q118" si="40">P94*O94*0.001</f>
        <v>0.3</v>
      </c>
      <c r="R94" s="114">
        <f t="shared" ref="R94:R118" si="41">L94+N94+Q94</f>
        <v>0.31278092986681311</v>
      </c>
      <c r="S94" s="114">
        <f>2*O94</f>
        <v>3</v>
      </c>
      <c r="T94" s="114">
        <v>0.1</v>
      </c>
      <c r="U94" s="111">
        <f t="shared" ref="U94:U118" si="42">T94*S94</f>
        <v>0.30000000000000004</v>
      </c>
      <c r="V94" s="111">
        <f t="shared" ref="V94:V118" si="43">R94/U94</f>
        <v>1.0426030995560436</v>
      </c>
      <c r="W94" s="111">
        <v>200</v>
      </c>
      <c r="X94" s="111">
        <f t="shared" ref="X94:X118" si="44">W94*S94*0.001</f>
        <v>0.6</v>
      </c>
      <c r="Y94" s="111">
        <f t="shared" ref="Y94:Y100" si="45">$AC$2</f>
        <v>0</v>
      </c>
      <c r="Z94" s="111">
        <f t="shared" ref="Z94:Z118" si="46">Y94*U94</f>
        <v>0</v>
      </c>
      <c r="AA94" s="114">
        <f t="shared" ref="AA94:AA118" si="47">R94-X94-Z94</f>
        <v>-0.28721907013318687</v>
      </c>
      <c r="AB94" s="111">
        <f t="shared" ref="AB94:AB118" si="48">AA94/U94</f>
        <v>-0.95739690044395609</v>
      </c>
      <c r="AD94" s="107">
        <f t="shared" ref="AD94:AD118" si="49">L94/U94</f>
        <v>3.4103099556043799E-2</v>
      </c>
      <c r="AE94" s="23">
        <f t="shared" ref="AE94:AE118" si="50">N94/U94</f>
        <v>8.4999999999999989E-3</v>
      </c>
      <c r="AF94" s="108">
        <f t="shared" ref="AF94:AF118" si="51">Q94/U94</f>
        <v>0.99999999999999978</v>
      </c>
      <c r="AH94" s="104">
        <f>G94</f>
        <v>0.72229852411813744</v>
      </c>
      <c r="AJ94" s="104">
        <f>AH94</f>
        <v>0.72229852411813744</v>
      </c>
      <c r="AK94" s="23">
        <f t="shared" ref="AK94:AK118" si="52">AB94</f>
        <v>-0.95739690044395609</v>
      </c>
    </row>
    <row r="95" spans="1:37" x14ac:dyDescent="0.35">
      <c r="A95" s="23">
        <v>21</v>
      </c>
      <c r="B95" s="120" t="s">
        <v>160</v>
      </c>
      <c r="C95" s="48" t="s">
        <v>163</v>
      </c>
      <c r="D95" s="111" t="s">
        <v>170</v>
      </c>
      <c r="E95" s="111"/>
      <c r="F95" s="48" t="s">
        <v>158</v>
      </c>
      <c r="G95" s="108">
        <f>'time-factors'!D$37*'time-factors'!B71</f>
        <v>1.3242139608832522</v>
      </c>
      <c r="H95" s="105">
        <f>'time-factors'!L71</f>
        <v>0.21249999999999999</v>
      </c>
      <c r="I95" s="111" t="s">
        <v>166</v>
      </c>
      <c r="J95" s="96">
        <f>'time-factors'!Q$46</f>
        <v>20</v>
      </c>
      <c r="K95" s="170">
        <f>'time-factors'!K$46</f>
        <v>0.05</v>
      </c>
      <c r="L95" s="114">
        <f t="shared" si="38"/>
        <v>1.7051549778021906E-2</v>
      </c>
      <c r="M95" s="47">
        <v>0.02</v>
      </c>
      <c r="N95" s="111">
        <f t="shared" si="39"/>
        <v>4.2500000000000003E-3</v>
      </c>
      <c r="O95" s="111">
        <v>4.4000000000000004</v>
      </c>
      <c r="P95" s="111">
        <v>200</v>
      </c>
      <c r="Q95" s="115">
        <f t="shared" si="40"/>
        <v>0.88000000000000012</v>
      </c>
      <c r="R95" s="114">
        <f t="shared" si="41"/>
        <v>0.90130154977802202</v>
      </c>
      <c r="S95" s="114">
        <f>1.2*O95</f>
        <v>5.28</v>
      </c>
      <c r="T95" s="114">
        <v>0.1</v>
      </c>
      <c r="U95" s="111">
        <f t="shared" si="42"/>
        <v>0.52800000000000002</v>
      </c>
      <c r="V95" s="111">
        <f t="shared" si="43"/>
        <v>1.7070105109432234</v>
      </c>
      <c r="W95" s="111">
        <v>200</v>
      </c>
      <c r="X95" s="111">
        <f t="shared" si="44"/>
        <v>1.056</v>
      </c>
      <c r="Y95" s="111">
        <f t="shared" si="45"/>
        <v>0</v>
      </c>
      <c r="Z95" s="111">
        <f t="shared" si="46"/>
        <v>0</v>
      </c>
      <c r="AA95" s="114">
        <f t="shared" si="47"/>
        <v>-0.15469845022197803</v>
      </c>
      <c r="AB95" s="111">
        <f t="shared" si="48"/>
        <v>-0.29298948905677658</v>
      </c>
      <c r="AD95" s="107">
        <f t="shared" si="49"/>
        <v>3.2294601852314218E-2</v>
      </c>
      <c r="AE95" s="23">
        <f t="shared" si="50"/>
        <v>8.049242424242424E-3</v>
      </c>
      <c r="AF95" s="108">
        <f t="shared" si="51"/>
        <v>1.6666666666666667</v>
      </c>
      <c r="AH95" s="104">
        <f t="shared" ref="AH95:AH118" si="53">G95</f>
        <v>1.3242139608832522</v>
      </c>
      <c r="AJ95" s="104">
        <f>AJ94+AH95</f>
        <v>2.0465124850013896</v>
      </c>
      <c r="AK95" s="23">
        <f t="shared" si="52"/>
        <v>-0.29298948905677658</v>
      </c>
    </row>
    <row r="96" spans="1:37" ht="29" x14ac:dyDescent="0.35">
      <c r="A96" s="23">
        <v>22</v>
      </c>
      <c r="B96" s="120" t="s">
        <v>161</v>
      </c>
      <c r="C96" s="48" t="s">
        <v>163</v>
      </c>
      <c r="D96" s="111" t="s">
        <v>170</v>
      </c>
      <c r="E96" s="111"/>
      <c r="F96" s="48" t="s">
        <v>158</v>
      </c>
      <c r="G96" s="108">
        <f>'time-factors'!D$37*'time-factors'!B72</f>
        <v>0.72229852411813744</v>
      </c>
      <c r="H96" s="105">
        <f>'time-factors'!L72</f>
        <v>0.42499999999999999</v>
      </c>
      <c r="I96" s="111" t="s">
        <v>166</v>
      </c>
      <c r="J96" s="96">
        <f>'time-factors'!Q$46</f>
        <v>20</v>
      </c>
      <c r="K96" s="170">
        <f>'time-factors'!K$46</f>
        <v>0.05</v>
      </c>
      <c r="L96" s="114">
        <f t="shared" si="38"/>
        <v>3.4103099556043813E-2</v>
      </c>
      <c r="M96" s="47">
        <v>0.02</v>
      </c>
      <c r="N96" s="111">
        <f t="shared" si="39"/>
        <v>8.5000000000000006E-3</v>
      </c>
      <c r="O96" s="111">
        <v>4.4000000000000004</v>
      </c>
      <c r="P96" s="111">
        <v>200</v>
      </c>
      <c r="Q96" s="115">
        <f t="shared" si="40"/>
        <v>0.88000000000000012</v>
      </c>
      <c r="R96" s="114">
        <f t="shared" si="41"/>
        <v>0.92260309955604392</v>
      </c>
      <c r="S96" s="114">
        <f>1.2*O96</f>
        <v>5.28</v>
      </c>
      <c r="T96" s="114">
        <v>0.1</v>
      </c>
      <c r="U96" s="111">
        <f t="shared" si="42"/>
        <v>0.52800000000000002</v>
      </c>
      <c r="V96" s="111">
        <f t="shared" si="43"/>
        <v>1.7473543552197801</v>
      </c>
      <c r="W96" s="111">
        <v>200</v>
      </c>
      <c r="X96" s="111">
        <f t="shared" si="44"/>
        <v>1.056</v>
      </c>
      <c r="Y96" s="111">
        <f t="shared" si="45"/>
        <v>0</v>
      </c>
      <c r="Z96" s="111">
        <f t="shared" si="46"/>
        <v>0</v>
      </c>
      <c r="AA96" s="114">
        <f t="shared" si="47"/>
        <v>-0.13339690044395613</v>
      </c>
      <c r="AB96" s="111">
        <f t="shared" si="48"/>
        <v>-0.25264564478021995</v>
      </c>
      <c r="AD96" s="107">
        <f t="shared" si="49"/>
        <v>6.4589203704628437E-2</v>
      </c>
      <c r="AE96" s="23">
        <f t="shared" si="50"/>
        <v>1.6098484848484848E-2</v>
      </c>
      <c r="AF96" s="108">
        <f t="shared" si="51"/>
        <v>1.6666666666666667</v>
      </c>
      <c r="AH96" s="104">
        <f t="shared" si="53"/>
        <v>0.72229852411813744</v>
      </c>
      <c r="AJ96" s="104">
        <f t="shared" ref="AJ96:AJ118" si="54">AJ95+AH96</f>
        <v>2.7688110091195268</v>
      </c>
      <c r="AK96" s="23">
        <f t="shared" si="52"/>
        <v>-0.25264564478021995</v>
      </c>
    </row>
    <row r="97" spans="1:37" x14ac:dyDescent="0.35">
      <c r="A97" s="23">
        <v>24</v>
      </c>
      <c r="B97" s="120" t="s">
        <v>165</v>
      </c>
      <c r="C97" s="120" t="s">
        <v>165</v>
      </c>
      <c r="D97" s="111" t="s">
        <v>170</v>
      </c>
      <c r="E97" s="111"/>
      <c r="F97" s="48" t="s">
        <v>158</v>
      </c>
      <c r="G97" s="108">
        <f>'time-factors'!D$37*'time-factors'!B74</f>
        <v>0.48153234941209166</v>
      </c>
      <c r="H97" s="105">
        <f>'time-factors'!L74</f>
        <v>0.42499999999999999</v>
      </c>
      <c r="I97" s="111" t="s">
        <v>166</v>
      </c>
      <c r="J97" s="96">
        <f>'time-factors'!Q$46</f>
        <v>20</v>
      </c>
      <c r="K97" s="170">
        <f>'time-factors'!K$46</f>
        <v>0.05</v>
      </c>
      <c r="L97" s="114">
        <f t="shared" si="38"/>
        <v>3.4103099556043813E-2</v>
      </c>
      <c r="M97" s="47">
        <v>0.02</v>
      </c>
      <c r="N97" s="111">
        <f t="shared" si="39"/>
        <v>8.5000000000000006E-3</v>
      </c>
      <c r="O97" s="111">
        <v>4.4000000000000004</v>
      </c>
      <c r="P97" s="111">
        <v>200</v>
      </c>
      <c r="Q97" s="115">
        <f t="shared" si="40"/>
        <v>0.88000000000000012</v>
      </c>
      <c r="R97" s="114">
        <f t="shared" si="41"/>
        <v>0.92260309955604392</v>
      </c>
      <c r="S97" s="114">
        <f>1.2*O97</f>
        <v>5.28</v>
      </c>
      <c r="T97" s="114">
        <v>0.1</v>
      </c>
      <c r="U97" s="111">
        <f t="shared" si="42"/>
        <v>0.52800000000000002</v>
      </c>
      <c r="V97" s="111">
        <f t="shared" si="43"/>
        <v>1.7473543552197801</v>
      </c>
      <c r="W97" s="111">
        <v>200</v>
      </c>
      <c r="X97" s="111">
        <f t="shared" si="44"/>
        <v>1.056</v>
      </c>
      <c r="Y97" s="111">
        <f t="shared" si="45"/>
        <v>0</v>
      </c>
      <c r="Z97" s="111">
        <f t="shared" si="46"/>
        <v>0</v>
      </c>
      <c r="AA97" s="114">
        <f t="shared" si="47"/>
        <v>-0.13339690044395613</v>
      </c>
      <c r="AB97" s="111">
        <f t="shared" si="48"/>
        <v>-0.25264564478021995</v>
      </c>
      <c r="AD97" s="107">
        <f t="shared" si="49"/>
        <v>6.4589203704628437E-2</v>
      </c>
      <c r="AE97" s="23">
        <f t="shared" si="50"/>
        <v>1.6098484848484848E-2</v>
      </c>
      <c r="AF97" s="108">
        <f t="shared" si="51"/>
        <v>1.6666666666666667</v>
      </c>
      <c r="AH97" s="104">
        <f t="shared" si="53"/>
        <v>0.48153234941209166</v>
      </c>
      <c r="AJ97" s="104">
        <f t="shared" si="54"/>
        <v>3.2503433585316186</v>
      </c>
      <c r="AK97" s="23">
        <f t="shared" si="52"/>
        <v>-0.25264564478021995</v>
      </c>
    </row>
    <row r="98" spans="1:37" x14ac:dyDescent="0.35">
      <c r="A98" s="23">
        <v>23</v>
      </c>
      <c r="B98" s="120" t="s">
        <v>164</v>
      </c>
      <c r="C98" s="48" t="s">
        <v>163</v>
      </c>
      <c r="D98" s="111" t="s">
        <v>170</v>
      </c>
      <c r="E98" s="111"/>
      <c r="F98" s="48" t="s">
        <v>158</v>
      </c>
      <c r="G98" s="108">
        <f>'time-factors'!D$37*'time-factors'!B73</f>
        <v>1.2038308735302292</v>
      </c>
      <c r="H98" s="105">
        <f>'time-factors'!L73</f>
        <v>0.85</v>
      </c>
      <c r="I98" s="111" t="s">
        <v>166</v>
      </c>
      <c r="J98" s="96">
        <f>'time-factors'!Q$46</f>
        <v>20</v>
      </c>
      <c r="K98" s="170">
        <f>'time-factors'!K$46</f>
        <v>0.05</v>
      </c>
      <c r="L98" s="114">
        <f t="shared" si="38"/>
        <v>6.8206199112087626E-2</v>
      </c>
      <c r="M98" s="47">
        <v>0.02</v>
      </c>
      <c r="N98" s="111">
        <f t="shared" si="39"/>
        <v>1.7000000000000001E-2</v>
      </c>
      <c r="O98" s="111">
        <v>4.4000000000000004</v>
      </c>
      <c r="P98" s="111">
        <v>200</v>
      </c>
      <c r="Q98" s="115">
        <f t="shared" si="40"/>
        <v>0.88000000000000012</v>
      </c>
      <c r="R98" s="114">
        <f t="shared" si="41"/>
        <v>0.96520619911208771</v>
      </c>
      <c r="S98" s="114">
        <f>1.2*O98</f>
        <v>5.28</v>
      </c>
      <c r="T98" s="114">
        <v>0.1</v>
      </c>
      <c r="U98" s="111">
        <f t="shared" si="42"/>
        <v>0.52800000000000002</v>
      </c>
      <c r="V98" s="111">
        <f t="shared" si="43"/>
        <v>1.8280420437728933</v>
      </c>
      <c r="W98" s="111">
        <v>200</v>
      </c>
      <c r="X98" s="111">
        <f t="shared" si="44"/>
        <v>1.056</v>
      </c>
      <c r="Y98" s="111">
        <f t="shared" si="45"/>
        <v>0</v>
      </c>
      <c r="Z98" s="111">
        <f t="shared" si="46"/>
        <v>0</v>
      </c>
      <c r="AA98" s="114">
        <f t="shared" si="47"/>
        <v>-9.0793800887912335E-2</v>
      </c>
      <c r="AB98" s="111">
        <f t="shared" si="48"/>
        <v>-0.17195795622710669</v>
      </c>
      <c r="AD98" s="107">
        <f t="shared" si="49"/>
        <v>0.12917840740925687</v>
      </c>
      <c r="AE98" s="23">
        <f t="shared" si="50"/>
        <v>3.2196969696969696E-2</v>
      </c>
      <c r="AF98" s="108">
        <f t="shared" si="51"/>
        <v>1.6666666666666667</v>
      </c>
      <c r="AH98" s="104">
        <f t="shared" si="53"/>
        <v>1.2038308735302292</v>
      </c>
      <c r="AJ98" s="104">
        <f t="shared" si="54"/>
        <v>4.454174232061848</v>
      </c>
      <c r="AK98" s="23">
        <f t="shared" si="52"/>
        <v>-0.17195795622710669</v>
      </c>
    </row>
    <row r="99" spans="1:37" x14ac:dyDescent="0.35">
      <c r="A99" s="23">
        <v>19</v>
      </c>
      <c r="B99" s="120" t="s">
        <v>140</v>
      </c>
      <c r="C99" s="111" t="s">
        <v>157</v>
      </c>
      <c r="D99" s="111" t="s">
        <v>170</v>
      </c>
      <c r="E99" s="111"/>
      <c r="F99" s="111" t="s">
        <v>159</v>
      </c>
      <c r="G99" s="108">
        <f>'time-factors'!D$37*'time-factors'!B69</f>
        <v>1.5047885919127864</v>
      </c>
      <c r="H99" s="105">
        <f>'time-factors'!L69</f>
        <v>1.7</v>
      </c>
      <c r="I99" s="111" t="s">
        <v>166</v>
      </c>
      <c r="J99" s="96">
        <f>'time-factors'!Q$45</f>
        <v>15</v>
      </c>
      <c r="K99" s="170">
        <f>'time-factors'!K$45</f>
        <v>0.05</v>
      </c>
      <c r="L99" s="114">
        <f t="shared" si="38"/>
        <v>0.16378188893571544</v>
      </c>
      <c r="M99" s="47">
        <v>0</v>
      </c>
      <c r="N99" s="111">
        <f t="shared" si="39"/>
        <v>0</v>
      </c>
      <c r="O99" s="111">
        <v>2.63</v>
      </c>
      <c r="P99" s="111">
        <v>200</v>
      </c>
      <c r="Q99" s="115">
        <f t="shared" si="40"/>
        <v>0.52600000000000002</v>
      </c>
      <c r="R99" s="114">
        <f t="shared" si="41"/>
        <v>0.68978188893571546</v>
      </c>
      <c r="S99" s="114">
        <f>3.5*O99</f>
        <v>9.2050000000000001</v>
      </c>
      <c r="T99" s="114">
        <v>0.18</v>
      </c>
      <c r="U99" s="111">
        <f t="shared" si="42"/>
        <v>1.6569</v>
      </c>
      <c r="V99" s="111">
        <f t="shared" si="43"/>
        <v>0.41630870235724271</v>
      </c>
      <c r="W99" s="116">
        <v>103</v>
      </c>
      <c r="X99" s="111">
        <f t="shared" si="44"/>
        <v>0.94811500000000004</v>
      </c>
      <c r="Y99" s="111">
        <f t="shared" si="45"/>
        <v>0</v>
      </c>
      <c r="Z99" s="111">
        <f t="shared" si="46"/>
        <v>0</v>
      </c>
      <c r="AA99" s="114">
        <f t="shared" si="47"/>
        <v>-0.25833311106428458</v>
      </c>
      <c r="AB99" s="111">
        <f t="shared" si="48"/>
        <v>-0.15591351986497953</v>
      </c>
      <c r="AD99" s="107">
        <f t="shared" si="49"/>
        <v>9.884838489692524E-2</v>
      </c>
      <c r="AE99" s="23">
        <f t="shared" si="50"/>
        <v>0</v>
      </c>
      <c r="AF99" s="108">
        <f t="shared" si="51"/>
        <v>0.31746031746031744</v>
      </c>
      <c r="AH99" s="104">
        <f t="shared" si="53"/>
        <v>1.5047885919127864</v>
      </c>
      <c r="AJ99" s="104">
        <f t="shared" si="54"/>
        <v>5.9589628239746339</v>
      </c>
      <c r="AK99" s="23">
        <f t="shared" si="52"/>
        <v>-0.15591351986497953</v>
      </c>
    </row>
    <row r="100" spans="1:37" ht="29" x14ac:dyDescent="0.35">
      <c r="A100" s="23">
        <v>25</v>
      </c>
      <c r="B100" s="121" t="s">
        <v>204</v>
      </c>
      <c r="C100" s="24" t="s">
        <v>41</v>
      </c>
      <c r="D100" s="24" t="s">
        <v>198</v>
      </c>
      <c r="E100" s="24"/>
      <c r="F100" s="24" t="s">
        <v>203</v>
      </c>
      <c r="G100" s="108">
        <f>'time-factors'!D$37*'time-factors'!B75</f>
        <v>1.5047885919127864</v>
      </c>
      <c r="H100" s="105">
        <f>'time-factors'!L75</f>
        <v>3.4849999999999994</v>
      </c>
      <c r="I100" s="53" t="s">
        <v>166</v>
      </c>
      <c r="J100" s="168">
        <f>'time-factors'!Q$47</f>
        <v>10</v>
      </c>
      <c r="K100" s="171">
        <f>'time-factors'!K$47</f>
        <v>0.05</v>
      </c>
      <c r="L100" s="55">
        <f t="shared" si="38"/>
        <v>0.45132344375461636</v>
      </c>
      <c r="M100" s="54">
        <v>0</v>
      </c>
      <c r="N100" s="53">
        <f t="shared" si="39"/>
        <v>0</v>
      </c>
      <c r="O100" s="58">
        <v>2.2000000000000002</v>
      </c>
      <c r="P100" s="53">
        <v>200</v>
      </c>
      <c r="Q100" s="56">
        <f t="shared" si="40"/>
        <v>0.44000000000000006</v>
      </c>
      <c r="R100" s="55">
        <f t="shared" si="41"/>
        <v>0.89132344375461647</v>
      </c>
      <c r="S100" s="59">
        <f>2*O100</f>
        <v>4.4000000000000004</v>
      </c>
      <c r="T100" s="59">
        <v>0.27</v>
      </c>
      <c r="U100" s="53">
        <f t="shared" si="42"/>
        <v>1.1880000000000002</v>
      </c>
      <c r="V100" s="53">
        <f t="shared" si="43"/>
        <v>0.75027225905270734</v>
      </c>
      <c r="W100" s="53">
        <v>200</v>
      </c>
      <c r="X100" s="57">
        <f t="shared" si="44"/>
        <v>0.88000000000000012</v>
      </c>
      <c r="Y100" s="53">
        <f t="shared" si="45"/>
        <v>0</v>
      </c>
      <c r="Z100" s="53">
        <f t="shared" si="46"/>
        <v>0</v>
      </c>
      <c r="AA100" s="55">
        <f t="shared" si="47"/>
        <v>1.1323443754616358E-2</v>
      </c>
      <c r="AB100" s="53">
        <f t="shared" si="48"/>
        <v>9.5315183119666306E-3</v>
      </c>
      <c r="AD100" s="107">
        <f t="shared" si="49"/>
        <v>0.37990188868233693</v>
      </c>
      <c r="AE100" s="23">
        <f t="shared" si="50"/>
        <v>0</v>
      </c>
      <c r="AF100" s="108">
        <f t="shared" si="51"/>
        <v>0.37037037037037035</v>
      </c>
      <c r="AH100" s="104">
        <f t="shared" si="53"/>
        <v>1.5047885919127864</v>
      </c>
      <c r="AJ100" s="104">
        <f t="shared" si="54"/>
        <v>7.4637514158874207</v>
      </c>
      <c r="AK100" s="23">
        <f t="shared" si="52"/>
        <v>9.5315183119666306E-3</v>
      </c>
    </row>
    <row r="101" spans="1:37" x14ac:dyDescent="0.35">
      <c r="A101" s="23">
        <v>12</v>
      </c>
      <c r="B101" s="118" t="s">
        <v>151</v>
      </c>
      <c r="C101" s="23" t="s">
        <v>139</v>
      </c>
      <c r="D101" s="23" t="s">
        <v>171</v>
      </c>
      <c r="E101" s="23" t="s">
        <v>128</v>
      </c>
      <c r="F101" s="23" t="s">
        <v>83</v>
      </c>
      <c r="G101" s="108">
        <f>'time-factors'!D$37*'time-factors'!B62</f>
        <v>0.12038308735302292</v>
      </c>
      <c r="H101" s="105">
        <f>'time-factors'!L62</f>
        <v>38.25</v>
      </c>
      <c r="I101" s="106" t="s">
        <v>98</v>
      </c>
      <c r="J101" s="96">
        <f>'time-factors'!Q$43</f>
        <v>10</v>
      </c>
      <c r="K101" s="170">
        <f>'time-factors'!K$43</f>
        <v>0.05</v>
      </c>
      <c r="L101" s="107">
        <f t="shared" si="38"/>
        <v>4.9535499924287176</v>
      </c>
      <c r="M101" s="3">
        <v>0</v>
      </c>
      <c r="N101" s="23">
        <f t="shared" si="39"/>
        <v>0</v>
      </c>
      <c r="O101" s="129" cm="1">
        <f t="array" ref="O101">IFERROR(_xlfn.IFS(E101="Heavy", 'vehicle E calcs'!$H$33,E101="Cars/vans",'vehicle E calcs'!$H$32),"")</f>
        <v>6.3768270755398833</v>
      </c>
      <c r="P101" s="106">
        <v>200</v>
      </c>
      <c r="Q101" s="108">
        <f t="shared" si="40"/>
        <v>1.2753654151079765</v>
      </c>
      <c r="R101" s="107">
        <f t="shared" si="41"/>
        <v>6.2289154075366939</v>
      </c>
      <c r="S101" s="107" cm="1">
        <f t="array" ref="S101">_xlfn.IFS(E101="Heavy", 'vehicle E calcs'!$T$21,E101="Cars/vans",'vehicle E calcs'!$S$21)*O101</f>
        <v>23.354986057632608</v>
      </c>
      <c r="T101" s="109">
        <v>0.27</v>
      </c>
      <c r="U101" s="23">
        <f t="shared" si="42"/>
        <v>6.3058462355608045</v>
      </c>
      <c r="V101" s="23">
        <f t="shared" si="43"/>
        <v>0.98780007866505348</v>
      </c>
      <c r="W101" s="106">
        <f t="shared" ref="W101:W118" si="55">W$2*105</f>
        <v>168</v>
      </c>
      <c r="X101" s="23">
        <f t="shared" si="44"/>
        <v>3.9236376576822782</v>
      </c>
      <c r="Y101" s="96">
        <f t="shared" ref="Y101:Y118" si="56">$Z$2</f>
        <v>0</v>
      </c>
      <c r="Z101" s="23">
        <f t="shared" si="46"/>
        <v>0</v>
      </c>
      <c r="AA101" s="107">
        <f t="shared" si="47"/>
        <v>2.3052777498544157</v>
      </c>
      <c r="AB101" s="23">
        <f t="shared" si="48"/>
        <v>0.36557785644283125</v>
      </c>
      <c r="AD101" s="107">
        <f t="shared" si="49"/>
        <v>0.78554880778633174</v>
      </c>
      <c r="AE101" s="23">
        <f t="shared" si="50"/>
        <v>0</v>
      </c>
      <c r="AF101" s="108">
        <f t="shared" si="51"/>
        <v>0.20225127087872183</v>
      </c>
      <c r="AH101" s="104">
        <f t="shared" si="53"/>
        <v>0.12038308735302292</v>
      </c>
      <c r="AJ101" s="104">
        <f t="shared" si="54"/>
        <v>7.5841345032404437</v>
      </c>
      <c r="AK101" s="23">
        <f t="shared" si="52"/>
        <v>0.36557785644283125</v>
      </c>
    </row>
    <row r="102" spans="1:37" x14ac:dyDescent="0.35">
      <c r="A102" s="23">
        <v>16</v>
      </c>
      <c r="B102" s="118" t="s">
        <v>154</v>
      </c>
      <c r="C102" s="23" t="s">
        <v>139</v>
      </c>
      <c r="D102" s="23" t="s">
        <v>171</v>
      </c>
      <c r="E102" s="23" t="s">
        <v>128</v>
      </c>
      <c r="F102" s="23" t="s">
        <v>83</v>
      </c>
      <c r="G102" s="108">
        <f>'time-factors'!D$37*'time-factors'!B66</f>
        <v>0.12038308735302292</v>
      </c>
      <c r="H102" s="105">
        <f>'time-factors'!L66</f>
        <v>38.25</v>
      </c>
      <c r="I102" s="106" t="s">
        <v>98</v>
      </c>
      <c r="J102" s="96">
        <f>'time-factors'!Q$43</f>
        <v>10</v>
      </c>
      <c r="K102" s="170">
        <f>'time-factors'!K$43</f>
        <v>0.05</v>
      </c>
      <c r="L102" s="107">
        <f t="shared" si="38"/>
        <v>4.9535499924287176</v>
      </c>
      <c r="M102" s="3">
        <v>0</v>
      </c>
      <c r="N102" s="23">
        <f t="shared" si="39"/>
        <v>0</v>
      </c>
      <c r="O102" s="129" cm="1">
        <f t="array" ref="O102">IFERROR(_xlfn.IFS(E102="Heavy", 'vehicle E calcs'!$H$33,E102="Cars/vans",'vehicle E calcs'!$H$32),"")</f>
        <v>6.3768270755398833</v>
      </c>
      <c r="P102" s="106">
        <v>200</v>
      </c>
      <c r="Q102" s="108">
        <f t="shared" si="40"/>
        <v>1.2753654151079765</v>
      </c>
      <c r="R102" s="107">
        <f t="shared" si="41"/>
        <v>6.2289154075366939</v>
      </c>
      <c r="S102" s="107" cm="1">
        <f t="array" ref="S102">_xlfn.IFS(E102="Heavy", 'vehicle E calcs'!$T$21,E102="Cars/vans",'vehicle E calcs'!$S$21)*O102</f>
        <v>23.354986057632608</v>
      </c>
      <c r="T102" s="109">
        <v>0.27</v>
      </c>
      <c r="U102" s="23">
        <f t="shared" si="42"/>
        <v>6.3058462355608045</v>
      </c>
      <c r="V102" s="23">
        <f t="shared" si="43"/>
        <v>0.98780007866505348</v>
      </c>
      <c r="W102" s="106">
        <f t="shared" si="55"/>
        <v>168</v>
      </c>
      <c r="X102" s="23">
        <f t="shared" si="44"/>
        <v>3.9236376576822782</v>
      </c>
      <c r="Y102" s="96">
        <f t="shared" si="56"/>
        <v>0</v>
      </c>
      <c r="Z102" s="23">
        <f t="shared" si="46"/>
        <v>0</v>
      </c>
      <c r="AA102" s="107">
        <f t="shared" si="47"/>
        <v>2.3052777498544157</v>
      </c>
      <c r="AB102" s="23">
        <f t="shared" si="48"/>
        <v>0.36557785644283125</v>
      </c>
      <c r="AD102" s="107">
        <f t="shared" si="49"/>
        <v>0.78554880778633174</v>
      </c>
      <c r="AE102" s="23">
        <f t="shared" si="50"/>
        <v>0</v>
      </c>
      <c r="AF102" s="108">
        <f t="shared" si="51"/>
        <v>0.20225127087872183</v>
      </c>
      <c r="AH102" s="104">
        <f t="shared" si="53"/>
        <v>0.12038308735302292</v>
      </c>
      <c r="AJ102" s="104">
        <f t="shared" si="54"/>
        <v>7.7045175905934666</v>
      </c>
      <c r="AK102" s="23">
        <f t="shared" si="52"/>
        <v>0.36557785644283125</v>
      </c>
    </row>
    <row r="103" spans="1:37" ht="45.5" x14ac:dyDescent="0.35">
      <c r="A103" s="23">
        <v>13</v>
      </c>
      <c r="B103" s="118" t="s">
        <v>232</v>
      </c>
      <c r="C103" s="23" t="s">
        <v>139</v>
      </c>
      <c r="D103" s="23" t="s">
        <v>171</v>
      </c>
      <c r="E103" s="23" t="s">
        <v>188</v>
      </c>
      <c r="F103" s="23" t="s">
        <v>83</v>
      </c>
      <c r="G103" s="108">
        <f>'time-factors'!D$37*'time-factors'!B63</f>
        <v>0.13242139608832521</v>
      </c>
      <c r="H103" s="105">
        <f>'time-factors'!L63</f>
        <v>65.875</v>
      </c>
      <c r="I103" s="106" t="s">
        <v>98</v>
      </c>
      <c r="J103" s="96">
        <f>'time-factors'!Q$43</f>
        <v>10</v>
      </c>
      <c r="K103" s="170">
        <f>'time-factors'!K$43</f>
        <v>0.05</v>
      </c>
      <c r="L103" s="107">
        <f t="shared" si="38"/>
        <v>8.5311138758494582</v>
      </c>
      <c r="M103" s="3">
        <v>0</v>
      </c>
      <c r="N103" s="23">
        <f t="shared" si="39"/>
        <v>0</v>
      </c>
      <c r="O103" s="129" cm="1">
        <f t="array" ref="O103">IFERROR(_xlfn.IFS(E103="Heavy", 'vehicle E calcs'!$H$33,E103="Cars/vans",'vehicle E calcs'!$H$32),"")</f>
        <v>7.1233383316924828</v>
      </c>
      <c r="P103" s="106">
        <v>200</v>
      </c>
      <c r="Q103" s="108">
        <f t="shared" si="40"/>
        <v>1.4246676663384965</v>
      </c>
      <c r="R103" s="107">
        <f t="shared" si="41"/>
        <v>9.955781542187955</v>
      </c>
      <c r="S103" s="107" cm="1">
        <f t="array" ref="S103">_xlfn.IFS(E103="Heavy", 'vehicle E calcs'!$T$21,E103="Cars/vans",'vehicle E calcs'!$S$21)*O103</f>
        <v>24.362584419881831</v>
      </c>
      <c r="T103" s="109">
        <v>0.27</v>
      </c>
      <c r="U103" s="23">
        <f t="shared" si="42"/>
        <v>6.5778977933680949</v>
      </c>
      <c r="V103" s="23">
        <f t="shared" si="43"/>
        <v>1.5135202544839597</v>
      </c>
      <c r="W103" s="106">
        <f t="shared" si="55"/>
        <v>168</v>
      </c>
      <c r="X103" s="23">
        <f t="shared" si="44"/>
        <v>4.0929141825401478</v>
      </c>
      <c r="Y103" s="96">
        <f t="shared" si="56"/>
        <v>0</v>
      </c>
      <c r="Z103" s="23">
        <f t="shared" si="46"/>
        <v>0</v>
      </c>
      <c r="AA103" s="107">
        <f t="shared" si="47"/>
        <v>5.8628673596478071</v>
      </c>
      <c r="AB103" s="23">
        <f t="shared" si="48"/>
        <v>0.89129803226173732</v>
      </c>
      <c r="AD103" s="107">
        <f t="shared" si="49"/>
        <v>1.2969362163776117</v>
      </c>
      <c r="AE103" s="23">
        <f t="shared" si="50"/>
        <v>0</v>
      </c>
      <c r="AF103" s="108">
        <f t="shared" si="51"/>
        <v>0.2165840381063478</v>
      </c>
      <c r="AH103" s="104">
        <f t="shared" si="53"/>
        <v>0.13242139608832521</v>
      </c>
      <c r="AJ103" s="104">
        <f t="shared" si="54"/>
        <v>7.8369389866817922</v>
      </c>
      <c r="AK103" s="23">
        <f t="shared" si="52"/>
        <v>0.89129803226173732</v>
      </c>
    </row>
    <row r="104" spans="1:37" x14ac:dyDescent="0.35">
      <c r="A104" s="23">
        <v>11</v>
      </c>
      <c r="B104" s="118" t="s">
        <v>150</v>
      </c>
      <c r="C104" s="23" t="s">
        <v>139</v>
      </c>
      <c r="D104" s="23" t="s">
        <v>171</v>
      </c>
      <c r="E104" s="23" t="s">
        <v>128</v>
      </c>
      <c r="F104" s="23" t="s">
        <v>83</v>
      </c>
      <c r="G104" s="108">
        <f>'time-factors'!D$37*'time-factors'!B61</f>
        <v>6.0191543676511458E-2</v>
      </c>
      <c r="H104" s="105">
        <f>'time-factors'!L61</f>
        <v>65.875</v>
      </c>
      <c r="I104" s="106" t="s">
        <v>98</v>
      </c>
      <c r="J104" s="96">
        <f>'time-factors'!Q$43</f>
        <v>10</v>
      </c>
      <c r="K104" s="170">
        <f>'time-factors'!K$43</f>
        <v>0.05</v>
      </c>
      <c r="L104" s="107">
        <f t="shared" si="38"/>
        <v>8.5311138758494582</v>
      </c>
      <c r="M104" s="3">
        <v>0</v>
      </c>
      <c r="N104" s="23">
        <f t="shared" si="39"/>
        <v>0</v>
      </c>
      <c r="O104" s="129" cm="1">
        <f t="array" ref="O104">IFERROR(_xlfn.IFS(E104="Heavy", 'vehicle E calcs'!$H$33,E104="Cars/vans",'vehicle E calcs'!$H$32),"")</f>
        <v>6.3768270755398833</v>
      </c>
      <c r="P104" s="106">
        <v>200</v>
      </c>
      <c r="Q104" s="108">
        <f t="shared" si="40"/>
        <v>1.2753654151079765</v>
      </c>
      <c r="R104" s="107">
        <f t="shared" si="41"/>
        <v>9.8064792909574354</v>
      </c>
      <c r="S104" s="107" cm="1">
        <f t="array" ref="S104">_xlfn.IFS(E104="Heavy", 'vehicle E calcs'!$T$21,E104="Cars/vans",'vehicle E calcs'!$S$21)*O104</f>
        <v>23.354986057632608</v>
      </c>
      <c r="T104" s="109">
        <v>0.27</v>
      </c>
      <c r="U104" s="23">
        <f t="shared" si="42"/>
        <v>6.3058462355608045</v>
      </c>
      <c r="V104" s="23">
        <f t="shared" si="43"/>
        <v>1.5551408842885155</v>
      </c>
      <c r="W104" s="106">
        <f t="shared" si="55"/>
        <v>168</v>
      </c>
      <c r="X104" s="23">
        <f t="shared" si="44"/>
        <v>3.9236376576822782</v>
      </c>
      <c r="Y104" s="96">
        <f t="shared" si="56"/>
        <v>0</v>
      </c>
      <c r="Z104" s="23">
        <f t="shared" si="46"/>
        <v>0</v>
      </c>
      <c r="AA104" s="107">
        <f t="shared" si="47"/>
        <v>5.8828416332751576</v>
      </c>
      <c r="AB104" s="23">
        <f t="shared" si="48"/>
        <v>0.93291866206629326</v>
      </c>
      <c r="AD104" s="107">
        <f t="shared" si="49"/>
        <v>1.3528896134097934</v>
      </c>
      <c r="AE104" s="23">
        <f t="shared" si="50"/>
        <v>0</v>
      </c>
      <c r="AF104" s="108">
        <f t="shared" si="51"/>
        <v>0.20225127087872183</v>
      </c>
      <c r="AH104" s="104">
        <f t="shared" si="53"/>
        <v>6.0191543676511458E-2</v>
      </c>
      <c r="AJ104" s="104">
        <f t="shared" si="54"/>
        <v>7.8971305303583037</v>
      </c>
      <c r="AK104" s="23">
        <f t="shared" si="52"/>
        <v>0.93291866206629326</v>
      </c>
    </row>
    <row r="105" spans="1:37" x14ac:dyDescent="0.35">
      <c r="A105" s="23">
        <v>6</v>
      </c>
      <c r="B105" s="118" t="s">
        <v>146</v>
      </c>
      <c r="C105" s="23" t="s">
        <v>139</v>
      </c>
      <c r="D105" s="23" t="s">
        <v>171</v>
      </c>
      <c r="E105" s="23" t="s">
        <v>188</v>
      </c>
      <c r="F105" s="23" t="s">
        <v>83</v>
      </c>
      <c r="G105" s="108">
        <f>'time-factors'!D$37*'time-factors'!B56</f>
        <v>0.17455547666188323</v>
      </c>
      <c r="H105" s="105">
        <f>'time-factors'!L56</f>
        <v>126.348488</v>
      </c>
      <c r="I105" s="106" t="s">
        <v>98</v>
      </c>
      <c r="J105" s="96">
        <f>'time-factors'!Q$43</f>
        <v>10</v>
      </c>
      <c r="K105" s="170">
        <f>'time-factors'!K$43</f>
        <v>0.05</v>
      </c>
      <c r="L105" s="107">
        <f t="shared" si="38"/>
        <v>16.362707235968102</v>
      </c>
      <c r="M105" s="3">
        <v>0</v>
      </c>
      <c r="N105" s="23">
        <f t="shared" si="39"/>
        <v>0</v>
      </c>
      <c r="O105" s="129" cm="1">
        <f t="array" ref="O105">IFERROR(_xlfn.IFS(E105="Heavy", 'vehicle E calcs'!$H$33,E105="Cars/vans",'vehicle E calcs'!$H$32),"")</f>
        <v>7.1233383316924828</v>
      </c>
      <c r="P105" s="106">
        <v>200</v>
      </c>
      <c r="Q105" s="108">
        <f t="shared" si="40"/>
        <v>1.4246676663384965</v>
      </c>
      <c r="R105" s="107">
        <f t="shared" si="41"/>
        <v>17.787374902306599</v>
      </c>
      <c r="S105" s="107" cm="1">
        <f t="array" ref="S105">_xlfn.IFS(E105="Heavy", 'vehicle E calcs'!$T$21,E105="Cars/vans",'vehicle E calcs'!$S$21)*O105</f>
        <v>24.362584419881831</v>
      </c>
      <c r="T105" s="109">
        <v>0.27</v>
      </c>
      <c r="U105" s="23">
        <f t="shared" si="42"/>
        <v>6.5778977933680949</v>
      </c>
      <c r="V105" s="23">
        <f t="shared" si="43"/>
        <v>2.7041123868236467</v>
      </c>
      <c r="W105" s="106">
        <f t="shared" si="55"/>
        <v>168</v>
      </c>
      <c r="X105" s="23">
        <f t="shared" si="44"/>
        <v>4.0929141825401478</v>
      </c>
      <c r="Y105" s="96">
        <f t="shared" si="56"/>
        <v>0</v>
      </c>
      <c r="Z105" s="23">
        <f t="shared" si="46"/>
        <v>0</v>
      </c>
      <c r="AA105" s="107">
        <f t="shared" si="47"/>
        <v>13.69446071976645</v>
      </c>
      <c r="AB105" s="23">
        <f t="shared" si="48"/>
        <v>2.0818901646014245</v>
      </c>
      <c r="AD105" s="107">
        <f t="shared" si="49"/>
        <v>2.4875283487172992</v>
      </c>
      <c r="AE105" s="23">
        <f t="shared" si="50"/>
        <v>0</v>
      </c>
      <c r="AF105" s="108">
        <f t="shared" si="51"/>
        <v>0.2165840381063478</v>
      </c>
      <c r="AH105" s="104">
        <f t="shared" si="53"/>
        <v>0.17455547666188323</v>
      </c>
      <c r="AJ105" s="104">
        <f t="shared" si="54"/>
        <v>8.0716860070201868</v>
      </c>
      <c r="AK105" s="23">
        <f t="shared" si="52"/>
        <v>2.0818901646014245</v>
      </c>
    </row>
    <row r="106" spans="1:37" x14ac:dyDescent="0.35">
      <c r="A106" s="23">
        <v>1</v>
      </c>
      <c r="B106" s="118" t="s">
        <v>141</v>
      </c>
      <c r="C106" s="23" t="s">
        <v>139</v>
      </c>
      <c r="D106" s="23" t="s">
        <v>171</v>
      </c>
      <c r="E106" s="23" t="s">
        <v>128</v>
      </c>
      <c r="F106" s="23" t="s">
        <v>83</v>
      </c>
      <c r="G106" s="108">
        <f>'time-factors'!D$37*'time-factors'!B51</f>
        <v>0.2106704028677901</v>
      </c>
      <c r="H106" s="105">
        <f>'time-factors'!L51</f>
        <v>169.216725</v>
      </c>
      <c r="I106" s="106" t="s">
        <v>98</v>
      </c>
      <c r="J106" s="96">
        <f>'time-factors'!Q$43</f>
        <v>10</v>
      </c>
      <c r="K106" s="170">
        <f>'time-factors'!K$43</f>
        <v>0.05</v>
      </c>
      <c r="L106" s="107">
        <f t="shared" si="38"/>
        <v>21.914340048171567</v>
      </c>
      <c r="M106" s="3">
        <v>0</v>
      </c>
      <c r="N106" s="23">
        <f t="shared" si="39"/>
        <v>0</v>
      </c>
      <c r="O106" s="129" cm="1">
        <f t="array" ref="O106">IFERROR(_xlfn.IFS(E106="Heavy", 'vehicle E calcs'!$H$33,E106="Cars/vans",'vehicle E calcs'!$H$32),"")</f>
        <v>6.3768270755398833</v>
      </c>
      <c r="P106" s="106">
        <v>200</v>
      </c>
      <c r="Q106" s="108">
        <f t="shared" si="40"/>
        <v>1.2753654151079765</v>
      </c>
      <c r="R106" s="107">
        <f t="shared" si="41"/>
        <v>23.189705463279545</v>
      </c>
      <c r="S106" s="107" cm="1">
        <f t="array" ref="S106">_xlfn.IFS(E106="Heavy", 'vehicle E calcs'!$T$21,E106="Cars/vans",'vehicle E calcs'!$S$21)*O106</f>
        <v>23.354986057632608</v>
      </c>
      <c r="T106" s="109">
        <v>0.27</v>
      </c>
      <c r="U106" s="23">
        <f t="shared" si="42"/>
        <v>6.3058462355608045</v>
      </c>
      <c r="V106" s="23">
        <f t="shared" si="43"/>
        <v>3.6774930115651938</v>
      </c>
      <c r="W106" s="106">
        <f t="shared" si="55"/>
        <v>168</v>
      </c>
      <c r="X106" s="23">
        <f t="shared" si="44"/>
        <v>3.9236376576822782</v>
      </c>
      <c r="Y106" s="96">
        <f t="shared" si="56"/>
        <v>0</v>
      </c>
      <c r="Z106" s="23">
        <f t="shared" si="46"/>
        <v>0</v>
      </c>
      <c r="AA106" s="107">
        <f t="shared" si="47"/>
        <v>19.266067805597267</v>
      </c>
      <c r="AB106" s="23">
        <f t="shared" si="48"/>
        <v>3.055270789342972</v>
      </c>
      <c r="AD106" s="107">
        <f t="shared" si="49"/>
        <v>3.4752417406864722</v>
      </c>
      <c r="AE106" s="23">
        <f t="shared" si="50"/>
        <v>0</v>
      </c>
      <c r="AF106" s="108">
        <f t="shared" si="51"/>
        <v>0.20225127087872183</v>
      </c>
      <c r="AH106" s="104">
        <f t="shared" si="53"/>
        <v>0.2106704028677901</v>
      </c>
      <c r="AJ106" s="104">
        <f t="shared" si="54"/>
        <v>8.2823564098879761</v>
      </c>
      <c r="AK106" s="23">
        <f t="shared" si="52"/>
        <v>3.055270789342972</v>
      </c>
    </row>
    <row r="107" spans="1:37" x14ac:dyDescent="0.35">
      <c r="A107" s="23">
        <v>4</v>
      </c>
      <c r="B107" s="118" t="s">
        <v>144</v>
      </c>
      <c r="C107" s="23" t="s">
        <v>139</v>
      </c>
      <c r="D107" s="23" t="s">
        <v>171</v>
      </c>
      <c r="E107" s="23" t="s">
        <v>188</v>
      </c>
      <c r="F107" s="23" t="s">
        <v>83</v>
      </c>
      <c r="G107" s="108">
        <f>'time-factors'!D$37*'time-factors'!B54</f>
        <v>9.028731551476718E-2</v>
      </c>
      <c r="H107" s="105">
        <f>'time-factors'!L54</f>
        <v>244.79999999999998</v>
      </c>
      <c r="I107" s="106" t="s">
        <v>98</v>
      </c>
      <c r="J107" s="96">
        <f>'time-factors'!Q$43</f>
        <v>10</v>
      </c>
      <c r="K107" s="170">
        <f>'time-factors'!K$43</f>
        <v>0.05</v>
      </c>
      <c r="L107" s="107">
        <f t="shared" si="38"/>
        <v>31.702719951543788</v>
      </c>
      <c r="M107" s="3">
        <v>0</v>
      </c>
      <c r="N107" s="23">
        <f t="shared" si="39"/>
        <v>0</v>
      </c>
      <c r="O107" s="129" cm="1">
        <f t="array" ref="O107">IFERROR(_xlfn.IFS(E107="Heavy", 'vehicle E calcs'!$H$33,E107="Cars/vans",'vehicle E calcs'!$H$32),"")</f>
        <v>7.1233383316924828</v>
      </c>
      <c r="P107" s="106">
        <v>200</v>
      </c>
      <c r="Q107" s="108">
        <f t="shared" si="40"/>
        <v>1.4246676663384965</v>
      </c>
      <c r="R107" s="107">
        <f t="shared" si="41"/>
        <v>33.127387617882285</v>
      </c>
      <c r="S107" s="107" cm="1">
        <f t="array" ref="S107">_xlfn.IFS(E107="Heavy", 'vehicle E calcs'!$T$21,E107="Cars/vans",'vehicle E calcs'!$S$21)*O107</f>
        <v>24.362584419881831</v>
      </c>
      <c r="T107" s="109">
        <v>0.27</v>
      </c>
      <c r="U107" s="23">
        <f t="shared" si="42"/>
        <v>6.5778977933680949</v>
      </c>
      <c r="V107" s="23">
        <f t="shared" si="43"/>
        <v>5.0361663647741173</v>
      </c>
      <c r="W107" s="106">
        <f t="shared" si="55"/>
        <v>168</v>
      </c>
      <c r="X107" s="23">
        <f t="shared" si="44"/>
        <v>4.0929141825401478</v>
      </c>
      <c r="Y107" s="96">
        <f t="shared" si="56"/>
        <v>0</v>
      </c>
      <c r="Z107" s="23">
        <f t="shared" si="46"/>
        <v>0</v>
      </c>
      <c r="AA107" s="107">
        <f t="shared" si="47"/>
        <v>29.034473435342136</v>
      </c>
      <c r="AB107" s="23">
        <f t="shared" si="48"/>
        <v>4.4139441425518946</v>
      </c>
      <c r="AD107" s="107">
        <f t="shared" si="49"/>
        <v>4.8195823266677689</v>
      </c>
      <c r="AE107" s="23">
        <f t="shared" si="50"/>
        <v>0</v>
      </c>
      <c r="AF107" s="108">
        <f t="shared" si="51"/>
        <v>0.2165840381063478</v>
      </c>
      <c r="AH107" s="104">
        <f t="shared" si="53"/>
        <v>9.028731551476718E-2</v>
      </c>
      <c r="AJ107" s="104">
        <f t="shared" si="54"/>
        <v>8.3726437254027424</v>
      </c>
      <c r="AK107" s="23">
        <f t="shared" si="52"/>
        <v>4.4139441425518946</v>
      </c>
    </row>
    <row r="108" spans="1:37" ht="29" x14ac:dyDescent="0.35">
      <c r="A108" s="23">
        <v>7</v>
      </c>
      <c r="B108" s="118" t="s">
        <v>147</v>
      </c>
      <c r="C108" s="23" t="s">
        <v>139</v>
      </c>
      <c r="D108" s="23" t="s">
        <v>171</v>
      </c>
      <c r="E108" s="23" t="s">
        <v>188</v>
      </c>
      <c r="F108" s="23" t="s">
        <v>83</v>
      </c>
      <c r="G108" s="108">
        <f>'time-factors'!D$37*'time-factors'!B57</f>
        <v>0.15047885919127865</v>
      </c>
      <c r="H108" s="105">
        <f>'time-factors'!L57</f>
        <v>244.79999999999998</v>
      </c>
      <c r="I108" s="106" t="s">
        <v>98</v>
      </c>
      <c r="J108" s="96">
        <f>'time-factors'!Q$43</f>
        <v>10</v>
      </c>
      <c r="K108" s="170">
        <f>'time-factors'!K$43</f>
        <v>0.05</v>
      </c>
      <c r="L108" s="107">
        <f t="shared" si="38"/>
        <v>31.702719951543788</v>
      </c>
      <c r="M108" s="3">
        <v>0</v>
      </c>
      <c r="N108" s="23">
        <f t="shared" si="39"/>
        <v>0</v>
      </c>
      <c r="O108" s="129" cm="1">
        <f t="array" ref="O108">IFERROR(_xlfn.IFS(E108="Heavy", 'vehicle E calcs'!$H$33,E108="Cars/vans",'vehicle E calcs'!$H$32),"")</f>
        <v>7.1233383316924828</v>
      </c>
      <c r="P108" s="106">
        <v>200</v>
      </c>
      <c r="Q108" s="108">
        <f t="shared" si="40"/>
        <v>1.4246676663384965</v>
      </c>
      <c r="R108" s="107">
        <f t="shared" si="41"/>
        <v>33.127387617882285</v>
      </c>
      <c r="S108" s="107" cm="1">
        <f t="array" ref="S108">_xlfn.IFS(E108="Heavy", 'vehicle E calcs'!$T$21,E108="Cars/vans",'vehicle E calcs'!$S$21)*O108</f>
        <v>24.362584419881831</v>
      </c>
      <c r="T108" s="109">
        <v>0.27</v>
      </c>
      <c r="U108" s="23">
        <f t="shared" si="42"/>
        <v>6.5778977933680949</v>
      </c>
      <c r="V108" s="23">
        <f t="shared" si="43"/>
        <v>5.0361663647741173</v>
      </c>
      <c r="W108" s="106">
        <f t="shared" si="55"/>
        <v>168</v>
      </c>
      <c r="X108" s="23">
        <f t="shared" si="44"/>
        <v>4.0929141825401478</v>
      </c>
      <c r="Y108" s="96">
        <f t="shared" si="56"/>
        <v>0</v>
      </c>
      <c r="Z108" s="23">
        <f t="shared" si="46"/>
        <v>0</v>
      </c>
      <c r="AA108" s="107">
        <f t="shared" si="47"/>
        <v>29.034473435342136</v>
      </c>
      <c r="AB108" s="23">
        <f t="shared" si="48"/>
        <v>4.4139441425518946</v>
      </c>
      <c r="AD108" s="107">
        <f t="shared" si="49"/>
        <v>4.8195823266677689</v>
      </c>
      <c r="AE108" s="23">
        <f t="shared" si="50"/>
        <v>0</v>
      </c>
      <c r="AF108" s="108">
        <f t="shared" si="51"/>
        <v>0.2165840381063478</v>
      </c>
      <c r="AH108" s="104">
        <f t="shared" si="53"/>
        <v>0.15047885919127865</v>
      </c>
      <c r="AJ108" s="104">
        <f t="shared" si="54"/>
        <v>8.5231225845940202</v>
      </c>
      <c r="AK108" s="23">
        <f t="shared" si="52"/>
        <v>4.4139441425518946</v>
      </c>
    </row>
    <row r="109" spans="1:37" x14ac:dyDescent="0.35">
      <c r="A109" s="23">
        <v>9</v>
      </c>
      <c r="B109" s="118" t="s">
        <v>149</v>
      </c>
      <c r="C109" s="23" t="s">
        <v>139</v>
      </c>
      <c r="D109" s="23" t="s">
        <v>171</v>
      </c>
      <c r="E109" s="23" t="s">
        <v>188</v>
      </c>
      <c r="F109" s="23" t="s">
        <v>83</v>
      </c>
      <c r="G109" s="108">
        <f>'time-factors'!D$37*'time-factors'!B59</f>
        <v>6.0191543676511458E-2</v>
      </c>
      <c r="H109" s="105">
        <f>'time-factors'!L59</f>
        <v>244.79999999999998</v>
      </c>
      <c r="I109" s="106" t="s">
        <v>98</v>
      </c>
      <c r="J109" s="96">
        <f>'time-factors'!Q$43</f>
        <v>10</v>
      </c>
      <c r="K109" s="170">
        <f>'time-factors'!K$43</f>
        <v>0.05</v>
      </c>
      <c r="L109" s="107">
        <f t="shared" si="38"/>
        <v>31.702719951543788</v>
      </c>
      <c r="M109" s="3">
        <v>0</v>
      </c>
      <c r="N109" s="23">
        <f t="shared" si="39"/>
        <v>0</v>
      </c>
      <c r="O109" s="129" cm="1">
        <f t="array" ref="O109">IFERROR(_xlfn.IFS(E109="Heavy", 'vehicle E calcs'!$H$33,E109="Cars/vans",'vehicle E calcs'!$H$32),"")</f>
        <v>7.1233383316924828</v>
      </c>
      <c r="P109" s="106">
        <v>200</v>
      </c>
      <c r="Q109" s="108">
        <f t="shared" si="40"/>
        <v>1.4246676663384965</v>
      </c>
      <c r="R109" s="107">
        <f t="shared" si="41"/>
        <v>33.127387617882285</v>
      </c>
      <c r="S109" s="107" cm="1">
        <f t="array" ref="S109">_xlfn.IFS(E109="Heavy", 'vehicle E calcs'!$T$21,E109="Cars/vans",'vehicle E calcs'!$S$21)*O109</f>
        <v>24.362584419881831</v>
      </c>
      <c r="T109" s="109">
        <v>0.27</v>
      </c>
      <c r="U109" s="23">
        <f t="shared" si="42"/>
        <v>6.5778977933680949</v>
      </c>
      <c r="V109" s="23">
        <f t="shared" si="43"/>
        <v>5.0361663647741173</v>
      </c>
      <c r="W109" s="106">
        <f t="shared" si="55"/>
        <v>168</v>
      </c>
      <c r="X109" s="23">
        <f t="shared" si="44"/>
        <v>4.0929141825401478</v>
      </c>
      <c r="Y109" s="96">
        <f t="shared" si="56"/>
        <v>0</v>
      </c>
      <c r="Z109" s="23">
        <f t="shared" si="46"/>
        <v>0</v>
      </c>
      <c r="AA109" s="107">
        <f t="shared" si="47"/>
        <v>29.034473435342136</v>
      </c>
      <c r="AB109" s="23">
        <f t="shared" si="48"/>
        <v>4.4139441425518946</v>
      </c>
      <c r="AD109" s="107">
        <f t="shared" si="49"/>
        <v>4.8195823266677689</v>
      </c>
      <c r="AE109" s="23">
        <f t="shared" si="50"/>
        <v>0</v>
      </c>
      <c r="AF109" s="108">
        <f t="shared" si="51"/>
        <v>0.2165840381063478</v>
      </c>
      <c r="AH109" s="104">
        <f t="shared" si="53"/>
        <v>6.0191543676511458E-2</v>
      </c>
      <c r="AJ109" s="104">
        <f t="shared" si="54"/>
        <v>8.5833141282705316</v>
      </c>
      <c r="AK109" s="23">
        <f t="shared" si="52"/>
        <v>4.4139441425518946</v>
      </c>
    </row>
    <row r="110" spans="1:37" x14ac:dyDescent="0.35">
      <c r="A110" s="23">
        <v>15</v>
      </c>
      <c r="B110" s="118" t="s">
        <v>153</v>
      </c>
      <c r="C110" s="23" t="s">
        <v>139</v>
      </c>
      <c r="D110" s="23" t="s">
        <v>171</v>
      </c>
      <c r="E110" s="23" t="s">
        <v>188</v>
      </c>
      <c r="F110" s="23" t="s">
        <v>83</v>
      </c>
      <c r="G110" s="108">
        <f>'time-factors'!D$37*'time-factors'!B65</f>
        <v>9.6306469882418339E-2</v>
      </c>
      <c r="H110" s="105">
        <f>'time-factors'!L65</f>
        <v>244.79999999999998</v>
      </c>
      <c r="I110" s="106" t="s">
        <v>98</v>
      </c>
      <c r="J110" s="96">
        <f>'time-factors'!Q$43</f>
        <v>10</v>
      </c>
      <c r="K110" s="170">
        <f>'time-factors'!K$43</f>
        <v>0.05</v>
      </c>
      <c r="L110" s="107">
        <f t="shared" si="38"/>
        <v>31.702719951543788</v>
      </c>
      <c r="M110" s="3">
        <v>0</v>
      </c>
      <c r="N110" s="23">
        <f t="shared" si="39"/>
        <v>0</v>
      </c>
      <c r="O110" s="129" cm="1">
        <f t="array" ref="O110">IFERROR(_xlfn.IFS(E110="Heavy", 'vehicle E calcs'!$H$33,E110="Cars/vans",'vehicle E calcs'!$H$32),"")</f>
        <v>7.1233383316924828</v>
      </c>
      <c r="P110" s="106">
        <v>200</v>
      </c>
      <c r="Q110" s="108">
        <f t="shared" si="40"/>
        <v>1.4246676663384965</v>
      </c>
      <c r="R110" s="107">
        <f t="shared" si="41"/>
        <v>33.127387617882285</v>
      </c>
      <c r="S110" s="107" cm="1">
        <f t="array" ref="S110">_xlfn.IFS(E110="Heavy", 'vehicle E calcs'!$T$21,E110="Cars/vans",'vehicle E calcs'!$S$21)*O110</f>
        <v>24.362584419881831</v>
      </c>
      <c r="T110" s="109">
        <v>0.27</v>
      </c>
      <c r="U110" s="23">
        <f t="shared" si="42"/>
        <v>6.5778977933680949</v>
      </c>
      <c r="V110" s="23">
        <f t="shared" si="43"/>
        <v>5.0361663647741173</v>
      </c>
      <c r="W110" s="106">
        <f t="shared" si="55"/>
        <v>168</v>
      </c>
      <c r="X110" s="23">
        <f t="shared" si="44"/>
        <v>4.0929141825401478</v>
      </c>
      <c r="Y110" s="96">
        <f t="shared" si="56"/>
        <v>0</v>
      </c>
      <c r="Z110" s="23">
        <f t="shared" si="46"/>
        <v>0</v>
      </c>
      <c r="AA110" s="107">
        <f t="shared" si="47"/>
        <v>29.034473435342136</v>
      </c>
      <c r="AB110" s="23">
        <f t="shared" si="48"/>
        <v>4.4139441425518946</v>
      </c>
      <c r="AD110" s="107">
        <f t="shared" si="49"/>
        <v>4.8195823266677689</v>
      </c>
      <c r="AE110" s="23">
        <f t="shared" si="50"/>
        <v>0</v>
      </c>
      <c r="AF110" s="108">
        <f t="shared" si="51"/>
        <v>0.2165840381063478</v>
      </c>
      <c r="AH110" s="104">
        <f t="shared" si="53"/>
        <v>9.6306469882418339E-2</v>
      </c>
      <c r="AJ110" s="104">
        <f t="shared" si="54"/>
        <v>8.6796205981529493</v>
      </c>
      <c r="AK110" s="23">
        <f t="shared" si="52"/>
        <v>4.4139441425518946</v>
      </c>
    </row>
    <row r="111" spans="1:37" x14ac:dyDescent="0.35">
      <c r="A111" s="23">
        <v>3</v>
      </c>
      <c r="B111" s="118" t="s">
        <v>143</v>
      </c>
      <c r="C111" s="23" t="s">
        <v>139</v>
      </c>
      <c r="D111" s="23" t="s">
        <v>171</v>
      </c>
      <c r="E111" s="23" t="s">
        <v>188</v>
      </c>
      <c r="F111" s="23" t="s">
        <v>83</v>
      </c>
      <c r="G111" s="108">
        <f>'time-factors'!D$37*'time-factors'!B53</f>
        <v>0.13242139608832521</v>
      </c>
      <c r="H111" s="105">
        <f>'time-factors'!L53</f>
        <v>258.89299999999997</v>
      </c>
      <c r="I111" s="106" t="s">
        <v>98</v>
      </c>
      <c r="J111" s="96">
        <f>'time-factors'!Q$43</f>
        <v>10</v>
      </c>
      <c r="K111" s="170">
        <f>'time-factors'!K$43</f>
        <v>0.05</v>
      </c>
      <c r="L111" s="107">
        <f t="shared" si="38"/>
        <v>33.52782792653197</v>
      </c>
      <c r="M111" s="3">
        <v>0</v>
      </c>
      <c r="N111" s="23">
        <f t="shared" si="39"/>
        <v>0</v>
      </c>
      <c r="O111" s="129" cm="1">
        <f t="array" ref="O111">IFERROR(_xlfn.IFS(E111="Heavy", 'vehicle E calcs'!$H$33,E111="Cars/vans",'vehicle E calcs'!$H$32),"")</f>
        <v>7.1233383316924828</v>
      </c>
      <c r="P111" s="106">
        <v>200</v>
      </c>
      <c r="Q111" s="108">
        <f t="shared" si="40"/>
        <v>1.4246676663384965</v>
      </c>
      <c r="R111" s="107">
        <f t="shared" si="41"/>
        <v>34.952495592870463</v>
      </c>
      <c r="S111" s="107" cm="1">
        <f t="array" ref="S111">_xlfn.IFS(E111="Heavy", 'vehicle E calcs'!$T$21,E111="Cars/vans",'vehicle E calcs'!$S$21)*O111</f>
        <v>24.362584419881831</v>
      </c>
      <c r="T111" s="109">
        <v>0.27</v>
      </c>
      <c r="U111" s="23">
        <f t="shared" si="42"/>
        <v>6.5778977933680949</v>
      </c>
      <c r="V111" s="23">
        <f t="shared" si="43"/>
        <v>5.3136270417746427</v>
      </c>
      <c r="W111" s="106">
        <f t="shared" si="55"/>
        <v>168</v>
      </c>
      <c r="X111" s="23">
        <f t="shared" si="44"/>
        <v>4.0929141825401478</v>
      </c>
      <c r="Y111" s="96">
        <f t="shared" si="56"/>
        <v>0</v>
      </c>
      <c r="Z111" s="23">
        <f t="shared" si="46"/>
        <v>0</v>
      </c>
      <c r="AA111" s="107">
        <f t="shared" si="47"/>
        <v>30.859581410330314</v>
      </c>
      <c r="AB111" s="23">
        <f t="shared" si="48"/>
        <v>4.6914048195524209</v>
      </c>
      <c r="AD111" s="107">
        <f t="shared" si="49"/>
        <v>5.0970430036682961</v>
      </c>
      <c r="AE111" s="23">
        <f t="shared" si="50"/>
        <v>0</v>
      </c>
      <c r="AF111" s="108">
        <f t="shared" si="51"/>
        <v>0.2165840381063478</v>
      </c>
      <c r="AH111" s="104">
        <f t="shared" si="53"/>
        <v>0.13242139608832521</v>
      </c>
      <c r="AJ111" s="104">
        <f t="shared" si="54"/>
        <v>8.8120419942412749</v>
      </c>
      <c r="AK111" s="23">
        <f t="shared" si="52"/>
        <v>4.6914048195524209</v>
      </c>
    </row>
    <row r="112" spans="1:37" x14ac:dyDescent="0.35">
      <c r="A112" s="23">
        <v>17</v>
      </c>
      <c r="B112" s="118" t="s">
        <v>143</v>
      </c>
      <c r="C112" s="23" t="s">
        <v>156</v>
      </c>
      <c r="D112" s="23" t="s">
        <v>171</v>
      </c>
      <c r="E112" s="23" t="s">
        <v>188</v>
      </c>
      <c r="F112" s="23" t="s">
        <v>83</v>
      </c>
      <c r="G112" s="108">
        <f>'time-factors'!D$37*'time-factors'!B67</f>
        <v>0.12038308735302292</v>
      </c>
      <c r="H112" s="105">
        <f>'time-factors'!L67</f>
        <v>261.8</v>
      </c>
      <c r="I112" s="106" t="s">
        <v>98</v>
      </c>
      <c r="J112" s="96">
        <f>'time-factors'!Q$44</f>
        <v>10</v>
      </c>
      <c r="K112" s="170">
        <f>'time-factors'!K$44</f>
        <v>0.05</v>
      </c>
      <c r="L112" s="107">
        <f t="shared" si="38"/>
        <v>33.904297725956553</v>
      </c>
      <c r="M112" s="3">
        <v>0</v>
      </c>
      <c r="N112" s="23">
        <f t="shared" si="39"/>
        <v>0</v>
      </c>
      <c r="O112" s="129" cm="1">
        <f t="array" ref="O112">IFERROR(_xlfn.IFS(E112="Heavy", 'vehicle E calcs'!$H$33,E112="Cars/vans",'vehicle E calcs'!$H$32),"")</f>
        <v>7.1233383316924828</v>
      </c>
      <c r="P112" s="106">
        <v>300</v>
      </c>
      <c r="Q112" s="108">
        <f t="shared" si="40"/>
        <v>2.1370014995077451</v>
      </c>
      <c r="R112" s="107">
        <f t="shared" si="41"/>
        <v>36.0412992254643</v>
      </c>
      <c r="S112" s="107" cm="1">
        <f t="array" ref="S112">_xlfn.IFS(E112="Heavy", 'vehicle E calcs'!$T$21,E112="Cars/vans",'vehicle E calcs'!$S$21)*O112</f>
        <v>24.362584419881831</v>
      </c>
      <c r="T112" s="109">
        <v>0.27</v>
      </c>
      <c r="U112" s="23">
        <f t="shared" si="42"/>
        <v>6.5778977933680949</v>
      </c>
      <c r="V112" s="23">
        <f t="shared" si="43"/>
        <v>5.4791516009569978</v>
      </c>
      <c r="W112" s="106">
        <f t="shared" si="55"/>
        <v>168</v>
      </c>
      <c r="X112" s="23">
        <f t="shared" si="44"/>
        <v>4.0929141825401478</v>
      </c>
      <c r="Y112" s="96">
        <f t="shared" si="56"/>
        <v>0</v>
      </c>
      <c r="Z112" s="23">
        <f t="shared" si="46"/>
        <v>0</v>
      </c>
      <c r="AA112" s="107">
        <f t="shared" si="47"/>
        <v>31.948385042924151</v>
      </c>
      <c r="AB112" s="23">
        <f t="shared" si="48"/>
        <v>4.8569293787347751</v>
      </c>
      <c r="AC112" s="111"/>
      <c r="AD112" s="107">
        <f t="shared" si="49"/>
        <v>5.1542755437974757</v>
      </c>
      <c r="AE112" s="23">
        <f t="shared" si="50"/>
        <v>0</v>
      </c>
      <c r="AF112" s="108">
        <f t="shared" si="51"/>
        <v>0.32487605715952173</v>
      </c>
      <c r="AH112" s="104">
        <f t="shared" si="53"/>
        <v>0.12038308735302292</v>
      </c>
      <c r="AJ112" s="104">
        <f t="shared" si="54"/>
        <v>8.9324250815942978</v>
      </c>
      <c r="AK112" s="23">
        <f t="shared" si="52"/>
        <v>4.8569293787347751</v>
      </c>
    </row>
    <row r="113" spans="1:37" x14ac:dyDescent="0.35">
      <c r="A113" s="23">
        <v>18</v>
      </c>
      <c r="B113" s="119" t="s">
        <v>148</v>
      </c>
      <c r="C113" s="23" t="s">
        <v>156</v>
      </c>
      <c r="D113" s="23" t="s">
        <v>171</v>
      </c>
      <c r="E113" s="23" t="s">
        <v>188</v>
      </c>
      <c r="F113" s="23" t="s">
        <v>83</v>
      </c>
      <c r="G113" s="108">
        <f>'time-factors'!D$37*'time-factors'!B68</f>
        <v>0.12038308735302292</v>
      </c>
      <c r="H113" s="105">
        <f>'time-factors'!L68</f>
        <v>261.8</v>
      </c>
      <c r="I113" s="106" t="s">
        <v>98</v>
      </c>
      <c r="J113" s="96">
        <f>'time-factors'!Q$44</f>
        <v>10</v>
      </c>
      <c r="K113" s="170">
        <f>'time-factors'!K$44</f>
        <v>0.05</v>
      </c>
      <c r="L113" s="107">
        <f t="shared" si="38"/>
        <v>33.904297725956553</v>
      </c>
      <c r="M113" s="3">
        <v>0</v>
      </c>
      <c r="N113" s="23">
        <f t="shared" si="39"/>
        <v>0</v>
      </c>
      <c r="O113" s="129" cm="1">
        <f t="array" ref="O113">IFERROR(_xlfn.IFS(E113="Heavy", 'vehicle E calcs'!$H$33,E113="Cars/vans",'vehicle E calcs'!$H$32),"")</f>
        <v>7.1233383316924828</v>
      </c>
      <c r="P113" s="106">
        <v>300</v>
      </c>
      <c r="Q113" s="108">
        <f t="shared" si="40"/>
        <v>2.1370014995077451</v>
      </c>
      <c r="R113" s="107">
        <f t="shared" si="41"/>
        <v>36.0412992254643</v>
      </c>
      <c r="S113" s="107" cm="1">
        <f t="array" ref="S113">_xlfn.IFS(E113="Heavy", 'vehicle E calcs'!$T$21,E113="Cars/vans",'vehicle E calcs'!$S$21)*O113</f>
        <v>24.362584419881831</v>
      </c>
      <c r="T113" s="109">
        <v>0.27</v>
      </c>
      <c r="U113" s="23">
        <f t="shared" si="42"/>
        <v>6.5778977933680949</v>
      </c>
      <c r="V113" s="23">
        <f t="shared" si="43"/>
        <v>5.4791516009569978</v>
      </c>
      <c r="W113" s="106">
        <f t="shared" si="55"/>
        <v>168</v>
      </c>
      <c r="X113" s="23">
        <f t="shared" si="44"/>
        <v>4.0929141825401478</v>
      </c>
      <c r="Y113" s="96">
        <f t="shared" si="56"/>
        <v>0</v>
      </c>
      <c r="Z113" s="23">
        <f t="shared" si="46"/>
        <v>0</v>
      </c>
      <c r="AA113" s="107">
        <f t="shared" si="47"/>
        <v>31.948385042924151</v>
      </c>
      <c r="AB113" s="23">
        <f t="shared" si="48"/>
        <v>4.8569293787347751</v>
      </c>
      <c r="AC113" s="111"/>
      <c r="AD113" s="107">
        <f t="shared" si="49"/>
        <v>5.1542755437974757</v>
      </c>
      <c r="AE113" s="23">
        <f t="shared" si="50"/>
        <v>0</v>
      </c>
      <c r="AF113" s="108">
        <f t="shared" si="51"/>
        <v>0.32487605715952173</v>
      </c>
      <c r="AH113" s="104">
        <f t="shared" si="53"/>
        <v>0.12038308735302292</v>
      </c>
      <c r="AJ113" s="104">
        <f t="shared" si="54"/>
        <v>9.0528081689473208</v>
      </c>
      <c r="AK113" s="23">
        <f t="shared" si="52"/>
        <v>4.8569293787347751</v>
      </c>
    </row>
    <row r="114" spans="1:37" x14ac:dyDescent="0.35">
      <c r="A114" s="23">
        <v>2</v>
      </c>
      <c r="B114" s="118" t="s">
        <v>142</v>
      </c>
      <c r="C114" s="23" t="s">
        <v>139</v>
      </c>
      <c r="D114" s="23" t="s">
        <v>171</v>
      </c>
      <c r="E114" s="23" t="s">
        <v>128</v>
      </c>
      <c r="F114" s="23" t="s">
        <v>83</v>
      </c>
      <c r="G114" s="108">
        <f>'time-factors'!D$37*'time-factors'!B52</f>
        <v>0.18057463102953436</v>
      </c>
      <c r="H114" s="105">
        <f>'time-factors'!L52</f>
        <v>258.89299999999997</v>
      </c>
      <c r="I114" s="106" t="s">
        <v>98</v>
      </c>
      <c r="J114" s="96">
        <f>'time-factors'!Q$43</f>
        <v>10</v>
      </c>
      <c r="K114" s="170">
        <f>'time-factors'!K$43</f>
        <v>0.05</v>
      </c>
      <c r="L114" s="107">
        <f t="shared" si="38"/>
        <v>33.52782792653197</v>
      </c>
      <c r="M114" s="3">
        <v>0</v>
      </c>
      <c r="N114" s="23">
        <f t="shared" si="39"/>
        <v>0</v>
      </c>
      <c r="O114" s="129" cm="1">
        <f t="array" ref="O114">IFERROR(_xlfn.IFS(E114="Heavy", 'vehicle E calcs'!$H$33,E114="Cars/vans",'vehicle E calcs'!$H$32),"")</f>
        <v>6.3768270755398833</v>
      </c>
      <c r="P114" s="106">
        <v>200</v>
      </c>
      <c r="Q114" s="108">
        <f t="shared" si="40"/>
        <v>1.2753654151079765</v>
      </c>
      <c r="R114" s="107">
        <f t="shared" si="41"/>
        <v>34.803193341639947</v>
      </c>
      <c r="S114" s="107" cm="1">
        <f t="array" ref="S114">_xlfn.IFS(E114="Heavy", 'vehicle E calcs'!$T$21,E114="Cars/vans",'vehicle E calcs'!$S$21)*O114</f>
        <v>23.354986057632608</v>
      </c>
      <c r="T114" s="109">
        <v>0.27</v>
      </c>
      <c r="U114" s="23">
        <f t="shared" si="42"/>
        <v>6.3058462355608045</v>
      </c>
      <c r="V114" s="23">
        <f t="shared" si="43"/>
        <v>5.5191947347800747</v>
      </c>
      <c r="W114" s="106">
        <f t="shared" si="55"/>
        <v>168</v>
      </c>
      <c r="X114" s="23">
        <f t="shared" si="44"/>
        <v>3.9236376576822782</v>
      </c>
      <c r="Y114" s="96">
        <f t="shared" si="56"/>
        <v>0</v>
      </c>
      <c r="Z114" s="23">
        <f t="shared" si="46"/>
        <v>0</v>
      </c>
      <c r="AA114" s="107">
        <f t="shared" si="47"/>
        <v>30.879555683957669</v>
      </c>
      <c r="AB114" s="23">
        <f t="shared" si="48"/>
        <v>4.8969725125578529</v>
      </c>
      <c r="AC114" s="111"/>
      <c r="AD114" s="107">
        <f t="shared" si="49"/>
        <v>5.3169434639013531</v>
      </c>
      <c r="AE114" s="23">
        <f t="shared" si="50"/>
        <v>0</v>
      </c>
      <c r="AF114" s="108">
        <f t="shared" si="51"/>
        <v>0.20225127087872183</v>
      </c>
      <c r="AH114" s="104">
        <f t="shared" si="53"/>
        <v>0.18057463102953436</v>
      </c>
      <c r="AJ114" s="104">
        <f t="shared" si="54"/>
        <v>9.2333827999768552</v>
      </c>
      <c r="AK114" s="23">
        <f t="shared" si="52"/>
        <v>4.8969725125578529</v>
      </c>
    </row>
    <row r="115" spans="1:37" x14ac:dyDescent="0.35">
      <c r="A115" s="23">
        <v>5</v>
      </c>
      <c r="B115" s="118" t="s">
        <v>145</v>
      </c>
      <c r="C115" s="23" t="s">
        <v>139</v>
      </c>
      <c r="D115" s="23" t="s">
        <v>171</v>
      </c>
      <c r="E115" s="23" t="s">
        <v>188</v>
      </c>
      <c r="F115" s="23" t="s">
        <v>83</v>
      </c>
      <c r="G115" s="108">
        <f>'time-factors'!D$37*'time-factors'!B55</f>
        <v>0.12640224172067407</v>
      </c>
      <c r="H115" s="105">
        <f>'time-factors'!L55</f>
        <v>418.2</v>
      </c>
      <c r="I115" s="106" t="s">
        <v>98</v>
      </c>
      <c r="J115" s="96">
        <f>'time-factors'!Q$43</f>
        <v>10</v>
      </c>
      <c r="K115" s="170">
        <f>'time-factors'!K$43</f>
        <v>0.05</v>
      </c>
      <c r="L115" s="107">
        <f t="shared" si="38"/>
        <v>54.158813250553976</v>
      </c>
      <c r="M115" s="3">
        <v>0</v>
      </c>
      <c r="N115" s="23">
        <f t="shared" si="39"/>
        <v>0</v>
      </c>
      <c r="O115" s="129" cm="1">
        <f t="array" ref="O115">IFERROR(_xlfn.IFS(E115="Heavy", 'vehicle E calcs'!$H$33,E115="Cars/vans",'vehicle E calcs'!$H$32),"")</f>
        <v>7.1233383316924828</v>
      </c>
      <c r="P115" s="106">
        <v>200</v>
      </c>
      <c r="Q115" s="108">
        <f t="shared" si="40"/>
        <v>1.4246676663384965</v>
      </c>
      <c r="R115" s="107">
        <f t="shared" si="41"/>
        <v>55.583480916892469</v>
      </c>
      <c r="S115" s="107" cm="1">
        <f t="array" ref="S115">_xlfn.IFS(E115="Heavy", 'vehicle E calcs'!$T$21,E115="Cars/vans",'vehicle E calcs'!$S$21)*O115</f>
        <v>24.362584419881831</v>
      </c>
      <c r="T115" s="109">
        <v>0.27</v>
      </c>
      <c r="U115" s="23">
        <f t="shared" si="42"/>
        <v>6.5778977933680949</v>
      </c>
      <c r="V115" s="23">
        <f t="shared" si="43"/>
        <v>8.4500371794971212</v>
      </c>
      <c r="W115" s="106">
        <f t="shared" si="55"/>
        <v>168</v>
      </c>
      <c r="X115" s="23">
        <f t="shared" si="44"/>
        <v>4.0929141825401478</v>
      </c>
      <c r="Y115" s="96">
        <f t="shared" si="56"/>
        <v>0</v>
      </c>
      <c r="Z115" s="23">
        <f t="shared" si="46"/>
        <v>0</v>
      </c>
      <c r="AA115" s="107">
        <f t="shared" si="47"/>
        <v>51.490566734352321</v>
      </c>
      <c r="AB115" s="23">
        <f t="shared" si="48"/>
        <v>7.8278149572748985</v>
      </c>
      <c r="AC115" s="111"/>
      <c r="AD115" s="107">
        <f t="shared" si="49"/>
        <v>8.2334531413907737</v>
      </c>
      <c r="AE115" s="23">
        <f t="shared" si="50"/>
        <v>0</v>
      </c>
      <c r="AF115" s="108">
        <f t="shared" si="51"/>
        <v>0.2165840381063478</v>
      </c>
      <c r="AH115" s="104">
        <f t="shared" si="53"/>
        <v>0.12640224172067407</v>
      </c>
      <c r="AJ115" s="104">
        <f t="shared" si="54"/>
        <v>9.3597850416975295</v>
      </c>
      <c r="AK115" s="23">
        <f t="shared" si="52"/>
        <v>7.8278149572748985</v>
      </c>
    </row>
    <row r="116" spans="1:37" x14ac:dyDescent="0.35">
      <c r="A116" s="23">
        <v>8</v>
      </c>
      <c r="B116" s="119" t="s">
        <v>148</v>
      </c>
      <c r="C116" s="23" t="s">
        <v>139</v>
      </c>
      <c r="D116" s="23" t="s">
        <v>171</v>
      </c>
      <c r="E116" s="23" t="s">
        <v>188</v>
      </c>
      <c r="F116" s="23" t="s">
        <v>83</v>
      </c>
      <c r="G116" s="108">
        <f>'time-factors'!D$37*'time-factors'!B58</f>
        <v>9.028731551476718E-2</v>
      </c>
      <c r="H116" s="105">
        <f>'time-factors'!L58</f>
        <v>418.2</v>
      </c>
      <c r="I116" s="106" t="s">
        <v>98</v>
      </c>
      <c r="J116" s="96">
        <f>'time-factors'!Q$43</f>
        <v>10</v>
      </c>
      <c r="K116" s="170">
        <f>'time-factors'!K$43</f>
        <v>0.05</v>
      </c>
      <c r="L116" s="107">
        <f t="shared" si="38"/>
        <v>54.158813250553976</v>
      </c>
      <c r="M116" s="3">
        <v>0</v>
      </c>
      <c r="N116" s="23">
        <f t="shared" si="39"/>
        <v>0</v>
      </c>
      <c r="O116" s="129" cm="1">
        <f t="array" ref="O116">IFERROR(_xlfn.IFS(E116="Heavy", 'vehicle E calcs'!$H$33,E116="Cars/vans",'vehicle E calcs'!$H$32),"")</f>
        <v>7.1233383316924828</v>
      </c>
      <c r="P116" s="106">
        <v>200</v>
      </c>
      <c r="Q116" s="108">
        <f t="shared" si="40"/>
        <v>1.4246676663384965</v>
      </c>
      <c r="R116" s="107">
        <f t="shared" si="41"/>
        <v>55.583480916892469</v>
      </c>
      <c r="S116" s="107" cm="1">
        <f t="array" ref="S116">_xlfn.IFS(E116="Heavy", 'vehicle E calcs'!$T$21,E116="Cars/vans",'vehicle E calcs'!$S$21)*O116</f>
        <v>24.362584419881831</v>
      </c>
      <c r="T116" s="109">
        <v>0.27</v>
      </c>
      <c r="U116" s="23">
        <f t="shared" si="42"/>
        <v>6.5778977933680949</v>
      </c>
      <c r="V116" s="23">
        <f t="shared" si="43"/>
        <v>8.4500371794971212</v>
      </c>
      <c r="W116" s="106">
        <f t="shared" si="55"/>
        <v>168</v>
      </c>
      <c r="X116" s="23">
        <f t="shared" si="44"/>
        <v>4.0929141825401478</v>
      </c>
      <c r="Y116" s="96">
        <f t="shared" si="56"/>
        <v>0</v>
      </c>
      <c r="Z116" s="23">
        <f t="shared" si="46"/>
        <v>0</v>
      </c>
      <c r="AA116" s="107">
        <f t="shared" si="47"/>
        <v>51.490566734352321</v>
      </c>
      <c r="AB116" s="23">
        <f t="shared" si="48"/>
        <v>7.8278149572748985</v>
      </c>
      <c r="AC116" s="111"/>
      <c r="AD116" s="107">
        <f t="shared" si="49"/>
        <v>8.2334531413907737</v>
      </c>
      <c r="AE116" s="23">
        <f t="shared" si="50"/>
        <v>0</v>
      </c>
      <c r="AF116" s="108">
        <f t="shared" si="51"/>
        <v>0.2165840381063478</v>
      </c>
      <c r="AH116" s="104">
        <f t="shared" si="53"/>
        <v>9.028731551476718E-2</v>
      </c>
      <c r="AJ116" s="104">
        <f t="shared" si="54"/>
        <v>9.4500723572122958</v>
      </c>
      <c r="AK116" s="23">
        <f t="shared" si="52"/>
        <v>7.8278149572748985</v>
      </c>
    </row>
    <row r="117" spans="1:37" x14ac:dyDescent="0.35">
      <c r="A117" s="23">
        <v>10</v>
      </c>
      <c r="B117" s="118" t="s">
        <v>58</v>
      </c>
      <c r="C117" s="23" t="s">
        <v>139</v>
      </c>
      <c r="D117" s="23" t="s">
        <v>171</v>
      </c>
      <c r="E117" s="23" t="s">
        <v>188</v>
      </c>
      <c r="F117" s="23" t="s">
        <v>83</v>
      </c>
      <c r="G117" s="108">
        <f>'time-factors'!D$37*'time-factors'!B60</f>
        <v>0.12038308735302292</v>
      </c>
      <c r="H117" s="105">
        <f>'time-factors'!L60</f>
        <v>659.6</v>
      </c>
      <c r="I117" s="106" t="s">
        <v>98</v>
      </c>
      <c r="J117" s="96">
        <f>'time-factors'!Q$43</f>
        <v>10</v>
      </c>
      <c r="K117" s="170">
        <f>'time-factors'!K$43</f>
        <v>0.05</v>
      </c>
      <c r="L117" s="107">
        <f t="shared" si="38"/>
        <v>85.421217647215215</v>
      </c>
      <c r="M117" s="3">
        <v>0</v>
      </c>
      <c r="N117" s="23">
        <f t="shared" si="39"/>
        <v>0</v>
      </c>
      <c r="O117" s="129" cm="1">
        <f t="array" ref="O117">IFERROR(_xlfn.IFS(E117="Heavy", 'vehicle E calcs'!$H$33,E117="Cars/vans",'vehicle E calcs'!$H$32),"")</f>
        <v>7.1233383316924828</v>
      </c>
      <c r="P117" s="106">
        <v>200</v>
      </c>
      <c r="Q117" s="108">
        <f t="shared" si="40"/>
        <v>1.4246676663384965</v>
      </c>
      <c r="R117" s="107">
        <f t="shared" si="41"/>
        <v>86.845885313553708</v>
      </c>
      <c r="S117" s="107" cm="1">
        <f t="array" ref="S117">_xlfn.IFS(E117="Heavy", 'vehicle E calcs'!$T$21,E117="Cars/vans",'vehicle E calcs'!$S$21)*O117</f>
        <v>24.362584419881831</v>
      </c>
      <c r="T117" s="109">
        <v>0.27</v>
      </c>
      <c r="U117" s="23">
        <f t="shared" si="42"/>
        <v>6.5778977933680949</v>
      </c>
      <c r="V117" s="23">
        <f t="shared" si="43"/>
        <v>13.20268086273895</v>
      </c>
      <c r="W117" s="106">
        <f t="shared" si="55"/>
        <v>168</v>
      </c>
      <c r="X117" s="23">
        <f t="shared" si="44"/>
        <v>4.0929141825401478</v>
      </c>
      <c r="Y117" s="96">
        <f t="shared" si="56"/>
        <v>0</v>
      </c>
      <c r="Z117" s="23">
        <f t="shared" si="46"/>
        <v>0</v>
      </c>
      <c r="AA117" s="107">
        <f t="shared" si="47"/>
        <v>82.752971131013567</v>
      </c>
      <c r="AB117" s="23">
        <f t="shared" si="48"/>
        <v>12.580458640516728</v>
      </c>
      <c r="AC117" s="111"/>
      <c r="AD117" s="107">
        <f t="shared" si="49"/>
        <v>12.986096824632602</v>
      </c>
      <c r="AE117" s="23">
        <f t="shared" si="50"/>
        <v>0</v>
      </c>
      <c r="AF117" s="108">
        <f t="shared" si="51"/>
        <v>0.2165840381063478</v>
      </c>
      <c r="AH117" s="104">
        <f t="shared" si="53"/>
        <v>0.12038308735302292</v>
      </c>
      <c r="AJ117" s="104">
        <f t="shared" si="54"/>
        <v>9.5704554445653187</v>
      </c>
      <c r="AK117" s="23">
        <f t="shared" si="52"/>
        <v>12.580458640516728</v>
      </c>
    </row>
    <row r="118" spans="1:37" x14ac:dyDescent="0.35">
      <c r="A118" s="23">
        <v>14</v>
      </c>
      <c r="B118" s="118" t="s">
        <v>152</v>
      </c>
      <c r="C118" s="23" t="s">
        <v>139</v>
      </c>
      <c r="D118" s="23" t="s">
        <v>171</v>
      </c>
      <c r="E118" s="23" t="s">
        <v>188</v>
      </c>
      <c r="F118" s="23" t="s">
        <v>83</v>
      </c>
      <c r="G118" s="108">
        <f>'time-factors'!D$37*'time-factors'!B64</f>
        <v>7.8249006779464891E-2</v>
      </c>
      <c r="H118" s="105">
        <f>'time-factors'!L64</f>
        <v>659.6</v>
      </c>
      <c r="I118" s="106" t="s">
        <v>98</v>
      </c>
      <c r="J118" s="96">
        <f>'time-factors'!Q$43</f>
        <v>10</v>
      </c>
      <c r="K118" s="170">
        <f>'time-factors'!K$43</f>
        <v>0.05</v>
      </c>
      <c r="L118" s="107">
        <f t="shared" si="38"/>
        <v>85.421217647215215</v>
      </c>
      <c r="M118" s="3">
        <v>0</v>
      </c>
      <c r="N118" s="23">
        <f t="shared" si="39"/>
        <v>0</v>
      </c>
      <c r="O118" s="129" cm="1">
        <f t="array" ref="O118">IFERROR(_xlfn.IFS(E118="Heavy", 'vehicle E calcs'!$H$33,E118="Cars/vans",'vehicle E calcs'!$H$32),"")</f>
        <v>7.1233383316924828</v>
      </c>
      <c r="P118" s="106">
        <v>200</v>
      </c>
      <c r="Q118" s="108">
        <f t="shared" si="40"/>
        <v>1.4246676663384965</v>
      </c>
      <c r="R118" s="107">
        <f t="shared" si="41"/>
        <v>86.845885313553708</v>
      </c>
      <c r="S118" s="107" cm="1">
        <f t="array" ref="S118">_xlfn.IFS(E118="Heavy", 'vehicle E calcs'!$T$21,E118="Cars/vans",'vehicle E calcs'!$S$21)*O118</f>
        <v>24.362584419881831</v>
      </c>
      <c r="T118" s="109">
        <v>0.27</v>
      </c>
      <c r="U118" s="23">
        <f t="shared" si="42"/>
        <v>6.5778977933680949</v>
      </c>
      <c r="V118" s="23">
        <f t="shared" si="43"/>
        <v>13.20268086273895</v>
      </c>
      <c r="W118" s="106">
        <f t="shared" si="55"/>
        <v>168</v>
      </c>
      <c r="X118" s="23">
        <f t="shared" si="44"/>
        <v>4.0929141825401478</v>
      </c>
      <c r="Y118" s="96">
        <f t="shared" si="56"/>
        <v>0</v>
      </c>
      <c r="Z118" s="23">
        <f t="shared" si="46"/>
        <v>0</v>
      </c>
      <c r="AA118" s="107">
        <f t="shared" si="47"/>
        <v>82.752971131013567</v>
      </c>
      <c r="AB118" s="23">
        <f t="shared" si="48"/>
        <v>12.580458640516728</v>
      </c>
      <c r="AC118" s="53"/>
      <c r="AD118" s="107">
        <f t="shared" si="49"/>
        <v>12.986096824632602</v>
      </c>
      <c r="AE118" s="23">
        <f t="shared" si="50"/>
        <v>0</v>
      </c>
      <c r="AF118" s="108">
        <f t="shared" si="51"/>
        <v>0.2165840381063478</v>
      </c>
      <c r="AH118" s="104">
        <f t="shared" si="53"/>
        <v>7.8249006779464891E-2</v>
      </c>
      <c r="AJ118" s="104">
        <f t="shared" si="54"/>
        <v>9.6487044513447842</v>
      </c>
      <c r="AK118" s="23">
        <f t="shared" si="52"/>
        <v>12.580458640516728</v>
      </c>
    </row>
    <row r="119" spans="1:37" x14ac:dyDescent="0.35">
      <c r="B119" s="122"/>
      <c r="C119" s="24"/>
      <c r="D119" s="24"/>
      <c r="E119" s="24"/>
      <c r="F119" s="131" t="s">
        <v>50</v>
      </c>
      <c r="G119" s="104">
        <f>SUM(G94:G118)</f>
        <v>9.6487044513447842</v>
      </c>
    </row>
    <row r="120" spans="1:37" x14ac:dyDescent="0.35">
      <c r="B120" s="122"/>
      <c r="C120" s="24"/>
      <c r="D120" s="24"/>
      <c r="E120" s="24"/>
      <c r="F120" s="24"/>
    </row>
    <row r="121" spans="1:37" x14ac:dyDescent="0.35">
      <c r="B121" s="123"/>
      <c r="C121" s="125"/>
      <c r="F121" s="24"/>
    </row>
    <row r="122" spans="1:37" x14ac:dyDescent="0.35">
      <c r="B122" s="123"/>
      <c r="C122" s="125"/>
    </row>
    <row r="123" spans="1:37" x14ac:dyDescent="0.35">
      <c r="B123" s="96"/>
      <c r="C123" s="96"/>
    </row>
    <row r="124" spans="1:37" x14ac:dyDescent="0.35">
      <c r="B124" s="96"/>
      <c r="C124" s="96"/>
    </row>
    <row r="135" spans="1:37" x14ac:dyDescent="0.35">
      <c r="A135" s="132"/>
      <c r="B135" s="132"/>
      <c r="C135" s="132"/>
      <c r="D135" s="132"/>
      <c r="E135" s="132"/>
      <c r="F135" s="132"/>
      <c r="G135" s="132"/>
      <c r="H135" s="132"/>
      <c r="I135" s="132"/>
      <c r="J135" s="132"/>
      <c r="K135" s="132"/>
      <c r="L135" s="132"/>
      <c r="M135" s="132"/>
      <c r="N135" s="132"/>
      <c r="O135" s="132"/>
      <c r="P135" s="132"/>
      <c r="Q135" s="132"/>
      <c r="R135" s="132"/>
      <c r="S135" s="132"/>
      <c r="T135" s="132"/>
      <c r="U135" s="132"/>
      <c r="V135" s="132"/>
      <c r="W135" s="132"/>
      <c r="X135" s="132"/>
      <c r="Y135" s="132"/>
      <c r="Z135" s="132"/>
      <c r="AA135" s="132"/>
      <c r="AB135" s="132"/>
      <c r="AC135" s="132"/>
      <c r="AD135" s="132"/>
      <c r="AE135" s="132"/>
      <c r="AF135" s="132"/>
      <c r="AG135" s="132"/>
      <c r="AH135" s="132"/>
      <c r="AI135" s="132"/>
      <c r="AJ135" s="132"/>
      <c r="AK135" s="132"/>
    </row>
    <row r="136" spans="1:37" ht="21" x14ac:dyDescent="0.5">
      <c r="B136" s="134" t="s">
        <v>280</v>
      </c>
      <c r="C136" s="136">
        <f>C91</f>
        <v>2030</v>
      </c>
      <c r="W136" s="23" t="s">
        <v>202</v>
      </c>
      <c r="AB136" s="95"/>
    </row>
    <row r="137" spans="1:37" x14ac:dyDescent="0.35">
      <c r="H137" s="96"/>
      <c r="T137" s="99" t="s">
        <v>138</v>
      </c>
      <c r="W137" s="99">
        <v>1.7</v>
      </c>
      <c r="X137" s="23" t="s">
        <v>174</v>
      </c>
      <c r="Z137" s="100">
        <v>0</v>
      </c>
      <c r="AA137" s="23" t="s">
        <v>175</v>
      </c>
      <c r="AC137" s="101">
        <v>0</v>
      </c>
    </row>
    <row r="138" spans="1:37" ht="72.5" x14ac:dyDescent="0.35">
      <c r="B138" s="102" t="s">
        <v>173</v>
      </c>
      <c r="C138" s="103" t="s">
        <v>95</v>
      </c>
      <c r="D138" s="103" t="s">
        <v>172</v>
      </c>
      <c r="E138" s="103" t="s">
        <v>231</v>
      </c>
      <c r="F138" s="103" t="s">
        <v>96</v>
      </c>
      <c r="G138" s="103" t="s">
        <v>205</v>
      </c>
      <c r="H138" s="103" t="s">
        <v>99</v>
      </c>
      <c r="I138" s="103" t="s">
        <v>97</v>
      </c>
      <c r="J138" s="103" t="s">
        <v>100</v>
      </c>
      <c r="K138" s="103" t="s">
        <v>101</v>
      </c>
      <c r="L138" s="103" t="s">
        <v>102</v>
      </c>
      <c r="M138" s="103" t="s">
        <v>129</v>
      </c>
      <c r="N138" s="103" t="s">
        <v>130</v>
      </c>
      <c r="O138" s="103" t="s">
        <v>132</v>
      </c>
      <c r="P138" s="103" t="s">
        <v>133</v>
      </c>
      <c r="Q138" s="103" t="s">
        <v>131</v>
      </c>
      <c r="R138" s="117" t="s">
        <v>136</v>
      </c>
      <c r="S138" s="103" t="s">
        <v>135</v>
      </c>
      <c r="T138" s="103" t="s">
        <v>134</v>
      </c>
      <c r="U138" s="103" t="s">
        <v>103</v>
      </c>
      <c r="V138" s="117" t="s">
        <v>108</v>
      </c>
      <c r="W138" s="103" t="s">
        <v>199</v>
      </c>
      <c r="X138" s="103" t="s">
        <v>104</v>
      </c>
      <c r="Y138" s="103" t="s">
        <v>105</v>
      </c>
      <c r="Z138" s="103" t="s">
        <v>106</v>
      </c>
      <c r="AA138" s="103" t="s">
        <v>137</v>
      </c>
      <c r="AB138" s="117" t="s">
        <v>107</v>
      </c>
      <c r="AD138" s="103" t="s">
        <v>167</v>
      </c>
      <c r="AE138" s="103" t="s">
        <v>168</v>
      </c>
      <c r="AF138" s="103" t="s">
        <v>169</v>
      </c>
      <c r="AJ138" s="103" t="s">
        <v>177</v>
      </c>
      <c r="AK138" s="103" t="s">
        <v>176</v>
      </c>
    </row>
    <row r="139" spans="1:37" x14ac:dyDescent="0.35">
      <c r="A139" s="23">
        <v>20</v>
      </c>
      <c r="B139" s="120" t="s">
        <v>162</v>
      </c>
      <c r="C139" s="111" t="s">
        <v>157</v>
      </c>
      <c r="D139" s="111" t="s">
        <v>170</v>
      </c>
      <c r="E139" s="111"/>
      <c r="F139" s="111" t="s">
        <v>158</v>
      </c>
      <c r="G139" s="167">
        <f>'time-factors'!D$38*'time-factors'!B70</f>
        <v>8.5031446540880518E-3</v>
      </c>
      <c r="H139" s="166">
        <f>'time-factors'!L70</f>
        <v>0.1275</v>
      </c>
      <c r="I139" s="168" t="s">
        <v>166</v>
      </c>
      <c r="J139" s="96">
        <f>'time-factors'!Q$46</f>
        <v>20</v>
      </c>
      <c r="K139" s="170">
        <f>'time-factors'!K$46</f>
        <v>0.05</v>
      </c>
      <c r="L139" s="172">
        <f t="shared" ref="L139:L163" si="57">PMT(K139,J139,-H139)</f>
        <v>1.0230929866813142E-2</v>
      </c>
      <c r="M139" s="171">
        <v>0.02</v>
      </c>
      <c r="N139" s="168">
        <f t="shared" ref="N139:N163" si="58">M139*H139</f>
        <v>2.5500000000000002E-3</v>
      </c>
      <c r="O139" s="168">
        <v>1.5</v>
      </c>
      <c r="P139" s="111">
        <v>200</v>
      </c>
      <c r="Q139" s="115">
        <f t="shared" ref="Q139:Q163" si="59">P139*O139*0.001</f>
        <v>0.3</v>
      </c>
      <c r="R139" s="114">
        <f t="shared" ref="R139:R163" si="60">L139+N139+Q139</f>
        <v>0.31278092986681311</v>
      </c>
      <c r="S139" s="114">
        <f>2*O139</f>
        <v>3</v>
      </c>
      <c r="T139" s="114">
        <v>0.1</v>
      </c>
      <c r="U139" s="111">
        <f t="shared" ref="U139:U163" si="61">T139*S139</f>
        <v>0.30000000000000004</v>
      </c>
      <c r="V139" s="111">
        <f t="shared" ref="V139:V163" si="62">R139/U139</f>
        <v>1.0426030995560436</v>
      </c>
      <c r="W139" s="111">
        <v>200</v>
      </c>
      <c r="X139" s="111">
        <f t="shared" ref="X139:X163" si="63">W139*S139*0.001</f>
        <v>0.6</v>
      </c>
      <c r="Y139" s="111">
        <f t="shared" ref="Y139:Y145" si="64">$AC$2</f>
        <v>0</v>
      </c>
      <c r="Z139" s="111">
        <f t="shared" ref="Z139:Z163" si="65">Y139*U139</f>
        <v>0</v>
      </c>
      <c r="AA139" s="114">
        <f t="shared" ref="AA139:AA163" si="66">R139-X139-Z139</f>
        <v>-0.28721907013318687</v>
      </c>
      <c r="AB139" s="111">
        <f t="shared" ref="AB139:AB163" si="67">AA139/U139</f>
        <v>-0.95739690044395609</v>
      </c>
      <c r="AC139" s="111"/>
      <c r="AD139" s="107">
        <f t="shared" ref="AD139:AD163" si="68">L139/U139</f>
        <v>3.4103099556043799E-2</v>
      </c>
      <c r="AE139" s="23">
        <f t="shared" ref="AE139:AE163" si="69">N139/U139</f>
        <v>8.4999999999999989E-3</v>
      </c>
      <c r="AF139" s="108">
        <f t="shared" ref="AF139:AF163" si="70">Q139/U139</f>
        <v>0.99999999999999978</v>
      </c>
      <c r="AH139" s="104">
        <f>G139</f>
        <v>8.5031446540880518E-3</v>
      </c>
      <c r="AJ139" s="108">
        <f>AH139</f>
        <v>8.5031446540880518E-3</v>
      </c>
      <c r="AK139" s="23">
        <f t="shared" ref="AK139:AK163" si="71">AB139</f>
        <v>-0.95739690044395609</v>
      </c>
    </row>
    <row r="140" spans="1:37" x14ac:dyDescent="0.35">
      <c r="A140" s="23">
        <v>21</v>
      </c>
      <c r="B140" s="120" t="s">
        <v>160</v>
      </c>
      <c r="C140" s="48" t="s">
        <v>163</v>
      </c>
      <c r="D140" s="111" t="s">
        <v>170</v>
      </c>
      <c r="E140" s="111"/>
      <c r="F140" s="48" t="s">
        <v>158</v>
      </c>
      <c r="G140" s="167">
        <f>'time-factors'!D$38*'time-factors'!B71</f>
        <v>1.5589098532494761E-2</v>
      </c>
      <c r="H140" s="166">
        <f>'time-factors'!L71</f>
        <v>0.21249999999999999</v>
      </c>
      <c r="I140" s="168" t="s">
        <v>166</v>
      </c>
      <c r="J140" s="96">
        <f>'time-factors'!Q$46</f>
        <v>20</v>
      </c>
      <c r="K140" s="170">
        <f>'time-factors'!K$46</f>
        <v>0.05</v>
      </c>
      <c r="L140" s="172">
        <f t="shared" si="57"/>
        <v>1.7051549778021906E-2</v>
      </c>
      <c r="M140" s="171">
        <v>0.02</v>
      </c>
      <c r="N140" s="168">
        <f t="shared" si="58"/>
        <v>4.2500000000000003E-3</v>
      </c>
      <c r="O140" s="168">
        <v>4.4000000000000004</v>
      </c>
      <c r="P140" s="111">
        <v>200</v>
      </c>
      <c r="Q140" s="115">
        <f t="shared" si="59"/>
        <v>0.88000000000000012</v>
      </c>
      <c r="R140" s="114">
        <f t="shared" si="60"/>
        <v>0.90130154977802202</v>
      </c>
      <c r="S140" s="114">
        <f>1.2*O140</f>
        <v>5.28</v>
      </c>
      <c r="T140" s="114">
        <v>0.1</v>
      </c>
      <c r="U140" s="111">
        <f t="shared" si="61"/>
        <v>0.52800000000000002</v>
      </c>
      <c r="V140" s="111">
        <f t="shared" si="62"/>
        <v>1.7070105109432234</v>
      </c>
      <c r="W140" s="111">
        <v>200</v>
      </c>
      <c r="X140" s="111">
        <f t="shared" si="63"/>
        <v>1.056</v>
      </c>
      <c r="Y140" s="111">
        <f t="shared" si="64"/>
        <v>0</v>
      </c>
      <c r="Z140" s="111">
        <f t="shared" si="65"/>
        <v>0</v>
      </c>
      <c r="AA140" s="114">
        <f t="shared" si="66"/>
        <v>-0.15469845022197803</v>
      </c>
      <c r="AB140" s="111">
        <f t="shared" si="67"/>
        <v>-0.29298948905677658</v>
      </c>
      <c r="AC140" s="111"/>
      <c r="AD140" s="107">
        <f t="shared" si="68"/>
        <v>3.2294601852314218E-2</v>
      </c>
      <c r="AE140" s="23">
        <f t="shared" si="69"/>
        <v>8.049242424242424E-3</v>
      </c>
      <c r="AF140" s="108">
        <f t="shared" si="70"/>
        <v>1.6666666666666667</v>
      </c>
      <c r="AH140" s="104">
        <f t="shared" ref="AH140:AH163" si="72">G140</f>
        <v>1.5589098532494761E-2</v>
      </c>
      <c r="AJ140" s="108">
        <f>AJ139+AH140</f>
        <v>2.4092243186582811E-2</v>
      </c>
      <c r="AK140" s="23">
        <f t="shared" si="71"/>
        <v>-0.29298948905677658</v>
      </c>
    </row>
    <row r="141" spans="1:37" ht="29" x14ac:dyDescent="0.35">
      <c r="A141" s="23">
        <v>22</v>
      </c>
      <c r="B141" s="120" t="s">
        <v>161</v>
      </c>
      <c r="C141" s="48" t="s">
        <v>163</v>
      </c>
      <c r="D141" s="111" t="s">
        <v>170</v>
      </c>
      <c r="E141" s="111"/>
      <c r="F141" s="48" t="s">
        <v>158</v>
      </c>
      <c r="G141" s="167">
        <f>'time-factors'!D$38*'time-factors'!B72</f>
        <v>8.5031446540880518E-3</v>
      </c>
      <c r="H141" s="166">
        <f>'time-factors'!L72</f>
        <v>0.42499999999999999</v>
      </c>
      <c r="I141" s="168" t="s">
        <v>166</v>
      </c>
      <c r="J141" s="96">
        <f>'time-factors'!Q$46</f>
        <v>20</v>
      </c>
      <c r="K141" s="170">
        <f>'time-factors'!K$46</f>
        <v>0.05</v>
      </c>
      <c r="L141" s="172">
        <f t="shared" si="57"/>
        <v>3.4103099556043813E-2</v>
      </c>
      <c r="M141" s="171">
        <v>0.02</v>
      </c>
      <c r="N141" s="168">
        <f t="shared" si="58"/>
        <v>8.5000000000000006E-3</v>
      </c>
      <c r="O141" s="168">
        <v>4.4000000000000004</v>
      </c>
      <c r="P141" s="111">
        <v>200</v>
      </c>
      <c r="Q141" s="115">
        <f t="shared" si="59"/>
        <v>0.88000000000000012</v>
      </c>
      <c r="R141" s="114">
        <f t="shared" si="60"/>
        <v>0.92260309955604392</v>
      </c>
      <c r="S141" s="114">
        <f>1.2*O141</f>
        <v>5.28</v>
      </c>
      <c r="T141" s="114">
        <v>0.1</v>
      </c>
      <c r="U141" s="111">
        <f t="shared" si="61"/>
        <v>0.52800000000000002</v>
      </c>
      <c r="V141" s="111">
        <f t="shared" si="62"/>
        <v>1.7473543552197801</v>
      </c>
      <c r="W141" s="111">
        <v>200</v>
      </c>
      <c r="X141" s="111">
        <f t="shared" si="63"/>
        <v>1.056</v>
      </c>
      <c r="Y141" s="111">
        <f t="shared" si="64"/>
        <v>0</v>
      </c>
      <c r="Z141" s="111">
        <f t="shared" si="65"/>
        <v>0</v>
      </c>
      <c r="AA141" s="114">
        <f t="shared" si="66"/>
        <v>-0.13339690044395613</v>
      </c>
      <c r="AB141" s="111">
        <f t="shared" si="67"/>
        <v>-0.25264564478021995</v>
      </c>
      <c r="AC141" s="111"/>
      <c r="AD141" s="107">
        <f t="shared" si="68"/>
        <v>6.4589203704628437E-2</v>
      </c>
      <c r="AE141" s="23">
        <f t="shared" si="69"/>
        <v>1.6098484848484848E-2</v>
      </c>
      <c r="AF141" s="108">
        <f t="shared" si="70"/>
        <v>1.6666666666666667</v>
      </c>
      <c r="AH141" s="104">
        <f t="shared" si="72"/>
        <v>8.5031446540880518E-3</v>
      </c>
      <c r="AJ141" s="108">
        <f t="shared" ref="AJ141:AJ163" si="73">AJ140+AH141</f>
        <v>3.2595387840670863E-2</v>
      </c>
      <c r="AK141" s="23">
        <f t="shared" si="71"/>
        <v>-0.25264564478021995</v>
      </c>
    </row>
    <row r="142" spans="1:37" x14ac:dyDescent="0.35">
      <c r="A142" s="23">
        <v>24</v>
      </c>
      <c r="B142" s="120" t="s">
        <v>165</v>
      </c>
      <c r="C142" s="120" t="s">
        <v>165</v>
      </c>
      <c r="D142" s="111" t="s">
        <v>170</v>
      </c>
      <c r="E142" s="111"/>
      <c r="F142" s="48" t="s">
        <v>158</v>
      </c>
      <c r="G142" s="167">
        <f>'time-factors'!D$38*'time-factors'!B74</f>
        <v>5.6687631027253675E-3</v>
      </c>
      <c r="H142" s="166">
        <f>'time-factors'!L74</f>
        <v>0.42499999999999999</v>
      </c>
      <c r="I142" s="168" t="s">
        <v>166</v>
      </c>
      <c r="J142" s="96">
        <f>'time-factors'!Q$46</f>
        <v>20</v>
      </c>
      <c r="K142" s="170">
        <f>'time-factors'!K$46</f>
        <v>0.05</v>
      </c>
      <c r="L142" s="172">
        <f t="shared" si="57"/>
        <v>3.4103099556043813E-2</v>
      </c>
      <c r="M142" s="171">
        <v>0.02</v>
      </c>
      <c r="N142" s="168">
        <f t="shared" si="58"/>
        <v>8.5000000000000006E-3</v>
      </c>
      <c r="O142" s="168">
        <v>4.4000000000000004</v>
      </c>
      <c r="P142" s="111">
        <v>200</v>
      </c>
      <c r="Q142" s="115">
        <f t="shared" si="59"/>
        <v>0.88000000000000012</v>
      </c>
      <c r="R142" s="114">
        <f t="shared" si="60"/>
        <v>0.92260309955604392</v>
      </c>
      <c r="S142" s="114">
        <f>1.2*O142</f>
        <v>5.28</v>
      </c>
      <c r="T142" s="114">
        <v>0.1</v>
      </c>
      <c r="U142" s="111">
        <f t="shared" si="61"/>
        <v>0.52800000000000002</v>
      </c>
      <c r="V142" s="111">
        <f t="shared" si="62"/>
        <v>1.7473543552197801</v>
      </c>
      <c r="W142" s="111">
        <v>200</v>
      </c>
      <c r="X142" s="111">
        <f t="shared" si="63"/>
        <v>1.056</v>
      </c>
      <c r="Y142" s="111">
        <f t="shared" si="64"/>
        <v>0</v>
      </c>
      <c r="Z142" s="111">
        <f t="shared" si="65"/>
        <v>0</v>
      </c>
      <c r="AA142" s="114">
        <f t="shared" si="66"/>
        <v>-0.13339690044395613</v>
      </c>
      <c r="AB142" s="111">
        <f t="shared" si="67"/>
        <v>-0.25264564478021995</v>
      </c>
      <c r="AC142" s="111"/>
      <c r="AD142" s="107">
        <f t="shared" si="68"/>
        <v>6.4589203704628437E-2</v>
      </c>
      <c r="AE142" s="23">
        <f t="shared" si="69"/>
        <v>1.6098484848484848E-2</v>
      </c>
      <c r="AF142" s="108">
        <f t="shared" si="70"/>
        <v>1.6666666666666667</v>
      </c>
      <c r="AH142" s="104">
        <f t="shared" si="72"/>
        <v>5.6687631027253675E-3</v>
      </c>
      <c r="AJ142" s="108">
        <f t="shared" si="73"/>
        <v>3.8264150943396233E-2</v>
      </c>
      <c r="AK142" s="23">
        <f t="shared" si="71"/>
        <v>-0.25264564478021995</v>
      </c>
    </row>
    <row r="143" spans="1:37" x14ac:dyDescent="0.35">
      <c r="A143" s="23">
        <v>23</v>
      </c>
      <c r="B143" s="120" t="s">
        <v>164</v>
      </c>
      <c r="C143" s="48" t="s">
        <v>163</v>
      </c>
      <c r="D143" s="111" t="s">
        <v>170</v>
      </c>
      <c r="E143" s="111"/>
      <c r="F143" s="48" t="s">
        <v>158</v>
      </c>
      <c r="G143" s="167">
        <f>'time-factors'!D$38*'time-factors'!B73</f>
        <v>1.4171907756813418E-2</v>
      </c>
      <c r="H143" s="166">
        <f>'time-factors'!L73</f>
        <v>0.85</v>
      </c>
      <c r="I143" s="168" t="s">
        <v>166</v>
      </c>
      <c r="J143" s="96">
        <f>'time-factors'!Q$46</f>
        <v>20</v>
      </c>
      <c r="K143" s="170">
        <f>'time-factors'!K$46</f>
        <v>0.05</v>
      </c>
      <c r="L143" s="172">
        <f t="shared" si="57"/>
        <v>6.8206199112087626E-2</v>
      </c>
      <c r="M143" s="171">
        <v>0.02</v>
      </c>
      <c r="N143" s="168">
        <f t="shared" si="58"/>
        <v>1.7000000000000001E-2</v>
      </c>
      <c r="O143" s="168">
        <v>4.4000000000000004</v>
      </c>
      <c r="P143" s="111">
        <v>200</v>
      </c>
      <c r="Q143" s="115">
        <f t="shared" si="59"/>
        <v>0.88000000000000012</v>
      </c>
      <c r="R143" s="114">
        <f t="shared" si="60"/>
        <v>0.96520619911208771</v>
      </c>
      <c r="S143" s="114">
        <f>1.2*O143</f>
        <v>5.28</v>
      </c>
      <c r="T143" s="114">
        <v>0.1</v>
      </c>
      <c r="U143" s="111">
        <f t="shared" si="61"/>
        <v>0.52800000000000002</v>
      </c>
      <c r="V143" s="111">
        <f t="shared" si="62"/>
        <v>1.8280420437728933</v>
      </c>
      <c r="W143" s="111">
        <v>200</v>
      </c>
      <c r="X143" s="111">
        <f t="shared" si="63"/>
        <v>1.056</v>
      </c>
      <c r="Y143" s="111">
        <f t="shared" si="64"/>
        <v>0</v>
      </c>
      <c r="Z143" s="111">
        <f t="shared" si="65"/>
        <v>0</v>
      </c>
      <c r="AA143" s="114">
        <f t="shared" si="66"/>
        <v>-9.0793800887912335E-2</v>
      </c>
      <c r="AB143" s="111">
        <f t="shared" si="67"/>
        <v>-0.17195795622710669</v>
      </c>
      <c r="AC143" s="111"/>
      <c r="AD143" s="107">
        <f t="shared" si="68"/>
        <v>0.12917840740925687</v>
      </c>
      <c r="AE143" s="23">
        <f t="shared" si="69"/>
        <v>3.2196969696969696E-2</v>
      </c>
      <c r="AF143" s="108">
        <f t="shared" si="70"/>
        <v>1.6666666666666667</v>
      </c>
      <c r="AH143" s="104">
        <f t="shared" si="72"/>
        <v>1.4171907756813418E-2</v>
      </c>
      <c r="AJ143" s="108">
        <f t="shared" si="73"/>
        <v>5.2436058700209648E-2</v>
      </c>
      <c r="AK143" s="23">
        <f t="shared" si="71"/>
        <v>-0.17195795622710669</v>
      </c>
    </row>
    <row r="144" spans="1:37" x14ac:dyDescent="0.35">
      <c r="A144" s="23">
        <v>19</v>
      </c>
      <c r="B144" s="120" t="s">
        <v>140</v>
      </c>
      <c r="C144" s="111" t="s">
        <v>157</v>
      </c>
      <c r="D144" s="111" t="s">
        <v>170</v>
      </c>
      <c r="E144" s="111"/>
      <c r="F144" s="111" t="s">
        <v>159</v>
      </c>
      <c r="G144" s="167">
        <f>'time-factors'!D$38*'time-factors'!B69</f>
        <v>1.7714884696016772E-2</v>
      </c>
      <c r="H144" s="166">
        <f>'time-factors'!L69</f>
        <v>1.7</v>
      </c>
      <c r="I144" s="168" t="s">
        <v>166</v>
      </c>
      <c r="J144" s="96">
        <f>'time-factors'!Q$45</f>
        <v>15</v>
      </c>
      <c r="K144" s="170">
        <f>'time-factors'!K$45</f>
        <v>0.05</v>
      </c>
      <c r="L144" s="172">
        <f t="shared" si="57"/>
        <v>0.16378188893571544</v>
      </c>
      <c r="M144" s="171">
        <v>0</v>
      </c>
      <c r="N144" s="168">
        <f t="shared" si="58"/>
        <v>0</v>
      </c>
      <c r="O144" s="168">
        <v>2.63</v>
      </c>
      <c r="P144" s="111">
        <v>200</v>
      </c>
      <c r="Q144" s="115">
        <f t="shared" si="59"/>
        <v>0.52600000000000002</v>
      </c>
      <c r="R144" s="114">
        <f t="shared" si="60"/>
        <v>0.68978188893571546</v>
      </c>
      <c r="S144" s="114">
        <f>3.5*O144</f>
        <v>9.2050000000000001</v>
      </c>
      <c r="T144" s="114">
        <v>0.18</v>
      </c>
      <c r="U144" s="111">
        <f t="shared" si="61"/>
        <v>1.6569</v>
      </c>
      <c r="V144" s="111">
        <f t="shared" si="62"/>
        <v>0.41630870235724271</v>
      </c>
      <c r="W144" s="116">
        <v>103</v>
      </c>
      <c r="X144" s="111">
        <f t="shared" si="63"/>
        <v>0.94811500000000004</v>
      </c>
      <c r="Y144" s="111">
        <f t="shared" si="64"/>
        <v>0</v>
      </c>
      <c r="Z144" s="111">
        <f t="shared" si="65"/>
        <v>0</v>
      </c>
      <c r="AA144" s="114">
        <f t="shared" si="66"/>
        <v>-0.25833311106428458</v>
      </c>
      <c r="AB144" s="111">
        <f t="shared" si="67"/>
        <v>-0.15591351986497953</v>
      </c>
      <c r="AC144" s="111"/>
      <c r="AD144" s="107">
        <f t="shared" si="68"/>
        <v>9.884838489692524E-2</v>
      </c>
      <c r="AE144" s="23">
        <f t="shared" si="69"/>
        <v>0</v>
      </c>
      <c r="AF144" s="108">
        <f t="shared" si="70"/>
        <v>0.31746031746031744</v>
      </c>
      <c r="AH144" s="104">
        <f t="shared" si="72"/>
        <v>1.7714884696016772E-2</v>
      </c>
      <c r="AJ144" s="108">
        <f t="shared" si="73"/>
        <v>7.015094339622642E-2</v>
      </c>
      <c r="AK144" s="23">
        <f t="shared" si="71"/>
        <v>-0.15591351986497953</v>
      </c>
    </row>
    <row r="145" spans="1:37" ht="29" x14ac:dyDescent="0.35">
      <c r="A145" s="23">
        <v>25</v>
      </c>
      <c r="B145" s="121" t="s">
        <v>204</v>
      </c>
      <c r="C145" s="24" t="s">
        <v>41</v>
      </c>
      <c r="D145" s="24" t="s">
        <v>198</v>
      </c>
      <c r="E145" s="24"/>
      <c r="F145" s="24" t="s">
        <v>203</v>
      </c>
      <c r="G145" s="167">
        <f>'time-factors'!D$38*'time-factors'!B75</f>
        <v>1.7714884696016772E-2</v>
      </c>
      <c r="H145" s="166">
        <f>'time-factors'!L75</f>
        <v>3.4849999999999994</v>
      </c>
      <c r="I145" s="53" t="s">
        <v>166</v>
      </c>
      <c r="J145" s="168">
        <f>'time-factors'!Q$47</f>
        <v>10</v>
      </c>
      <c r="K145" s="171">
        <f>'time-factors'!K$47</f>
        <v>0.05</v>
      </c>
      <c r="L145" s="55">
        <f t="shared" si="57"/>
        <v>0.45132344375461636</v>
      </c>
      <c r="M145" s="54">
        <v>0</v>
      </c>
      <c r="N145" s="53">
        <f t="shared" si="58"/>
        <v>0</v>
      </c>
      <c r="O145" s="53">
        <v>2.2000000000000002</v>
      </c>
      <c r="P145" s="53">
        <v>200</v>
      </c>
      <c r="Q145" s="56">
        <f t="shared" si="59"/>
        <v>0.44000000000000006</v>
      </c>
      <c r="R145" s="55">
        <f t="shared" si="60"/>
        <v>0.89132344375461647</v>
      </c>
      <c r="S145" s="59">
        <f>2*O145</f>
        <v>4.4000000000000004</v>
      </c>
      <c r="T145" s="59">
        <v>0.27</v>
      </c>
      <c r="U145" s="53">
        <f t="shared" si="61"/>
        <v>1.1880000000000002</v>
      </c>
      <c r="V145" s="53">
        <f t="shared" si="62"/>
        <v>0.75027225905270734</v>
      </c>
      <c r="W145" s="53">
        <v>200</v>
      </c>
      <c r="X145" s="57">
        <f t="shared" si="63"/>
        <v>0.88000000000000012</v>
      </c>
      <c r="Y145" s="53">
        <f t="shared" si="64"/>
        <v>0</v>
      </c>
      <c r="Z145" s="53">
        <f t="shared" si="65"/>
        <v>0</v>
      </c>
      <c r="AA145" s="55">
        <f t="shared" si="66"/>
        <v>1.1323443754616358E-2</v>
      </c>
      <c r="AB145" s="53">
        <f t="shared" si="67"/>
        <v>9.5315183119666306E-3</v>
      </c>
      <c r="AC145" s="53"/>
      <c r="AD145" s="107">
        <f t="shared" si="68"/>
        <v>0.37990188868233693</v>
      </c>
      <c r="AE145" s="23">
        <f t="shared" si="69"/>
        <v>0</v>
      </c>
      <c r="AF145" s="108">
        <f t="shared" si="70"/>
        <v>0.37037037037037035</v>
      </c>
      <c r="AH145" s="104">
        <f t="shared" si="72"/>
        <v>1.7714884696016772E-2</v>
      </c>
      <c r="AJ145" s="108">
        <f t="shared" si="73"/>
        <v>8.7865828092243192E-2</v>
      </c>
      <c r="AK145" s="23">
        <f t="shared" si="71"/>
        <v>9.5315183119666306E-3</v>
      </c>
    </row>
    <row r="146" spans="1:37" x14ac:dyDescent="0.35">
      <c r="A146" s="23">
        <v>12</v>
      </c>
      <c r="B146" s="118" t="s">
        <v>151</v>
      </c>
      <c r="C146" s="23" t="s">
        <v>139</v>
      </c>
      <c r="D146" s="23" t="s">
        <v>171</v>
      </c>
      <c r="E146" s="23" t="s">
        <v>128</v>
      </c>
      <c r="F146" s="23" t="s">
        <v>83</v>
      </c>
      <c r="G146" s="167">
        <f>'time-factors'!D$38*'time-factors'!B62</f>
        <v>1.4171907756813419E-3</v>
      </c>
      <c r="H146" s="166">
        <f>'time-factors'!L62</f>
        <v>38.25</v>
      </c>
      <c r="I146" s="96" t="s">
        <v>98</v>
      </c>
      <c r="J146" s="96">
        <f>'time-factors'!Q$43</f>
        <v>10</v>
      </c>
      <c r="K146" s="170">
        <f>'time-factors'!K$43</f>
        <v>0.05</v>
      </c>
      <c r="L146" s="173">
        <f t="shared" si="57"/>
        <v>4.9535499924287176</v>
      </c>
      <c r="M146" s="170">
        <v>0</v>
      </c>
      <c r="N146" s="96">
        <f t="shared" si="58"/>
        <v>0</v>
      </c>
      <c r="O146" s="167" cm="1">
        <f t="array" ref="O146">IFERROR(_xlfn.IFS(E146="Heavy", 'vehicle E calcs'!$H$33,E146="Cars/vans",'vehicle E calcs'!$H$32),"")</f>
        <v>6.3768270755398833</v>
      </c>
      <c r="P146" s="106">
        <v>200</v>
      </c>
      <c r="Q146" s="108">
        <f t="shared" si="59"/>
        <v>1.2753654151079765</v>
      </c>
      <c r="R146" s="107">
        <f t="shared" si="60"/>
        <v>6.2289154075366939</v>
      </c>
      <c r="S146" s="107" cm="1">
        <f t="array" ref="S146">_xlfn.IFS(E146="Heavy", 'vehicle E calcs'!$T$21,E146="Cars/vans",'vehicle E calcs'!$S$21)*O146</f>
        <v>23.354986057632608</v>
      </c>
      <c r="T146" s="109">
        <v>0.27</v>
      </c>
      <c r="U146" s="23">
        <f t="shared" si="61"/>
        <v>6.3058462355608045</v>
      </c>
      <c r="V146" s="23">
        <f t="shared" si="62"/>
        <v>0.98780007866505348</v>
      </c>
      <c r="W146" s="106">
        <f t="shared" ref="W146:W163" si="74">W$2*105</f>
        <v>168</v>
      </c>
      <c r="X146" s="23">
        <f t="shared" si="63"/>
        <v>3.9236376576822782</v>
      </c>
      <c r="Y146" s="96">
        <f t="shared" ref="Y146:Y163" si="75">$Z$2</f>
        <v>0</v>
      </c>
      <c r="Z146" s="23">
        <f t="shared" si="65"/>
        <v>0</v>
      </c>
      <c r="AA146" s="107">
        <f t="shared" si="66"/>
        <v>2.3052777498544157</v>
      </c>
      <c r="AB146" s="23">
        <f t="shared" si="67"/>
        <v>0.36557785644283125</v>
      </c>
      <c r="AD146" s="107">
        <f t="shared" si="68"/>
        <v>0.78554880778633174</v>
      </c>
      <c r="AE146" s="23">
        <f t="shared" si="69"/>
        <v>0</v>
      </c>
      <c r="AF146" s="108">
        <f t="shared" si="70"/>
        <v>0.20225127087872183</v>
      </c>
      <c r="AH146" s="104">
        <f t="shared" si="72"/>
        <v>1.4171907756813419E-3</v>
      </c>
      <c r="AJ146" s="108">
        <f t="shared" si="73"/>
        <v>8.928301886792453E-2</v>
      </c>
      <c r="AK146" s="23">
        <f t="shared" si="71"/>
        <v>0.36557785644283125</v>
      </c>
    </row>
    <row r="147" spans="1:37" x14ac:dyDescent="0.35">
      <c r="A147" s="23">
        <v>16</v>
      </c>
      <c r="B147" s="118" t="s">
        <v>154</v>
      </c>
      <c r="C147" s="23" t="s">
        <v>139</v>
      </c>
      <c r="D147" s="23" t="s">
        <v>171</v>
      </c>
      <c r="E147" s="23" t="s">
        <v>128</v>
      </c>
      <c r="F147" s="23" t="s">
        <v>83</v>
      </c>
      <c r="G147" s="167">
        <f>'time-factors'!D$38*'time-factors'!B66</f>
        <v>1.4171907756813419E-3</v>
      </c>
      <c r="H147" s="166">
        <f>'time-factors'!L66</f>
        <v>38.25</v>
      </c>
      <c r="I147" s="96" t="s">
        <v>98</v>
      </c>
      <c r="J147" s="96">
        <f>'time-factors'!Q$43</f>
        <v>10</v>
      </c>
      <c r="K147" s="170">
        <f>'time-factors'!K$43</f>
        <v>0.05</v>
      </c>
      <c r="L147" s="173">
        <f t="shared" si="57"/>
        <v>4.9535499924287176</v>
      </c>
      <c r="M147" s="170">
        <v>0</v>
      </c>
      <c r="N147" s="96">
        <f t="shared" si="58"/>
        <v>0</v>
      </c>
      <c r="O147" s="167" cm="1">
        <f t="array" ref="O147">IFERROR(_xlfn.IFS(E147="Heavy", 'vehicle E calcs'!$H$33,E147="Cars/vans",'vehicle E calcs'!$H$32),"")</f>
        <v>6.3768270755398833</v>
      </c>
      <c r="P147" s="106">
        <v>200</v>
      </c>
      <c r="Q147" s="108">
        <f t="shared" si="59"/>
        <v>1.2753654151079765</v>
      </c>
      <c r="R147" s="107">
        <f t="shared" si="60"/>
        <v>6.2289154075366939</v>
      </c>
      <c r="S147" s="107" cm="1">
        <f t="array" ref="S147">_xlfn.IFS(E147="Heavy", 'vehicle E calcs'!$T$21,E147="Cars/vans",'vehicle E calcs'!$S$21)*O147</f>
        <v>23.354986057632608</v>
      </c>
      <c r="T147" s="109">
        <v>0.27</v>
      </c>
      <c r="U147" s="23">
        <f t="shared" si="61"/>
        <v>6.3058462355608045</v>
      </c>
      <c r="V147" s="23">
        <f t="shared" si="62"/>
        <v>0.98780007866505348</v>
      </c>
      <c r="W147" s="106">
        <f t="shared" si="74"/>
        <v>168</v>
      </c>
      <c r="X147" s="23">
        <f t="shared" si="63"/>
        <v>3.9236376576822782</v>
      </c>
      <c r="Y147" s="96">
        <f t="shared" si="75"/>
        <v>0</v>
      </c>
      <c r="Z147" s="23">
        <f t="shared" si="65"/>
        <v>0</v>
      </c>
      <c r="AA147" s="107">
        <f t="shared" si="66"/>
        <v>2.3052777498544157</v>
      </c>
      <c r="AB147" s="23">
        <f t="shared" si="67"/>
        <v>0.36557785644283125</v>
      </c>
      <c r="AD147" s="107">
        <f t="shared" si="68"/>
        <v>0.78554880778633174</v>
      </c>
      <c r="AE147" s="23">
        <f t="shared" si="69"/>
        <v>0</v>
      </c>
      <c r="AF147" s="108">
        <f t="shared" si="70"/>
        <v>0.20225127087872183</v>
      </c>
      <c r="AH147" s="104">
        <f t="shared" si="72"/>
        <v>1.4171907756813419E-3</v>
      </c>
      <c r="AJ147" s="108">
        <f t="shared" si="73"/>
        <v>9.0700209643605867E-2</v>
      </c>
      <c r="AK147" s="23">
        <f t="shared" si="71"/>
        <v>0.36557785644283125</v>
      </c>
    </row>
    <row r="148" spans="1:37" ht="45.5" x14ac:dyDescent="0.35">
      <c r="A148" s="23">
        <v>13</v>
      </c>
      <c r="B148" s="118" t="s">
        <v>232</v>
      </c>
      <c r="C148" s="23" t="s">
        <v>139</v>
      </c>
      <c r="D148" s="23" t="s">
        <v>171</v>
      </c>
      <c r="E148" s="23" t="s">
        <v>188</v>
      </c>
      <c r="F148" s="23" t="s">
        <v>83</v>
      </c>
      <c r="G148" s="167">
        <f>'time-factors'!D$38*'time-factors'!B63</f>
        <v>1.5589098532494761E-3</v>
      </c>
      <c r="H148" s="166">
        <f>'time-factors'!L63</f>
        <v>65.875</v>
      </c>
      <c r="I148" s="96" t="s">
        <v>98</v>
      </c>
      <c r="J148" s="96">
        <f>'time-factors'!Q$43</f>
        <v>10</v>
      </c>
      <c r="K148" s="170">
        <f>'time-factors'!K$43</f>
        <v>0.05</v>
      </c>
      <c r="L148" s="173">
        <f t="shared" si="57"/>
        <v>8.5311138758494582</v>
      </c>
      <c r="M148" s="170">
        <v>0</v>
      </c>
      <c r="N148" s="96">
        <f t="shared" si="58"/>
        <v>0</v>
      </c>
      <c r="O148" s="167" cm="1">
        <f t="array" ref="O148">IFERROR(_xlfn.IFS(E148="Heavy", 'vehicle E calcs'!$H$33,E148="Cars/vans",'vehicle E calcs'!$H$32),"")</f>
        <v>7.1233383316924828</v>
      </c>
      <c r="P148" s="106">
        <v>200</v>
      </c>
      <c r="Q148" s="108">
        <f t="shared" si="59"/>
        <v>1.4246676663384965</v>
      </c>
      <c r="R148" s="107">
        <f t="shared" si="60"/>
        <v>9.955781542187955</v>
      </c>
      <c r="S148" s="107" cm="1">
        <f t="array" ref="S148">_xlfn.IFS(E148="Heavy", 'vehicle E calcs'!$T$21,E148="Cars/vans",'vehicle E calcs'!$S$21)*O148</f>
        <v>24.362584419881831</v>
      </c>
      <c r="T148" s="109">
        <v>0.27</v>
      </c>
      <c r="U148" s="23">
        <f t="shared" si="61"/>
        <v>6.5778977933680949</v>
      </c>
      <c r="V148" s="23">
        <f t="shared" si="62"/>
        <v>1.5135202544839597</v>
      </c>
      <c r="W148" s="106">
        <f t="shared" si="74"/>
        <v>168</v>
      </c>
      <c r="X148" s="23">
        <f t="shared" si="63"/>
        <v>4.0929141825401478</v>
      </c>
      <c r="Y148" s="96">
        <f t="shared" si="75"/>
        <v>0</v>
      </c>
      <c r="Z148" s="23">
        <f t="shared" si="65"/>
        <v>0</v>
      </c>
      <c r="AA148" s="107">
        <f t="shared" si="66"/>
        <v>5.8628673596478071</v>
      </c>
      <c r="AB148" s="23">
        <f t="shared" si="67"/>
        <v>0.89129803226173732</v>
      </c>
      <c r="AD148" s="107">
        <f t="shared" si="68"/>
        <v>1.2969362163776117</v>
      </c>
      <c r="AE148" s="23">
        <f t="shared" si="69"/>
        <v>0</v>
      </c>
      <c r="AF148" s="108">
        <f t="shared" si="70"/>
        <v>0.2165840381063478</v>
      </c>
      <c r="AH148" s="104">
        <f t="shared" si="72"/>
        <v>1.5589098532494761E-3</v>
      </c>
      <c r="AJ148" s="108">
        <f t="shared" si="73"/>
        <v>9.2259119496855349E-2</v>
      </c>
      <c r="AK148" s="23">
        <f t="shared" si="71"/>
        <v>0.89129803226173732</v>
      </c>
    </row>
    <row r="149" spans="1:37" x14ac:dyDescent="0.35">
      <c r="A149" s="23">
        <v>11</v>
      </c>
      <c r="B149" s="118" t="s">
        <v>150</v>
      </c>
      <c r="C149" s="23" t="s">
        <v>139</v>
      </c>
      <c r="D149" s="23" t="s">
        <v>171</v>
      </c>
      <c r="E149" s="23" t="s">
        <v>128</v>
      </c>
      <c r="F149" s="23" t="s">
        <v>83</v>
      </c>
      <c r="G149" s="167">
        <f>'time-factors'!D$38*'time-factors'!B61</f>
        <v>7.0859538784067094E-4</v>
      </c>
      <c r="H149" s="166">
        <f>'time-factors'!L61</f>
        <v>65.875</v>
      </c>
      <c r="I149" s="96" t="s">
        <v>98</v>
      </c>
      <c r="J149" s="96">
        <f>'time-factors'!Q$43</f>
        <v>10</v>
      </c>
      <c r="K149" s="170">
        <f>'time-factors'!K$43</f>
        <v>0.05</v>
      </c>
      <c r="L149" s="173">
        <f t="shared" si="57"/>
        <v>8.5311138758494582</v>
      </c>
      <c r="M149" s="170">
        <v>0</v>
      </c>
      <c r="N149" s="96">
        <f t="shared" si="58"/>
        <v>0</v>
      </c>
      <c r="O149" s="167" cm="1">
        <f t="array" ref="O149">IFERROR(_xlfn.IFS(E149="Heavy", 'vehicle E calcs'!$H$33,E149="Cars/vans",'vehicle E calcs'!$H$32),"")</f>
        <v>6.3768270755398833</v>
      </c>
      <c r="P149" s="106">
        <v>200</v>
      </c>
      <c r="Q149" s="108">
        <f t="shared" si="59"/>
        <v>1.2753654151079765</v>
      </c>
      <c r="R149" s="107">
        <f t="shared" si="60"/>
        <v>9.8064792909574354</v>
      </c>
      <c r="S149" s="107" cm="1">
        <f t="array" ref="S149">_xlfn.IFS(E149="Heavy", 'vehicle E calcs'!$T$21,E149="Cars/vans",'vehicle E calcs'!$S$21)*O149</f>
        <v>23.354986057632608</v>
      </c>
      <c r="T149" s="109">
        <v>0.27</v>
      </c>
      <c r="U149" s="23">
        <f t="shared" si="61"/>
        <v>6.3058462355608045</v>
      </c>
      <c r="V149" s="23">
        <f t="shared" si="62"/>
        <v>1.5551408842885155</v>
      </c>
      <c r="W149" s="106">
        <f t="shared" si="74"/>
        <v>168</v>
      </c>
      <c r="X149" s="23">
        <f t="shared" si="63"/>
        <v>3.9236376576822782</v>
      </c>
      <c r="Y149" s="96">
        <f t="shared" si="75"/>
        <v>0</v>
      </c>
      <c r="Z149" s="23">
        <f t="shared" si="65"/>
        <v>0</v>
      </c>
      <c r="AA149" s="107">
        <f t="shared" si="66"/>
        <v>5.8828416332751576</v>
      </c>
      <c r="AB149" s="23">
        <f t="shared" si="67"/>
        <v>0.93291866206629326</v>
      </c>
      <c r="AD149" s="107">
        <f t="shared" si="68"/>
        <v>1.3528896134097934</v>
      </c>
      <c r="AE149" s="23">
        <f t="shared" si="69"/>
        <v>0</v>
      </c>
      <c r="AF149" s="108">
        <f t="shared" si="70"/>
        <v>0.20225127087872183</v>
      </c>
      <c r="AH149" s="104">
        <f t="shared" si="72"/>
        <v>7.0859538784067094E-4</v>
      </c>
      <c r="AJ149" s="108">
        <f t="shared" si="73"/>
        <v>9.2967714884696018E-2</v>
      </c>
      <c r="AK149" s="23">
        <f t="shared" si="71"/>
        <v>0.93291866206629326</v>
      </c>
    </row>
    <row r="150" spans="1:37" x14ac:dyDescent="0.35">
      <c r="A150" s="23">
        <v>6</v>
      </c>
      <c r="B150" s="118" t="s">
        <v>146</v>
      </c>
      <c r="C150" s="23" t="s">
        <v>139</v>
      </c>
      <c r="D150" s="23" t="s">
        <v>171</v>
      </c>
      <c r="E150" s="23" t="s">
        <v>188</v>
      </c>
      <c r="F150" s="23" t="s">
        <v>83</v>
      </c>
      <c r="G150" s="167">
        <f>'time-factors'!D$38*'time-factors'!B56</f>
        <v>2.0549266247379457E-3</v>
      </c>
      <c r="H150" s="166">
        <f>'time-factors'!L56</f>
        <v>126.348488</v>
      </c>
      <c r="I150" s="96" t="s">
        <v>98</v>
      </c>
      <c r="J150" s="96">
        <f>'time-factors'!Q$43</f>
        <v>10</v>
      </c>
      <c r="K150" s="170">
        <f>'time-factors'!K$43</f>
        <v>0.05</v>
      </c>
      <c r="L150" s="173">
        <f t="shared" si="57"/>
        <v>16.362707235968102</v>
      </c>
      <c r="M150" s="170">
        <v>0</v>
      </c>
      <c r="N150" s="96">
        <f t="shared" si="58"/>
        <v>0</v>
      </c>
      <c r="O150" s="167" cm="1">
        <f t="array" ref="O150">IFERROR(_xlfn.IFS(E150="Heavy", 'vehicle E calcs'!$H$33,E150="Cars/vans",'vehicle E calcs'!$H$32),"")</f>
        <v>7.1233383316924828</v>
      </c>
      <c r="P150" s="106">
        <v>200</v>
      </c>
      <c r="Q150" s="108">
        <f t="shared" si="59"/>
        <v>1.4246676663384965</v>
      </c>
      <c r="R150" s="107">
        <f t="shared" si="60"/>
        <v>17.787374902306599</v>
      </c>
      <c r="S150" s="107" cm="1">
        <f t="array" ref="S150">_xlfn.IFS(E150="Heavy", 'vehicle E calcs'!$T$21,E150="Cars/vans",'vehicle E calcs'!$S$21)*O150</f>
        <v>24.362584419881831</v>
      </c>
      <c r="T150" s="109">
        <v>0.27</v>
      </c>
      <c r="U150" s="23">
        <f t="shared" si="61"/>
        <v>6.5778977933680949</v>
      </c>
      <c r="V150" s="23">
        <f t="shared" si="62"/>
        <v>2.7041123868236467</v>
      </c>
      <c r="W150" s="106">
        <f t="shared" si="74"/>
        <v>168</v>
      </c>
      <c r="X150" s="23">
        <f t="shared" si="63"/>
        <v>4.0929141825401478</v>
      </c>
      <c r="Y150" s="96">
        <f t="shared" si="75"/>
        <v>0</v>
      </c>
      <c r="Z150" s="23">
        <f t="shared" si="65"/>
        <v>0</v>
      </c>
      <c r="AA150" s="107">
        <f t="shared" si="66"/>
        <v>13.69446071976645</v>
      </c>
      <c r="AB150" s="23">
        <f t="shared" si="67"/>
        <v>2.0818901646014245</v>
      </c>
      <c r="AD150" s="107">
        <f t="shared" si="68"/>
        <v>2.4875283487172992</v>
      </c>
      <c r="AE150" s="23">
        <f t="shared" si="69"/>
        <v>0</v>
      </c>
      <c r="AF150" s="108">
        <f t="shared" si="70"/>
        <v>0.2165840381063478</v>
      </c>
      <c r="AH150" s="104">
        <f t="shared" si="72"/>
        <v>2.0549266247379457E-3</v>
      </c>
      <c r="AJ150" s="108">
        <f t="shared" si="73"/>
        <v>9.5022641509433958E-2</v>
      </c>
      <c r="AK150" s="23">
        <f t="shared" si="71"/>
        <v>2.0818901646014245</v>
      </c>
    </row>
    <row r="151" spans="1:37" x14ac:dyDescent="0.35">
      <c r="A151" s="23">
        <v>1</v>
      </c>
      <c r="B151" s="118" t="s">
        <v>141</v>
      </c>
      <c r="C151" s="23" t="s">
        <v>139</v>
      </c>
      <c r="D151" s="23" t="s">
        <v>171</v>
      </c>
      <c r="E151" s="23" t="s">
        <v>128</v>
      </c>
      <c r="F151" s="23" t="s">
        <v>83</v>
      </c>
      <c r="G151" s="167">
        <f>'time-factors'!D$38*'time-factors'!B51</f>
        <v>2.4800838574423481E-3</v>
      </c>
      <c r="H151" s="166">
        <f>'time-factors'!L51</f>
        <v>169.216725</v>
      </c>
      <c r="I151" s="96" t="s">
        <v>98</v>
      </c>
      <c r="J151" s="96">
        <f>'time-factors'!Q$43</f>
        <v>10</v>
      </c>
      <c r="K151" s="170">
        <f>'time-factors'!K$43</f>
        <v>0.05</v>
      </c>
      <c r="L151" s="173">
        <f t="shared" si="57"/>
        <v>21.914340048171567</v>
      </c>
      <c r="M151" s="170">
        <v>0</v>
      </c>
      <c r="N151" s="96">
        <f t="shared" si="58"/>
        <v>0</v>
      </c>
      <c r="O151" s="167" cm="1">
        <f t="array" ref="O151">IFERROR(_xlfn.IFS(E151="Heavy", 'vehicle E calcs'!$H$33,E151="Cars/vans",'vehicle E calcs'!$H$32),"")</f>
        <v>6.3768270755398833</v>
      </c>
      <c r="P151" s="106">
        <v>200</v>
      </c>
      <c r="Q151" s="108">
        <f t="shared" si="59"/>
        <v>1.2753654151079765</v>
      </c>
      <c r="R151" s="107">
        <f t="shared" si="60"/>
        <v>23.189705463279545</v>
      </c>
      <c r="S151" s="107" cm="1">
        <f t="array" ref="S151">_xlfn.IFS(E151="Heavy", 'vehicle E calcs'!$T$21,E151="Cars/vans",'vehicle E calcs'!$S$21)*O151</f>
        <v>23.354986057632608</v>
      </c>
      <c r="T151" s="109">
        <v>0.27</v>
      </c>
      <c r="U151" s="23">
        <f t="shared" si="61"/>
        <v>6.3058462355608045</v>
      </c>
      <c r="V151" s="23">
        <f t="shared" si="62"/>
        <v>3.6774930115651938</v>
      </c>
      <c r="W151" s="106">
        <f t="shared" si="74"/>
        <v>168</v>
      </c>
      <c r="X151" s="23">
        <f t="shared" si="63"/>
        <v>3.9236376576822782</v>
      </c>
      <c r="Y151" s="96">
        <f t="shared" si="75"/>
        <v>0</v>
      </c>
      <c r="Z151" s="23">
        <f t="shared" si="65"/>
        <v>0</v>
      </c>
      <c r="AA151" s="107">
        <f t="shared" si="66"/>
        <v>19.266067805597267</v>
      </c>
      <c r="AB151" s="23">
        <f t="shared" si="67"/>
        <v>3.055270789342972</v>
      </c>
      <c r="AD151" s="107">
        <f t="shared" si="68"/>
        <v>3.4752417406864722</v>
      </c>
      <c r="AE151" s="23">
        <f t="shared" si="69"/>
        <v>0</v>
      </c>
      <c r="AF151" s="108">
        <f t="shared" si="70"/>
        <v>0.20225127087872183</v>
      </c>
      <c r="AH151" s="104">
        <f t="shared" si="72"/>
        <v>2.4800838574423481E-3</v>
      </c>
      <c r="AJ151" s="108">
        <f t="shared" si="73"/>
        <v>9.7502725366876306E-2</v>
      </c>
      <c r="AK151" s="23">
        <f t="shared" si="71"/>
        <v>3.055270789342972</v>
      </c>
    </row>
    <row r="152" spans="1:37" x14ac:dyDescent="0.35">
      <c r="A152" s="23">
        <v>4</v>
      </c>
      <c r="B152" s="118" t="s">
        <v>144</v>
      </c>
      <c r="C152" s="23" t="s">
        <v>139</v>
      </c>
      <c r="D152" s="23" t="s">
        <v>171</v>
      </c>
      <c r="E152" s="23" t="s">
        <v>188</v>
      </c>
      <c r="F152" s="23" t="s">
        <v>83</v>
      </c>
      <c r="G152" s="167">
        <f>'time-factors'!D$38*'time-factors'!B54</f>
        <v>1.0628930817610065E-3</v>
      </c>
      <c r="H152" s="166">
        <f>'time-factors'!L54</f>
        <v>244.79999999999998</v>
      </c>
      <c r="I152" s="96" t="s">
        <v>98</v>
      </c>
      <c r="J152" s="96">
        <f>'time-factors'!Q$43</f>
        <v>10</v>
      </c>
      <c r="K152" s="170">
        <f>'time-factors'!K$43</f>
        <v>0.05</v>
      </c>
      <c r="L152" s="173">
        <f t="shared" si="57"/>
        <v>31.702719951543788</v>
      </c>
      <c r="M152" s="170">
        <v>0</v>
      </c>
      <c r="N152" s="96">
        <f t="shared" si="58"/>
        <v>0</v>
      </c>
      <c r="O152" s="167" cm="1">
        <f t="array" ref="O152">IFERROR(_xlfn.IFS(E152="Heavy", 'vehicle E calcs'!$H$33,E152="Cars/vans",'vehicle E calcs'!$H$32),"")</f>
        <v>7.1233383316924828</v>
      </c>
      <c r="P152" s="106">
        <v>200</v>
      </c>
      <c r="Q152" s="108">
        <f t="shared" si="59"/>
        <v>1.4246676663384965</v>
      </c>
      <c r="R152" s="107">
        <f t="shared" si="60"/>
        <v>33.127387617882285</v>
      </c>
      <c r="S152" s="107" cm="1">
        <f t="array" ref="S152">_xlfn.IFS(E152="Heavy", 'vehicle E calcs'!$T$21,E152="Cars/vans",'vehicle E calcs'!$S$21)*O152</f>
        <v>24.362584419881831</v>
      </c>
      <c r="T152" s="109">
        <v>0.27</v>
      </c>
      <c r="U152" s="23">
        <f t="shared" si="61"/>
        <v>6.5778977933680949</v>
      </c>
      <c r="V152" s="23">
        <f t="shared" si="62"/>
        <v>5.0361663647741173</v>
      </c>
      <c r="W152" s="106">
        <f t="shared" si="74"/>
        <v>168</v>
      </c>
      <c r="X152" s="23">
        <f t="shared" si="63"/>
        <v>4.0929141825401478</v>
      </c>
      <c r="Y152" s="96">
        <f t="shared" si="75"/>
        <v>0</v>
      </c>
      <c r="Z152" s="23">
        <f t="shared" si="65"/>
        <v>0</v>
      </c>
      <c r="AA152" s="107">
        <f t="shared" si="66"/>
        <v>29.034473435342136</v>
      </c>
      <c r="AB152" s="23">
        <f t="shared" si="67"/>
        <v>4.4139441425518946</v>
      </c>
      <c r="AD152" s="107">
        <f t="shared" si="68"/>
        <v>4.8195823266677689</v>
      </c>
      <c r="AE152" s="23">
        <f t="shared" si="69"/>
        <v>0</v>
      </c>
      <c r="AF152" s="108">
        <f t="shared" si="70"/>
        <v>0.2165840381063478</v>
      </c>
      <c r="AH152" s="104">
        <f t="shared" si="72"/>
        <v>1.0628930817610065E-3</v>
      </c>
      <c r="AJ152" s="108">
        <f t="shared" si="73"/>
        <v>9.8565618448637315E-2</v>
      </c>
      <c r="AK152" s="23">
        <f t="shared" si="71"/>
        <v>4.4139441425518946</v>
      </c>
    </row>
    <row r="153" spans="1:37" ht="29" x14ac:dyDescent="0.35">
      <c r="A153" s="23">
        <v>7</v>
      </c>
      <c r="B153" s="118" t="s">
        <v>147</v>
      </c>
      <c r="C153" s="23" t="s">
        <v>139</v>
      </c>
      <c r="D153" s="23" t="s">
        <v>171</v>
      </c>
      <c r="E153" s="23" t="s">
        <v>188</v>
      </c>
      <c r="F153" s="23" t="s">
        <v>83</v>
      </c>
      <c r="G153" s="167">
        <f>'time-factors'!D$38*'time-factors'!B57</f>
        <v>1.7714884696016773E-3</v>
      </c>
      <c r="H153" s="166">
        <f>'time-factors'!L57</f>
        <v>244.79999999999998</v>
      </c>
      <c r="I153" s="96" t="s">
        <v>98</v>
      </c>
      <c r="J153" s="96">
        <f>'time-factors'!Q$43</f>
        <v>10</v>
      </c>
      <c r="K153" s="170">
        <f>'time-factors'!K$43</f>
        <v>0.05</v>
      </c>
      <c r="L153" s="173">
        <f t="shared" si="57"/>
        <v>31.702719951543788</v>
      </c>
      <c r="M153" s="170">
        <v>0</v>
      </c>
      <c r="N153" s="96">
        <f t="shared" si="58"/>
        <v>0</v>
      </c>
      <c r="O153" s="167" cm="1">
        <f t="array" ref="O153">IFERROR(_xlfn.IFS(E153="Heavy", 'vehicle E calcs'!$H$33,E153="Cars/vans",'vehicle E calcs'!$H$32),"")</f>
        <v>7.1233383316924828</v>
      </c>
      <c r="P153" s="106">
        <v>200</v>
      </c>
      <c r="Q153" s="108">
        <f t="shared" si="59"/>
        <v>1.4246676663384965</v>
      </c>
      <c r="R153" s="107">
        <f t="shared" si="60"/>
        <v>33.127387617882285</v>
      </c>
      <c r="S153" s="107" cm="1">
        <f t="array" ref="S153">_xlfn.IFS(E153="Heavy", 'vehicle E calcs'!$T$21,E153="Cars/vans",'vehicle E calcs'!$S$21)*O153</f>
        <v>24.362584419881831</v>
      </c>
      <c r="T153" s="109">
        <v>0.27</v>
      </c>
      <c r="U153" s="23">
        <f t="shared" si="61"/>
        <v>6.5778977933680949</v>
      </c>
      <c r="V153" s="23">
        <f t="shared" si="62"/>
        <v>5.0361663647741173</v>
      </c>
      <c r="W153" s="106">
        <f t="shared" si="74"/>
        <v>168</v>
      </c>
      <c r="X153" s="23">
        <f t="shared" si="63"/>
        <v>4.0929141825401478</v>
      </c>
      <c r="Y153" s="96">
        <f t="shared" si="75"/>
        <v>0</v>
      </c>
      <c r="Z153" s="23">
        <f t="shared" si="65"/>
        <v>0</v>
      </c>
      <c r="AA153" s="107">
        <f t="shared" si="66"/>
        <v>29.034473435342136</v>
      </c>
      <c r="AB153" s="23">
        <f t="shared" si="67"/>
        <v>4.4139441425518946</v>
      </c>
      <c r="AD153" s="107">
        <f t="shared" si="68"/>
        <v>4.8195823266677689</v>
      </c>
      <c r="AE153" s="23">
        <f t="shared" si="69"/>
        <v>0</v>
      </c>
      <c r="AF153" s="108">
        <f t="shared" si="70"/>
        <v>0.2165840381063478</v>
      </c>
      <c r="AH153" s="104">
        <f t="shared" si="72"/>
        <v>1.7714884696016773E-3</v>
      </c>
      <c r="AJ153" s="108">
        <f t="shared" si="73"/>
        <v>0.10033710691823899</v>
      </c>
      <c r="AK153" s="23">
        <f t="shared" si="71"/>
        <v>4.4139441425518946</v>
      </c>
    </row>
    <row r="154" spans="1:37" x14ac:dyDescent="0.35">
      <c r="A154" s="23">
        <v>9</v>
      </c>
      <c r="B154" s="118" t="s">
        <v>149</v>
      </c>
      <c r="C154" s="23" t="s">
        <v>139</v>
      </c>
      <c r="D154" s="23" t="s">
        <v>171</v>
      </c>
      <c r="E154" s="23" t="s">
        <v>188</v>
      </c>
      <c r="F154" s="23" t="s">
        <v>83</v>
      </c>
      <c r="G154" s="167">
        <f>'time-factors'!D$38*'time-factors'!B59</f>
        <v>7.0859538784067094E-4</v>
      </c>
      <c r="H154" s="166">
        <f>'time-factors'!L59</f>
        <v>244.79999999999998</v>
      </c>
      <c r="I154" s="96" t="s">
        <v>98</v>
      </c>
      <c r="J154" s="96">
        <f>'time-factors'!Q$43</f>
        <v>10</v>
      </c>
      <c r="K154" s="170">
        <f>'time-factors'!K$43</f>
        <v>0.05</v>
      </c>
      <c r="L154" s="173">
        <f t="shared" si="57"/>
        <v>31.702719951543788</v>
      </c>
      <c r="M154" s="170">
        <v>0</v>
      </c>
      <c r="N154" s="96">
        <f t="shared" si="58"/>
        <v>0</v>
      </c>
      <c r="O154" s="167" cm="1">
        <f t="array" ref="O154">IFERROR(_xlfn.IFS(E154="Heavy", 'vehicle E calcs'!$H$33,E154="Cars/vans",'vehicle E calcs'!$H$32),"")</f>
        <v>7.1233383316924828</v>
      </c>
      <c r="P154" s="106">
        <v>200</v>
      </c>
      <c r="Q154" s="108">
        <f t="shared" si="59"/>
        <v>1.4246676663384965</v>
      </c>
      <c r="R154" s="107">
        <f t="shared" si="60"/>
        <v>33.127387617882285</v>
      </c>
      <c r="S154" s="107" cm="1">
        <f t="array" ref="S154">_xlfn.IFS(E154="Heavy", 'vehicle E calcs'!$T$21,E154="Cars/vans",'vehicle E calcs'!$S$21)*O154</f>
        <v>24.362584419881831</v>
      </c>
      <c r="T154" s="109">
        <v>0.27</v>
      </c>
      <c r="U154" s="23">
        <f t="shared" si="61"/>
        <v>6.5778977933680949</v>
      </c>
      <c r="V154" s="23">
        <f t="shared" si="62"/>
        <v>5.0361663647741173</v>
      </c>
      <c r="W154" s="106">
        <f t="shared" si="74"/>
        <v>168</v>
      </c>
      <c r="X154" s="23">
        <f t="shared" si="63"/>
        <v>4.0929141825401478</v>
      </c>
      <c r="Y154" s="96">
        <f t="shared" si="75"/>
        <v>0</v>
      </c>
      <c r="Z154" s="23">
        <f t="shared" si="65"/>
        <v>0</v>
      </c>
      <c r="AA154" s="107">
        <f t="shared" si="66"/>
        <v>29.034473435342136</v>
      </c>
      <c r="AB154" s="23">
        <f t="shared" si="67"/>
        <v>4.4139441425518946</v>
      </c>
      <c r="AD154" s="107">
        <f t="shared" si="68"/>
        <v>4.8195823266677689</v>
      </c>
      <c r="AE154" s="23">
        <f t="shared" si="69"/>
        <v>0</v>
      </c>
      <c r="AF154" s="108">
        <f t="shared" si="70"/>
        <v>0.2165840381063478</v>
      </c>
      <c r="AH154" s="104">
        <f t="shared" si="72"/>
        <v>7.0859538784067094E-4</v>
      </c>
      <c r="AJ154" s="108">
        <f t="shared" si="73"/>
        <v>0.10104570230607966</v>
      </c>
      <c r="AK154" s="23">
        <f t="shared" si="71"/>
        <v>4.4139441425518946</v>
      </c>
    </row>
    <row r="155" spans="1:37" x14ac:dyDescent="0.35">
      <c r="A155" s="23">
        <v>15</v>
      </c>
      <c r="B155" s="118" t="s">
        <v>153</v>
      </c>
      <c r="C155" s="23" t="s">
        <v>139</v>
      </c>
      <c r="D155" s="23" t="s">
        <v>171</v>
      </c>
      <c r="E155" s="23" t="s">
        <v>188</v>
      </c>
      <c r="F155" s="23" t="s">
        <v>83</v>
      </c>
      <c r="G155" s="167">
        <f>'time-factors'!D$38*'time-factors'!B65</f>
        <v>1.1337526205450735E-3</v>
      </c>
      <c r="H155" s="166">
        <f>'time-factors'!L65</f>
        <v>244.79999999999998</v>
      </c>
      <c r="I155" s="96" t="s">
        <v>98</v>
      </c>
      <c r="J155" s="96">
        <f>'time-factors'!Q$43</f>
        <v>10</v>
      </c>
      <c r="K155" s="170">
        <f>'time-factors'!K$43</f>
        <v>0.05</v>
      </c>
      <c r="L155" s="173">
        <f t="shared" si="57"/>
        <v>31.702719951543788</v>
      </c>
      <c r="M155" s="170">
        <v>0</v>
      </c>
      <c r="N155" s="96">
        <f t="shared" si="58"/>
        <v>0</v>
      </c>
      <c r="O155" s="167" cm="1">
        <f t="array" ref="O155">IFERROR(_xlfn.IFS(E155="Heavy", 'vehicle E calcs'!$H$33,E155="Cars/vans",'vehicle E calcs'!$H$32),"")</f>
        <v>7.1233383316924828</v>
      </c>
      <c r="P155" s="106">
        <v>200</v>
      </c>
      <c r="Q155" s="108">
        <f t="shared" si="59"/>
        <v>1.4246676663384965</v>
      </c>
      <c r="R155" s="107">
        <f t="shared" si="60"/>
        <v>33.127387617882285</v>
      </c>
      <c r="S155" s="107" cm="1">
        <f t="array" ref="S155">_xlfn.IFS(E155="Heavy", 'vehicle E calcs'!$T$21,E155="Cars/vans",'vehicle E calcs'!$S$21)*O155</f>
        <v>24.362584419881831</v>
      </c>
      <c r="T155" s="109">
        <v>0.27</v>
      </c>
      <c r="U155" s="23">
        <f t="shared" si="61"/>
        <v>6.5778977933680949</v>
      </c>
      <c r="V155" s="23">
        <f t="shared" si="62"/>
        <v>5.0361663647741173</v>
      </c>
      <c r="W155" s="106">
        <f t="shared" si="74"/>
        <v>168</v>
      </c>
      <c r="X155" s="23">
        <f t="shared" si="63"/>
        <v>4.0929141825401478</v>
      </c>
      <c r="Y155" s="96">
        <f t="shared" si="75"/>
        <v>0</v>
      </c>
      <c r="Z155" s="23">
        <f t="shared" si="65"/>
        <v>0</v>
      </c>
      <c r="AA155" s="107">
        <f t="shared" si="66"/>
        <v>29.034473435342136</v>
      </c>
      <c r="AB155" s="23">
        <f t="shared" si="67"/>
        <v>4.4139441425518946</v>
      </c>
      <c r="AD155" s="107">
        <f t="shared" si="68"/>
        <v>4.8195823266677689</v>
      </c>
      <c r="AE155" s="23">
        <f t="shared" si="69"/>
        <v>0</v>
      </c>
      <c r="AF155" s="108">
        <f t="shared" si="70"/>
        <v>0.2165840381063478</v>
      </c>
      <c r="AH155" s="104">
        <f t="shared" si="72"/>
        <v>1.1337526205450735E-3</v>
      </c>
      <c r="AJ155" s="108">
        <f t="shared" si="73"/>
        <v>0.10217945492662474</v>
      </c>
      <c r="AK155" s="23">
        <f t="shared" si="71"/>
        <v>4.4139441425518946</v>
      </c>
    </row>
    <row r="156" spans="1:37" x14ac:dyDescent="0.35">
      <c r="A156" s="23">
        <v>3</v>
      </c>
      <c r="B156" s="118" t="s">
        <v>143</v>
      </c>
      <c r="C156" s="23" t="s">
        <v>139</v>
      </c>
      <c r="D156" s="23" t="s">
        <v>171</v>
      </c>
      <c r="E156" s="23" t="s">
        <v>188</v>
      </c>
      <c r="F156" s="23" t="s">
        <v>83</v>
      </c>
      <c r="G156" s="167">
        <f>'time-factors'!D$38*'time-factors'!B53</f>
        <v>1.5589098532494761E-3</v>
      </c>
      <c r="H156" s="166">
        <f>'time-factors'!L53</f>
        <v>258.89299999999997</v>
      </c>
      <c r="I156" s="96" t="s">
        <v>98</v>
      </c>
      <c r="J156" s="96">
        <f>'time-factors'!Q$43</f>
        <v>10</v>
      </c>
      <c r="K156" s="170">
        <f>'time-factors'!K$43</f>
        <v>0.05</v>
      </c>
      <c r="L156" s="173">
        <f t="shared" si="57"/>
        <v>33.52782792653197</v>
      </c>
      <c r="M156" s="170">
        <v>0</v>
      </c>
      <c r="N156" s="96">
        <f t="shared" si="58"/>
        <v>0</v>
      </c>
      <c r="O156" s="167" cm="1">
        <f t="array" ref="O156">IFERROR(_xlfn.IFS(E156="Heavy", 'vehicle E calcs'!$H$33,E156="Cars/vans",'vehicle E calcs'!$H$32),"")</f>
        <v>7.1233383316924828</v>
      </c>
      <c r="P156" s="106">
        <v>200</v>
      </c>
      <c r="Q156" s="108">
        <f t="shared" si="59"/>
        <v>1.4246676663384965</v>
      </c>
      <c r="R156" s="107">
        <f t="shared" si="60"/>
        <v>34.952495592870463</v>
      </c>
      <c r="S156" s="107" cm="1">
        <f t="array" ref="S156">_xlfn.IFS(E156="Heavy", 'vehicle E calcs'!$T$21,E156="Cars/vans",'vehicle E calcs'!$S$21)*O156</f>
        <v>24.362584419881831</v>
      </c>
      <c r="T156" s="109">
        <v>0.27</v>
      </c>
      <c r="U156" s="23">
        <f t="shared" si="61"/>
        <v>6.5778977933680949</v>
      </c>
      <c r="V156" s="23">
        <f t="shared" si="62"/>
        <v>5.3136270417746427</v>
      </c>
      <c r="W156" s="106">
        <f t="shared" si="74"/>
        <v>168</v>
      </c>
      <c r="X156" s="23">
        <f t="shared" si="63"/>
        <v>4.0929141825401478</v>
      </c>
      <c r="Y156" s="96">
        <f t="shared" si="75"/>
        <v>0</v>
      </c>
      <c r="Z156" s="23">
        <f t="shared" si="65"/>
        <v>0</v>
      </c>
      <c r="AA156" s="107">
        <f t="shared" si="66"/>
        <v>30.859581410330314</v>
      </c>
      <c r="AB156" s="23">
        <f t="shared" si="67"/>
        <v>4.6914048195524209</v>
      </c>
      <c r="AD156" s="107">
        <f t="shared" si="68"/>
        <v>5.0970430036682961</v>
      </c>
      <c r="AE156" s="23">
        <f t="shared" si="69"/>
        <v>0</v>
      </c>
      <c r="AF156" s="108">
        <f t="shared" si="70"/>
        <v>0.2165840381063478</v>
      </c>
      <c r="AH156" s="104">
        <f t="shared" si="72"/>
        <v>1.5589098532494761E-3</v>
      </c>
      <c r="AJ156" s="108">
        <f t="shared" si="73"/>
        <v>0.10373836477987422</v>
      </c>
      <c r="AK156" s="23">
        <f t="shared" si="71"/>
        <v>4.6914048195524209</v>
      </c>
    </row>
    <row r="157" spans="1:37" x14ac:dyDescent="0.35">
      <c r="A157" s="23">
        <v>17</v>
      </c>
      <c r="B157" s="118" t="s">
        <v>143</v>
      </c>
      <c r="C157" s="23" t="s">
        <v>156</v>
      </c>
      <c r="D157" s="23" t="s">
        <v>171</v>
      </c>
      <c r="E157" s="23" t="s">
        <v>188</v>
      </c>
      <c r="F157" s="23" t="s">
        <v>83</v>
      </c>
      <c r="G157" s="167">
        <f>'time-factors'!D$38*'time-factors'!B67</f>
        <v>1.4171907756813419E-3</v>
      </c>
      <c r="H157" s="166">
        <f>'time-factors'!L67</f>
        <v>261.8</v>
      </c>
      <c r="I157" s="96" t="s">
        <v>98</v>
      </c>
      <c r="J157" s="96">
        <f>'time-factors'!Q$44</f>
        <v>10</v>
      </c>
      <c r="K157" s="170">
        <f>'time-factors'!K$44</f>
        <v>0.05</v>
      </c>
      <c r="L157" s="173">
        <f t="shared" si="57"/>
        <v>33.904297725956553</v>
      </c>
      <c r="M157" s="170">
        <v>0</v>
      </c>
      <c r="N157" s="96">
        <f t="shared" si="58"/>
        <v>0</v>
      </c>
      <c r="O157" s="167" cm="1">
        <f t="array" ref="O157">IFERROR(_xlfn.IFS(E157="Heavy", 'vehicle E calcs'!$H$33,E157="Cars/vans",'vehicle E calcs'!$H$32),"")</f>
        <v>7.1233383316924828</v>
      </c>
      <c r="P157" s="106">
        <v>300</v>
      </c>
      <c r="Q157" s="108">
        <f t="shared" si="59"/>
        <v>2.1370014995077451</v>
      </c>
      <c r="R157" s="107">
        <f t="shared" si="60"/>
        <v>36.0412992254643</v>
      </c>
      <c r="S157" s="107" cm="1">
        <f t="array" ref="S157">_xlfn.IFS(E157="Heavy", 'vehicle E calcs'!$T$21,E157="Cars/vans",'vehicle E calcs'!$S$21)*O157</f>
        <v>24.362584419881831</v>
      </c>
      <c r="T157" s="109">
        <v>0.27</v>
      </c>
      <c r="U157" s="23">
        <f t="shared" si="61"/>
        <v>6.5778977933680949</v>
      </c>
      <c r="V157" s="23">
        <f t="shared" si="62"/>
        <v>5.4791516009569978</v>
      </c>
      <c r="W157" s="106">
        <f t="shared" si="74"/>
        <v>168</v>
      </c>
      <c r="X157" s="23">
        <f t="shared" si="63"/>
        <v>4.0929141825401478</v>
      </c>
      <c r="Y157" s="96">
        <f t="shared" si="75"/>
        <v>0</v>
      </c>
      <c r="Z157" s="23">
        <f t="shared" si="65"/>
        <v>0</v>
      </c>
      <c r="AA157" s="107">
        <f t="shared" si="66"/>
        <v>31.948385042924151</v>
      </c>
      <c r="AB157" s="23">
        <f t="shared" si="67"/>
        <v>4.8569293787347751</v>
      </c>
      <c r="AD157" s="107">
        <f t="shared" si="68"/>
        <v>5.1542755437974757</v>
      </c>
      <c r="AE157" s="23">
        <f t="shared" si="69"/>
        <v>0</v>
      </c>
      <c r="AF157" s="108">
        <f t="shared" si="70"/>
        <v>0.32487605715952173</v>
      </c>
      <c r="AH157" s="104">
        <f t="shared" si="72"/>
        <v>1.4171907756813419E-3</v>
      </c>
      <c r="AJ157" s="108">
        <f t="shared" si="73"/>
        <v>0.10515555555555556</v>
      </c>
      <c r="AK157" s="23">
        <f t="shared" si="71"/>
        <v>4.8569293787347751</v>
      </c>
    </row>
    <row r="158" spans="1:37" x14ac:dyDescent="0.35">
      <c r="A158" s="23">
        <v>18</v>
      </c>
      <c r="B158" s="119" t="s">
        <v>148</v>
      </c>
      <c r="C158" s="23" t="s">
        <v>156</v>
      </c>
      <c r="D158" s="23" t="s">
        <v>171</v>
      </c>
      <c r="E158" s="23" t="s">
        <v>188</v>
      </c>
      <c r="F158" s="23" t="s">
        <v>83</v>
      </c>
      <c r="G158" s="167">
        <f>'time-factors'!D$38*'time-factors'!B68</f>
        <v>1.4171907756813419E-3</v>
      </c>
      <c r="H158" s="166">
        <f>'time-factors'!L68</f>
        <v>261.8</v>
      </c>
      <c r="I158" s="96" t="s">
        <v>98</v>
      </c>
      <c r="J158" s="96">
        <f>'time-factors'!Q$44</f>
        <v>10</v>
      </c>
      <c r="K158" s="170">
        <f>'time-factors'!K$44</f>
        <v>0.05</v>
      </c>
      <c r="L158" s="173">
        <f t="shared" si="57"/>
        <v>33.904297725956553</v>
      </c>
      <c r="M158" s="170">
        <v>0</v>
      </c>
      <c r="N158" s="96">
        <f t="shared" si="58"/>
        <v>0</v>
      </c>
      <c r="O158" s="167" cm="1">
        <f t="array" ref="O158">IFERROR(_xlfn.IFS(E158="Heavy", 'vehicle E calcs'!$H$33,E158="Cars/vans",'vehicle E calcs'!$H$32),"")</f>
        <v>7.1233383316924828</v>
      </c>
      <c r="P158" s="106">
        <v>300</v>
      </c>
      <c r="Q158" s="108">
        <f t="shared" si="59"/>
        <v>2.1370014995077451</v>
      </c>
      <c r="R158" s="107">
        <f t="shared" si="60"/>
        <v>36.0412992254643</v>
      </c>
      <c r="S158" s="107" cm="1">
        <f t="array" ref="S158">_xlfn.IFS(E158="Heavy", 'vehicle E calcs'!$T$21,E158="Cars/vans",'vehicle E calcs'!$S$21)*O158</f>
        <v>24.362584419881831</v>
      </c>
      <c r="T158" s="109">
        <v>0.27</v>
      </c>
      <c r="U158" s="23">
        <f t="shared" si="61"/>
        <v>6.5778977933680949</v>
      </c>
      <c r="V158" s="23">
        <f t="shared" si="62"/>
        <v>5.4791516009569978</v>
      </c>
      <c r="W158" s="106">
        <f t="shared" si="74"/>
        <v>168</v>
      </c>
      <c r="X158" s="23">
        <f t="shared" si="63"/>
        <v>4.0929141825401478</v>
      </c>
      <c r="Y158" s="96">
        <f t="shared" si="75"/>
        <v>0</v>
      </c>
      <c r="Z158" s="23">
        <f t="shared" si="65"/>
        <v>0</v>
      </c>
      <c r="AA158" s="107">
        <f t="shared" si="66"/>
        <v>31.948385042924151</v>
      </c>
      <c r="AB158" s="23">
        <f t="shared" si="67"/>
        <v>4.8569293787347751</v>
      </c>
      <c r="AD158" s="107">
        <f t="shared" si="68"/>
        <v>5.1542755437974757</v>
      </c>
      <c r="AE158" s="23">
        <f t="shared" si="69"/>
        <v>0</v>
      </c>
      <c r="AF158" s="108">
        <f t="shared" si="70"/>
        <v>0.32487605715952173</v>
      </c>
      <c r="AH158" s="104">
        <f t="shared" si="72"/>
        <v>1.4171907756813419E-3</v>
      </c>
      <c r="AJ158" s="108">
        <f t="shared" si="73"/>
        <v>0.1065727463312369</v>
      </c>
      <c r="AK158" s="23">
        <f t="shared" si="71"/>
        <v>4.8569293787347751</v>
      </c>
    </row>
    <row r="159" spans="1:37" x14ac:dyDescent="0.35">
      <c r="A159" s="23">
        <v>2</v>
      </c>
      <c r="B159" s="118" t="s">
        <v>142</v>
      </c>
      <c r="C159" s="23" t="s">
        <v>139</v>
      </c>
      <c r="D159" s="23" t="s">
        <v>171</v>
      </c>
      <c r="E159" s="23" t="s">
        <v>128</v>
      </c>
      <c r="F159" s="23" t="s">
        <v>83</v>
      </c>
      <c r="G159" s="167">
        <f>'time-factors'!D$38*'time-factors'!B52</f>
        <v>2.1257861635220129E-3</v>
      </c>
      <c r="H159" s="166">
        <f>'time-factors'!L52</f>
        <v>258.89299999999997</v>
      </c>
      <c r="I159" s="96" t="s">
        <v>98</v>
      </c>
      <c r="J159" s="96">
        <f>'time-factors'!Q$43</f>
        <v>10</v>
      </c>
      <c r="K159" s="170">
        <f>'time-factors'!K$43</f>
        <v>0.05</v>
      </c>
      <c r="L159" s="173">
        <f t="shared" si="57"/>
        <v>33.52782792653197</v>
      </c>
      <c r="M159" s="170">
        <v>0</v>
      </c>
      <c r="N159" s="96">
        <f t="shared" si="58"/>
        <v>0</v>
      </c>
      <c r="O159" s="167" cm="1">
        <f t="array" ref="O159">IFERROR(_xlfn.IFS(E159="Heavy", 'vehicle E calcs'!$H$33,E159="Cars/vans",'vehicle E calcs'!$H$32),"")</f>
        <v>6.3768270755398833</v>
      </c>
      <c r="P159" s="106">
        <v>200</v>
      </c>
      <c r="Q159" s="108">
        <f t="shared" si="59"/>
        <v>1.2753654151079765</v>
      </c>
      <c r="R159" s="107">
        <f t="shared" si="60"/>
        <v>34.803193341639947</v>
      </c>
      <c r="S159" s="107" cm="1">
        <f t="array" ref="S159">_xlfn.IFS(E159="Heavy", 'vehicle E calcs'!$T$21,E159="Cars/vans",'vehicle E calcs'!$S$21)*O159</f>
        <v>23.354986057632608</v>
      </c>
      <c r="T159" s="109">
        <v>0.27</v>
      </c>
      <c r="U159" s="23">
        <f t="shared" si="61"/>
        <v>6.3058462355608045</v>
      </c>
      <c r="V159" s="23">
        <f t="shared" si="62"/>
        <v>5.5191947347800747</v>
      </c>
      <c r="W159" s="106">
        <f t="shared" si="74"/>
        <v>168</v>
      </c>
      <c r="X159" s="23">
        <f t="shared" si="63"/>
        <v>3.9236376576822782</v>
      </c>
      <c r="Y159" s="96">
        <f t="shared" si="75"/>
        <v>0</v>
      </c>
      <c r="Z159" s="23">
        <f t="shared" si="65"/>
        <v>0</v>
      </c>
      <c r="AA159" s="107">
        <f t="shared" si="66"/>
        <v>30.879555683957669</v>
      </c>
      <c r="AB159" s="23">
        <f t="shared" si="67"/>
        <v>4.8969725125578529</v>
      </c>
      <c r="AD159" s="107">
        <f t="shared" si="68"/>
        <v>5.3169434639013531</v>
      </c>
      <c r="AE159" s="23">
        <f t="shared" si="69"/>
        <v>0</v>
      </c>
      <c r="AF159" s="108">
        <f t="shared" si="70"/>
        <v>0.20225127087872183</v>
      </c>
      <c r="AH159" s="104">
        <f t="shared" si="72"/>
        <v>2.1257861635220129E-3</v>
      </c>
      <c r="AJ159" s="108">
        <f t="shared" si="73"/>
        <v>0.10869853249475891</v>
      </c>
      <c r="AK159" s="23">
        <f t="shared" si="71"/>
        <v>4.8969725125578529</v>
      </c>
    </row>
    <row r="160" spans="1:37" x14ac:dyDescent="0.35">
      <c r="A160" s="23">
        <v>5</v>
      </c>
      <c r="B160" s="118" t="s">
        <v>145</v>
      </c>
      <c r="C160" s="23" t="s">
        <v>139</v>
      </c>
      <c r="D160" s="23" t="s">
        <v>171</v>
      </c>
      <c r="E160" s="23" t="s">
        <v>188</v>
      </c>
      <c r="F160" s="23" t="s">
        <v>83</v>
      </c>
      <c r="G160" s="167">
        <f>'time-factors'!D$38*'time-factors'!B55</f>
        <v>1.4880503144654091E-3</v>
      </c>
      <c r="H160" s="166">
        <f>'time-factors'!L55</f>
        <v>418.2</v>
      </c>
      <c r="I160" s="96" t="s">
        <v>98</v>
      </c>
      <c r="J160" s="96">
        <f>'time-factors'!Q$43</f>
        <v>10</v>
      </c>
      <c r="K160" s="170">
        <f>'time-factors'!K$43</f>
        <v>0.05</v>
      </c>
      <c r="L160" s="173">
        <f t="shared" si="57"/>
        <v>54.158813250553976</v>
      </c>
      <c r="M160" s="170">
        <v>0</v>
      </c>
      <c r="N160" s="96">
        <f t="shared" si="58"/>
        <v>0</v>
      </c>
      <c r="O160" s="167" cm="1">
        <f t="array" ref="O160">IFERROR(_xlfn.IFS(E160="Heavy", 'vehicle E calcs'!$H$33,E160="Cars/vans",'vehicle E calcs'!$H$32),"")</f>
        <v>7.1233383316924828</v>
      </c>
      <c r="P160" s="106">
        <v>200</v>
      </c>
      <c r="Q160" s="108">
        <f t="shared" si="59"/>
        <v>1.4246676663384965</v>
      </c>
      <c r="R160" s="107">
        <f t="shared" si="60"/>
        <v>55.583480916892469</v>
      </c>
      <c r="S160" s="107" cm="1">
        <f t="array" ref="S160">_xlfn.IFS(E160="Heavy", 'vehicle E calcs'!$T$21,E160="Cars/vans",'vehicle E calcs'!$S$21)*O160</f>
        <v>24.362584419881831</v>
      </c>
      <c r="T160" s="109">
        <v>0.27</v>
      </c>
      <c r="U160" s="23">
        <f t="shared" si="61"/>
        <v>6.5778977933680949</v>
      </c>
      <c r="V160" s="23">
        <f t="shared" si="62"/>
        <v>8.4500371794971212</v>
      </c>
      <c r="W160" s="106">
        <f t="shared" si="74"/>
        <v>168</v>
      </c>
      <c r="X160" s="23">
        <f t="shared" si="63"/>
        <v>4.0929141825401478</v>
      </c>
      <c r="Y160" s="96">
        <f t="shared" si="75"/>
        <v>0</v>
      </c>
      <c r="Z160" s="23">
        <f t="shared" si="65"/>
        <v>0</v>
      </c>
      <c r="AA160" s="107">
        <f t="shared" si="66"/>
        <v>51.490566734352321</v>
      </c>
      <c r="AB160" s="23">
        <f t="shared" si="67"/>
        <v>7.8278149572748985</v>
      </c>
      <c r="AD160" s="107">
        <f t="shared" si="68"/>
        <v>8.2334531413907737</v>
      </c>
      <c r="AE160" s="23">
        <f t="shared" si="69"/>
        <v>0</v>
      </c>
      <c r="AF160" s="108">
        <f t="shared" si="70"/>
        <v>0.2165840381063478</v>
      </c>
      <c r="AH160" s="104">
        <f t="shared" si="72"/>
        <v>1.4880503144654091E-3</v>
      </c>
      <c r="AJ160" s="108">
        <f t="shared" si="73"/>
        <v>0.11018658280922432</v>
      </c>
      <c r="AK160" s="23">
        <f t="shared" si="71"/>
        <v>7.8278149572748985</v>
      </c>
    </row>
    <row r="161" spans="1:37" x14ac:dyDescent="0.35">
      <c r="A161" s="23">
        <v>8</v>
      </c>
      <c r="B161" s="119" t="s">
        <v>148</v>
      </c>
      <c r="C161" s="23" t="s">
        <v>139</v>
      </c>
      <c r="D161" s="23" t="s">
        <v>171</v>
      </c>
      <c r="E161" s="23" t="s">
        <v>188</v>
      </c>
      <c r="F161" s="23" t="s">
        <v>83</v>
      </c>
      <c r="G161" s="167">
        <f>'time-factors'!D$38*'time-factors'!B58</f>
        <v>1.0628930817610065E-3</v>
      </c>
      <c r="H161" s="166">
        <f>'time-factors'!L58</f>
        <v>418.2</v>
      </c>
      <c r="I161" s="96" t="s">
        <v>98</v>
      </c>
      <c r="J161" s="96">
        <f>'time-factors'!Q$43</f>
        <v>10</v>
      </c>
      <c r="K161" s="170">
        <f>'time-factors'!K$43</f>
        <v>0.05</v>
      </c>
      <c r="L161" s="173">
        <f t="shared" si="57"/>
        <v>54.158813250553976</v>
      </c>
      <c r="M161" s="170">
        <v>0</v>
      </c>
      <c r="N161" s="96">
        <f t="shared" si="58"/>
        <v>0</v>
      </c>
      <c r="O161" s="167" cm="1">
        <f t="array" ref="O161">IFERROR(_xlfn.IFS(E161="Heavy", 'vehicle E calcs'!$H$33,E161="Cars/vans",'vehicle E calcs'!$H$32),"")</f>
        <v>7.1233383316924828</v>
      </c>
      <c r="P161" s="106">
        <v>200</v>
      </c>
      <c r="Q161" s="108">
        <f t="shared" si="59"/>
        <v>1.4246676663384965</v>
      </c>
      <c r="R161" s="107">
        <f t="shared" si="60"/>
        <v>55.583480916892469</v>
      </c>
      <c r="S161" s="107" cm="1">
        <f t="array" ref="S161">_xlfn.IFS(E161="Heavy", 'vehicle E calcs'!$T$21,E161="Cars/vans",'vehicle E calcs'!$S$21)*O161</f>
        <v>24.362584419881831</v>
      </c>
      <c r="T161" s="109">
        <v>0.27</v>
      </c>
      <c r="U161" s="23">
        <f t="shared" si="61"/>
        <v>6.5778977933680949</v>
      </c>
      <c r="V161" s="23">
        <f t="shared" si="62"/>
        <v>8.4500371794971212</v>
      </c>
      <c r="W161" s="106">
        <f t="shared" si="74"/>
        <v>168</v>
      </c>
      <c r="X161" s="23">
        <f t="shared" si="63"/>
        <v>4.0929141825401478</v>
      </c>
      <c r="Y161" s="96">
        <f t="shared" si="75"/>
        <v>0</v>
      </c>
      <c r="Z161" s="23">
        <f t="shared" si="65"/>
        <v>0</v>
      </c>
      <c r="AA161" s="107">
        <f t="shared" si="66"/>
        <v>51.490566734352321</v>
      </c>
      <c r="AB161" s="23">
        <f t="shared" si="67"/>
        <v>7.8278149572748985</v>
      </c>
      <c r="AD161" s="107">
        <f t="shared" si="68"/>
        <v>8.2334531413907737</v>
      </c>
      <c r="AE161" s="23">
        <f t="shared" si="69"/>
        <v>0</v>
      </c>
      <c r="AF161" s="108">
        <f t="shared" si="70"/>
        <v>0.2165840381063478</v>
      </c>
      <c r="AH161" s="104">
        <f t="shared" si="72"/>
        <v>1.0628930817610065E-3</v>
      </c>
      <c r="AJ161" s="108">
        <f t="shared" si="73"/>
        <v>0.11124947589098533</v>
      </c>
      <c r="AK161" s="23">
        <f t="shared" si="71"/>
        <v>7.8278149572748985</v>
      </c>
    </row>
    <row r="162" spans="1:37" x14ac:dyDescent="0.35">
      <c r="A162" s="23">
        <v>10</v>
      </c>
      <c r="B162" s="118" t="s">
        <v>58</v>
      </c>
      <c r="C162" s="23" t="s">
        <v>139</v>
      </c>
      <c r="D162" s="23" t="s">
        <v>171</v>
      </c>
      <c r="E162" s="23" t="s">
        <v>188</v>
      </c>
      <c r="F162" s="23" t="s">
        <v>83</v>
      </c>
      <c r="G162" s="167">
        <f>'time-factors'!D$38*'time-factors'!B60</f>
        <v>1.4171907756813419E-3</v>
      </c>
      <c r="H162" s="166">
        <f>'time-factors'!L60</f>
        <v>659.6</v>
      </c>
      <c r="I162" s="96" t="s">
        <v>98</v>
      </c>
      <c r="J162" s="96">
        <f>'time-factors'!Q$43</f>
        <v>10</v>
      </c>
      <c r="K162" s="170">
        <f>'time-factors'!K$43</f>
        <v>0.05</v>
      </c>
      <c r="L162" s="173">
        <f t="shared" si="57"/>
        <v>85.421217647215215</v>
      </c>
      <c r="M162" s="170">
        <v>0</v>
      </c>
      <c r="N162" s="96">
        <f t="shared" si="58"/>
        <v>0</v>
      </c>
      <c r="O162" s="167" cm="1">
        <f t="array" ref="O162">IFERROR(_xlfn.IFS(E162="Heavy", 'vehicle E calcs'!$H$33,E162="Cars/vans",'vehicle E calcs'!$H$32),"")</f>
        <v>7.1233383316924828</v>
      </c>
      <c r="P162" s="106">
        <v>200</v>
      </c>
      <c r="Q162" s="108">
        <f t="shared" si="59"/>
        <v>1.4246676663384965</v>
      </c>
      <c r="R162" s="107">
        <f t="shared" si="60"/>
        <v>86.845885313553708</v>
      </c>
      <c r="S162" s="107" cm="1">
        <f t="array" ref="S162">_xlfn.IFS(E162="Heavy", 'vehicle E calcs'!$T$21,E162="Cars/vans",'vehicle E calcs'!$S$21)*O162</f>
        <v>24.362584419881831</v>
      </c>
      <c r="T162" s="109">
        <v>0.27</v>
      </c>
      <c r="U162" s="23">
        <f t="shared" si="61"/>
        <v>6.5778977933680949</v>
      </c>
      <c r="V162" s="23">
        <f t="shared" si="62"/>
        <v>13.20268086273895</v>
      </c>
      <c r="W162" s="106">
        <f t="shared" si="74"/>
        <v>168</v>
      </c>
      <c r="X162" s="23">
        <f t="shared" si="63"/>
        <v>4.0929141825401478</v>
      </c>
      <c r="Y162" s="96">
        <f t="shared" si="75"/>
        <v>0</v>
      </c>
      <c r="Z162" s="23">
        <f t="shared" si="65"/>
        <v>0</v>
      </c>
      <c r="AA162" s="107">
        <f t="shared" si="66"/>
        <v>82.752971131013567</v>
      </c>
      <c r="AB162" s="23">
        <f t="shared" si="67"/>
        <v>12.580458640516728</v>
      </c>
      <c r="AD162" s="107">
        <f t="shared" si="68"/>
        <v>12.986096824632602</v>
      </c>
      <c r="AE162" s="23">
        <f t="shared" si="69"/>
        <v>0</v>
      </c>
      <c r="AF162" s="108">
        <f t="shared" si="70"/>
        <v>0.2165840381063478</v>
      </c>
      <c r="AH162" s="104">
        <f t="shared" si="72"/>
        <v>1.4171907756813419E-3</v>
      </c>
      <c r="AJ162" s="108">
        <f t="shared" si="73"/>
        <v>0.11266666666666666</v>
      </c>
      <c r="AK162" s="23">
        <f t="shared" si="71"/>
        <v>12.580458640516728</v>
      </c>
    </row>
    <row r="163" spans="1:37" x14ac:dyDescent="0.35">
      <c r="A163" s="23">
        <v>14</v>
      </c>
      <c r="B163" s="118" t="s">
        <v>152</v>
      </c>
      <c r="C163" s="23" t="s">
        <v>139</v>
      </c>
      <c r="D163" s="23" t="s">
        <v>171</v>
      </c>
      <c r="E163" s="23" t="s">
        <v>188</v>
      </c>
      <c r="F163" s="23" t="s">
        <v>83</v>
      </c>
      <c r="G163" s="167">
        <f>'time-factors'!D$38*'time-factors'!B64</f>
        <v>9.2117400419287226E-4</v>
      </c>
      <c r="H163" s="166">
        <f>'time-factors'!L64</f>
        <v>659.6</v>
      </c>
      <c r="I163" s="96" t="s">
        <v>98</v>
      </c>
      <c r="J163" s="96">
        <f>'time-factors'!Q$43</f>
        <v>10</v>
      </c>
      <c r="K163" s="170">
        <f>'time-factors'!K$43</f>
        <v>0.05</v>
      </c>
      <c r="L163" s="173">
        <f t="shared" si="57"/>
        <v>85.421217647215215</v>
      </c>
      <c r="M163" s="170">
        <v>0</v>
      </c>
      <c r="N163" s="96">
        <f t="shared" si="58"/>
        <v>0</v>
      </c>
      <c r="O163" s="167" cm="1">
        <f t="array" ref="O163">IFERROR(_xlfn.IFS(E163="Heavy", 'vehicle E calcs'!$H$33,E163="Cars/vans",'vehicle E calcs'!$H$32),"")</f>
        <v>7.1233383316924828</v>
      </c>
      <c r="P163" s="106">
        <v>200</v>
      </c>
      <c r="Q163" s="108">
        <f t="shared" si="59"/>
        <v>1.4246676663384965</v>
      </c>
      <c r="R163" s="107">
        <f t="shared" si="60"/>
        <v>86.845885313553708</v>
      </c>
      <c r="S163" s="107" cm="1">
        <f t="array" ref="S163">_xlfn.IFS(E163="Heavy", 'vehicle E calcs'!$T$21,E163="Cars/vans",'vehicle E calcs'!$S$21)*O163</f>
        <v>24.362584419881831</v>
      </c>
      <c r="T163" s="109">
        <v>0.27</v>
      </c>
      <c r="U163" s="23">
        <f t="shared" si="61"/>
        <v>6.5778977933680949</v>
      </c>
      <c r="V163" s="23">
        <f t="shared" si="62"/>
        <v>13.20268086273895</v>
      </c>
      <c r="W163" s="106">
        <f t="shared" si="74"/>
        <v>168</v>
      </c>
      <c r="X163" s="23">
        <f t="shared" si="63"/>
        <v>4.0929141825401478</v>
      </c>
      <c r="Y163" s="96">
        <f t="shared" si="75"/>
        <v>0</v>
      </c>
      <c r="Z163" s="23">
        <f t="shared" si="65"/>
        <v>0</v>
      </c>
      <c r="AA163" s="107">
        <f t="shared" si="66"/>
        <v>82.752971131013567</v>
      </c>
      <c r="AB163" s="23">
        <f t="shared" si="67"/>
        <v>12.580458640516728</v>
      </c>
      <c r="AD163" s="107">
        <f t="shared" si="68"/>
        <v>12.986096824632602</v>
      </c>
      <c r="AE163" s="23">
        <f t="shared" si="69"/>
        <v>0</v>
      </c>
      <c r="AF163" s="108">
        <f t="shared" si="70"/>
        <v>0.2165840381063478</v>
      </c>
      <c r="AH163" s="104">
        <f t="shared" si="72"/>
        <v>9.2117400419287226E-4</v>
      </c>
      <c r="AJ163" s="108">
        <f t="shared" si="73"/>
        <v>0.11358784067085954</v>
      </c>
      <c r="AK163" s="23">
        <f t="shared" si="71"/>
        <v>12.580458640516728</v>
      </c>
    </row>
    <row r="164" spans="1:37" x14ac:dyDescent="0.35">
      <c r="B164" s="122"/>
      <c r="C164" s="24"/>
      <c r="D164" s="24"/>
      <c r="E164" s="24"/>
      <c r="F164" s="131" t="s">
        <v>50</v>
      </c>
      <c r="G164" s="104">
        <f>SUM(G139:G163)</f>
        <v>0.11358784067085954</v>
      </c>
    </row>
    <row r="165" spans="1:37" x14ac:dyDescent="0.35">
      <c r="B165" s="122"/>
      <c r="C165" s="24"/>
      <c r="D165" s="24"/>
      <c r="E165" s="24"/>
      <c r="F165" s="24"/>
    </row>
    <row r="166" spans="1:37" x14ac:dyDescent="0.35">
      <c r="B166" s="123"/>
      <c r="C166" s="125"/>
      <c r="F166" s="24"/>
    </row>
    <row r="167" spans="1:37" x14ac:dyDescent="0.35">
      <c r="B167" s="123"/>
      <c r="C167" s="125"/>
    </row>
    <row r="168" spans="1:37" x14ac:dyDescent="0.35">
      <c r="B168" s="96"/>
      <c r="C168" s="96"/>
    </row>
    <row r="169" spans="1:37" x14ac:dyDescent="0.35">
      <c r="B169" s="96"/>
      <c r="C169" s="96"/>
    </row>
  </sheetData>
  <autoFilter ref="A93:AB118" xr:uid="{4BCD02B5-4B5C-4CFB-80A9-F0A9C5E08038}">
    <sortState xmlns:xlrd2="http://schemas.microsoft.com/office/spreadsheetml/2017/richdata2" ref="A94:AB119">
      <sortCondition ref="AB93:AB118"/>
    </sortState>
  </autoFilter>
  <sortState xmlns:xlrd2="http://schemas.microsoft.com/office/spreadsheetml/2017/richdata2" ref="A139:AF163">
    <sortCondition ref="AB139:AB163"/>
  </sortState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0CC01DE-0017-4EC2-9901-E5A1E7C8E17A}">
          <x14:formula1>
            <xm:f>'vehicle E calcs'!$B$32:$B$33</xm:f>
          </x14:formula1>
          <xm:sqref>E4:E21 E49:E66 E94:E111 E139:E156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45479-BDB8-48E4-A5F8-424C28283CD1}">
  <sheetPr codeName="Sheet9"/>
  <dimension ref="A1:AM169"/>
  <sheetViews>
    <sheetView workbookViewId="0">
      <selection activeCell="G4" sqref="G4:O163"/>
    </sheetView>
  </sheetViews>
  <sheetFormatPr defaultColWidth="8.7265625" defaultRowHeight="14.5" x14ac:dyDescent="0.35"/>
  <cols>
    <col min="1" max="1" width="3.81640625" style="23" customWidth="1"/>
    <col min="2" max="2" width="27.453125" style="23" customWidth="1"/>
    <col min="3" max="3" width="18" style="23" customWidth="1"/>
    <col min="4" max="5" width="10.1796875" style="23" customWidth="1"/>
    <col min="6" max="6" width="9.54296875" style="23" customWidth="1"/>
    <col min="7" max="7" width="10.26953125" style="23" customWidth="1"/>
    <col min="8" max="8" width="10.1796875" style="23" customWidth="1"/>
    <col min="9" max="17" width="8.7265625" style="23"/>
    <col min="18" max="18" width="9.81640625" style="23" customWidth="1"/>
    <col min="19" max="28" width="8.7265625" style="23"/>
    <col min="29" max="29" width="4.54296875" style="23" customWidth="1"/>
    <col min="30" max="34" width="8.7265625" style="23"/>
    <col min="35" max="35" width="3.54296875" style="23" customWidth="1"/>
    <col min="36" max="37" width="8.7265625" style="23"/>
    <col min="38" max="38" width="1.81640625" style="135" customWidth="1"/>
    <col min="39" max="39" width="3.26953125" style="96" customWidth="1"/>
    <col min="40" max="16384" width="8.7265625" style="23"/>
  </cols>
  <sheetData>
    <row r="1" spans="1:37" ht="21" x14ac:dyDescent="0.5">
      <c r="B1" s="133" t="s">
        <v>253</v>
      </c>
      <c r="C1" s="136">
        <v>2035</v>
      </c>
      <c r="W1" s="23" t="s">
        <v>202</v>
      </c>
      <c r="AB1" s="95"/>
    </row>
    <row r="2" spans="1:37" x14ac:dyDescent="0.35">
      <c r="H2" s="96"/>
      <c r="T2" s="99" t="s">
        <v>138</v>
      </c>
      <c r="W2" s="99">
        <v>1.6</v>
      </c>
      <c r="X2" s="23" t="s">
        <v>174</v>
      </c>
      <c r="Z2" s="100">
        <v>0</v>
      </c>
      <c r="AA2" s="23" t="s">
        <v>175</v>
      </c>
      <c r="AC2" s="101">
        <v>0</v>
      </c>
    </row>
    <row r="3" spans="1:37" ht="72.5" x14ac:dyDescent="0.35">
      <c r="A3" s="102" t="s">
        <v>244</v>
      </c>
      <c r="B3" s="102" t="s">
        <v>173</v>
      </c>
      <c r="C3" s="103" t="s">
        <v>95</v>
      </c>
      <c r="D3" s="103" t="s">
        <v>172</v>
      </c>
      <c r="E3" s="103" t="s">
        <v>231</v>
      </c>
      <c r="F3" s="103" t="s">
        <v>96</v>
      </c>
      <c r="G3" s="103" t="s">
        <v>205</v>
      </c>
      <c r="H3" s="103" t="s">
        <v>99</v>
      </c>
      <c r="I3" s="103" t="s">
        <v>97</v>
      </c>
      <c r="J3" s="103" t="s">
        <v>100</v>
      </c>
      <c r="K3" s="103" t="s">
        <v>101</v>
      </c>
      <c r="L3" s="103" t="s">
        <v>102</v>
      </c>
      <c r="M3" s="103" t="s">
        <v>129</v>
      </c>
      <c r="N3" s="103" t="s">
        <v>130</v>
      </c>
      <c r="O3" s="103" t="s">
        <v>132</v>
      </c>
      <c r="P3" s="103" t="s">
        <v>133</v>
      </c>
      <c r="Q3" s="103" t="s">
        <v>131</v>
      </c>
      <c r="R3" s="117" t="s">
        <v>136</v>
      </c>
      <c r="S3" s="103" t="s">
        <v>135</v>
      </c>
      <c r="T3" s="103" t="s">
        <v>134</v>
      </c>
      <c r="U3" s="103" t="s">
        <v>103</v>
      </c>
      <c r="V3" s="117" t="s">
        <v>108</v>
      </c>
      <c r="W3" s="103" t="s">
        <v>199</v>
      </c>
      <c r="X3" s="103" t="s">
        <v>104</v>
      </c>
      <c r="Y3" s="103" t="s">
        <v>105</v>
      </c>
      <c r="Z3" s="103" t="s">
        <v>106</v>
      </c>
      <c r="AA3" s="103" t="s">
        <v>137</v>
      </c>
      <c r="AB3" s="117" t="s">
        <v>107</v>
      </c>
      <c r="AD3" s="103" t="s">
        <v>167</v>
      </c>
      <c r="AE3" s="103" t="s">
        <v>168</v>
      </c>
      <c r="AF3" s="103" t="s">
        <v>169</v>
      </c>
      <c r="AJ3" s="103" t="s">
        <v>177</v>
      </c>
      <c r="AK3" s="103" t="s">
        <v>176</v>
      </c>
    </row>
    <row r="4" spans="1:37" ht="14.5" customHeight="1" x14ac:dyDescent="0.35">
      <c r="A4" s="23">
        <v>20</v>
      </c>
      <c r="B4" s="120" t="s">
        <v>162</v>
      </c>
      <c r="C4" s="111" t="s">
        <v>157</v>
      </c>
      <c r="D4" s="111" t="s">
        <v>170</v>
      </c>
      <c r="E4" s="111"/>
      <c r="F4" s="111" t="s">
        <v>158</v>
      </c>
      <c r="G4" s="166">
        <f>'time-factors'!E$35*'time-factors'!B70</f>
        <v>9.401093480777666</v>
      </c>
      <c r="H4" s="174">
        <f>'time-factors'!M70</f>
        <v>0.11249999999999999</v>
      </c>
      <c r="I4" s="168" t="s">
        <v>166</v>
      </c>
      <c r="J4" s="96">
        <f>'time-factors'!R$46</f>
        <v>20</v>
      </c>
      <c r="K4" s="170">
        <f>'time-factors'!L$46</f>
        <v>0.05</v>
      </c>
      <c r="L4" s="172">
        <f t="shared" ref="L4:L28" si="0">PMT(K4,J4,-H4)</f>
        <v>9.0272910589527713E-3</v>
      </c>
      <c r="M4" s="171">
        <v>0.02</v>
      </c>
      <c r="N4" s="168">
        <f t="shared" ref="N4:N28" si="1">M4*H4</f>
        <v>2.2499999999999998E-3</v>
      </c>
      <c r="O4" s="168">
        <v>1.5</v>
      </c>
      <c r="P4" s="111">
        <v>200</v>
      </c>
      <c r="Q4" s="115">
        <f t="shared" ref="Q4:Q28" si="2">P4*O4*0.001</f>
        <v>0.3</v>
      </c>
      <c r="R4" s="114">
        <f t="shared" ref="R4:R28" si="3">L4+N4+Q4</f>
        <v>0.31127729105895274</v>
      </c>
      <c r="S4" s="114">
        <f>2*O4</f>
        <v>3</v>
      </c>
      <c r="T4" s="114">
        <v>0.1</v>
      </c>
      <c r="U4" s="111">
        <f t="shared" ref="U4:U28" si="4">T4*S4</f>
        <v>0.30000000000000004</v>
      </c>
      <c r="V4" s="111">
        <f t="shared" ref="V4:V28" si="5">R4/U4</f>
        <v>1.0375909701965089</v>
      </c>
      <c r="W4" s="111">
        <v>200</v>
      </c>
      <c r="X4" s="111">
        <f t="shared" ref="X4:X28" si="6">W4*S4*0.001</f>
        <v>0.6</v>
      </c>
      <c r="Y4" s="111">
        <f t="shared" ref="Y4:Y10" si="7">$AC$2</f>
        <v>0</v>
      </c>
      <c r="Z4" s="111">
        <f t="shared" ref="Z4:Z28" si="8">Y4*U4</f>
        <v>0</v>
      </c>
      <c r="AA4" s="114">
        <f t="shared" ref="AA4:AA28" si="9">R4-X4-Z4</f>
        <v>-0.28872270894104723</v>
      </c>
      <c r="AB4" s="111">
        <f t="shared" ref="AB4:AB28" si="10">AA4/U4</f>
        <v>-0.96240902980349063</v>
      </c>
      <c r="AC4" s="111"/>
      <c r="AD4" s="107">
        <f t="shared" ref="AD4:AD28" si="11">L4/U4</f>
        <v>3.0090970196509234E-2</v>
      </c>
      <c r="AE4" s="23">
        <f t="shared" ref="AE4:AE28" si="12">N4/U4</f>
        <v>7.499999999999998E-3</v>
      </c>
      <c r="AF4" s="108">
        <f t="shared" ref="AF4:AF28" si="13">Q4/U4</f>
        <v>0.99999999999999978</v>
      </c>
      <c r="AH4" s="104">
        <f>G4</f>
        <v>9.401093480777666</v>
      </c>
      <c r="AJ4" s="104">
        <f>AH4</f>
        <v>9.401093480777666</v>
      </c>
      <c r="AK4" s="23">
        <f t="shared" ref="AK4:AK28" si="14">AB4</f>
        <v>-0.96240902980349063</v>
      </c>
    </row>
    <row r="5" spans="1:37" ht="14.5" customHeight="1" x14ac:dyDescent="0.35">
      <c r="A5" s="23">
        <v>21</v>
      </c>
      <c r="B5" s="120" t="s">
        <v>160</v>
      </c>
      <c r="C5" s="48" t="s">
        <v>163</v>
      </c>
      <c r="D5" s="111" t="s">
        <v>170</v>
      </c>
      <c r="E5" s="111"/>
      <c r="F5" s="48" t="s">
        <v>158</v>
      </c>
      <c r="G5" s="166">
        <f>'time-factors'!E$35*'time-factors'!B71</f>
        <v>17.235338048092387</v>
      </c>
      <c r="H5" s="174">
        <f>'time-factors'!M71</f>
        <v>0.1875</v>
      </c>
      <c r="I5" s="168" t="s">
        <v>166</v>
      </c>
      <c r="J5" s="96">
        <f>'time-factors'!R$46</f>
        <v>20</v>
      </c>
      <c r="K5" s="170">
        <f>'time-factors'!L$46</f>
        <v>0.05</v>
      </c>
      <c r="L5" s="172">
        <f t="shared" si="0"/>
        <v>1.5045485098254622E-2</v>
      </c>
      <c r="M5" s="171">
        <v>0.02</v>
      </c>
      <c r="N5" s="168">
        <f t="shared" si="1"/>
        <v>3.7499999999999999E-3</v>
      </c>
      <c r="O5" s="168">
        <v>4.4000000000000004</v>
      </c>
      <c r="P5" s="111">
        <v>200</v>
      </c>
      <c r="Q5" s="115">
        <f t="shared" si="2"/>
        <v>0.88000000000000012</v>
      </c>
      <c r="R5" s="114">
        <f t="shared" si="3"/>
        <v>0.89879548509825469</v>
      </c>
      <c r="S5" s="114">
        <f>1.2*O5</f>
        <v>5.28</v>
      </c>
      <c r="T5" s="114">
        <v>0.1</v>
      </c>
      <c r="U5" s="111">
        <f t="shared" si="4"/>
        <v>0.52800000000000002</v>
      </c>
      <c r="V5" s="111">
        <f t="shared" si="5"/>
        <v>1.702264176322452</v>
      </c>
      <c r="W5" s="111">
        <v>200</v>
      </c>
      <c r="X5" s="111">
        <f t="shared" si="6"/>
        <v>1.056</v>
      </c>
      <c r="Y5" s="111">
        <f t="shared" si="7"/>
        <v>0</v>
      </c>
      <c r="Z5" s="111">
        <f t="shared" si="8"/>
        <v>0</v>
      </c>
      <c r="AA5" s="114">
        <f t="shared" si="9"/>
        <v>-0.15720451490174536</v>
      </c>
      <c r="AB5" s="111">
        <f t="shared" si="10"/>
        <v>-0.29773582367754803</v>
      </c>
      <c r="AC5" s="111"/>
      <c r="AD5" s="107">
        <f t="shared" si="11"/>
        <v>2.8495236928512541E-2</v>
      </c>
      <c r="AE5" s="23">
        <f t="shared" si="12"/>
        <v>7.102272727272727E-3</v>
      </c>
      <c r="AF5" s="108">
        <f t="shared" si="13"/>
        <v>1.6666666666666667</v>
      </c>
      <c r="AH5" s="104">
        <f t="shared" ref="AH5:AH28" si="15">G5</f>
        <v>17.235338048092387</v>
      </c>
      <c r="AJ5" s="104">
        <f>AJ4+AH5</f>
        <v>26.636431528870055</v>
      </c>
      <c r="AK5" s="23">
        <f t="shared" si="14"/>
        <v>-0.29773582367754803</v>
      </c>
    </row>
    <row r="6" spans="1:37" ht="14.5" customHeight="1" x14ac:dyDescent="0.35">
      <c r="A6" s="23">
        <v>22</v>
      </c>
      <c r="B6" s="120" t="s">
        <v>161</v>
      </c>
      <c r="C6" s="48" t="s">
        <v>163</v>
      </c>
      <c r="D6" s="111" t="s">
        <v>170</v>
      </c>
      <c r="E6" s="111"/>
      <c r="F6" s="48" t="s">
        <v>158</v>
      </c>
      <c r="G6" s="166">
        <f>'time-factors'!E$35*'time-factors'!B72</f>
        <v>9.401093480777666</v>
      </c>
      <c r="H6" s="174">
        <f>'time-factors'!M72</f>
        <v>0.375</v>
      </c>
      <c r="I6" s="168" t="s">
        <v>166</v>
      </c>
      <c r="J6" s="96">
        <f>'time-factors'!R$46</f>
        <v>20</v>
      </c>
      <c r="K6" s="170">
        <f>'time-factors'!L$46</f>
        <v>0.05</v>
      </c>
      <c r="L6" s="172">
        <f t="shared" si="0"/>
        <v>3.0090970196509245E-2</v>
      </c>
      <c r="M6" s="171">
        <v>0.02</v>
      </c>
      <c r="N6" s="168">
        <f t="shared" si="1"/>
        <v>7.4999999999999997E-3</v>
      </c>
      <c r="O6" s="168">
        <v>4.4000000000000004</v>
      </c>
      <c r="P6" s="111">
        <v>200</v>
      </c>
      <c r="Q6" s="115">
        <f t="shared" si="2"/>
        <v>0.88000000000000012</v>
      </c>
      <c r="R6" s="114">
        <f t="shared" si="3"/>
        <v>0.91759097019650937</v>
      </c>
      <c r="S6" s="114">
        <f>1.2*O6</f>
        <v>5.28</v>
      </c>
      <c r="T6" s="114">
        <v>0.1</v>
      </c>
      <c r="U6" s="111">
        <f t="shared" si="4"/>
        <v>0.52800000000000002</v>
      </c>
      <c r="V6" s="111">
        <f t="shared" si="5"/>
        <v>1.7378616859782374</v>
      </c>
      <c r="W6" s="111">
        <v>200</v>
      </c>
      <c r="X6" s="111">
        <f t="shared" si="6"/>
        <v>1.056</v>
      </c>
      <c r="Y6" s="111">
        <f t="shared" si="7"/>
        <v>0</v>
      </c>
      <c r="Z6" s="111">
        <f t="shared" si="8"/>
        <v>0</v>
      </c>
      <c r="AA6" s="114">
        <f t="shared" si="9"/>
        <v>-0.13840902980349068</v>
      </c>
      <c r="AB6" s="111">
        <f t="shared" si="10"/>
        <v>-0.26213831402176263</v>
      </c>
      <c r="AC6" s="111"/>
      <c r="AD6" s="107">
        <f t="shared" si="11"/>
        <v>5.6990473857025083E-2</v>
      </c>
      <c r="AE6" s="23">
        <f t="shared" si="12"/>
        <v>1.4204545454545454E-2</v>
      </c>
      <c r="AF6" s="108">
        <f t="shared" si="13"/>
        <v>1.6666666666666667</v>
      </c>
      <c r="AH6" s="104">
        <f t="shared" si="15"/>
        <v>9.401093480777666</v>
      </c>
      <c r="AJ6" s="104">
        <f t="shared" ref="AJ6:AJ28" si="16">AJ5+AH6</f>
        <v>36.037525009647723</v>
      </c>
      <c r="AK6" s="23">
        <f t="shared" si="14"/>
        <v>-0.26213831402176263</v>
      </c>
    </row>
    <row r="7" spans="1:37" ht="14.5" customHeight="1" x14ac:dyDescent="0.35">
      <c r="A7" s="23">
        <v>24</v>
      </c>
      <c r="B7" s="120" t="s">
        <v>165</v>
      </c>
      <c r="C7" s="120" t="s">
        <v>165</v>
      </c>
      <c r="D7" s="111" t="s">
        <v>170</v>
      </c>
      <c r="E7" s="111"/>
      <c r="F7" s="48" t="s">
        <v>158</v>
      </c>
      <c r="G7" s="166">
        <f>'time-factors'!E$35*'time-factors'!B74</f>
        <v>6.2673956538517777</v>
      </c>
      <c r="H7" s="174">
        <f>'time-factors'!M74</f>
        <v>0.375</v>
      </c>
      <c r="I7" s="168" t="s">
        <v>166</v>
      </c>
      <c r="J7" s="96">
        <f>'time-factors'!R$46</f>
        <v>20</v>
      </c>
      <c r="K7" s="170">
        <f>'time-factors'!L$46</f>
        <v>0.05</v>
      </c>
      <c r="L7" s="172">
        <f t="shared" si="0"/>
        <v>3.0090970196509245E-2</v>
      </c>
      <c r="M7" s="171">
        <v>0.02</v>
      </c>
      <c r="N7" s="168">
        <f t="shared" si="1"/>
        <v>7.4999999999999997E-3</v>
      </c>
      <c r="O7" s="168">
        <v>4.4000000000000004</v>
      </c>
      <c r="P7" s="111">
        <v>200</v>
      </c>
      <c r="Q7" s="115">
        <f t="shared" si="2"/>
        <v>0.88000000000000012</v>
      </c>
      <c r="R7" s="114">
        <f t="shared" si="3"/>
        <v>0.91759097019650937</v>
      </c>
      <c r="S7" s="114">
        <f>1.2*O7</f>
        <v>5.28</v>
      </c>
      <c r="T7" s="114">
        <v>0.1</v>
      </c>
      <c r="U7" s="111">
        <f t="shared" si="4"/>
        <v>0.52800000000000002</v>
      </c>
      <c r="V7" s="111">
        <f t="shared" si="5"/>
        <v>1.7378616859782374</v>
      </c>
      <c r="W7" s="111">
        <v>200</v>
      </c>
      <c r="X7" s="111">
        <f t="shared" si="6"/>
        <v>1.056</v>
      </c>
      <c r="Y7" s="111">
        <f t="shared" si="7"/>
        <v>0</v>
      </c>
      <c r="Z7" s="111">
        <f t="shared" si="8"/>
        <v>0</v>
      </c>
      <c r="AA7" s="114">
        <f t="shared" si="9"/>
        <v>-0.13840902980349068</v>
      </c>
      <c r="AB7" s="111">
        <f t="shared" si="10"/>
        <v>-0.26213831402176263</v>
      </c>
      <c r="AC7" s="111"/>
      <c r="AD7" s="107">
        <f t="shared" si="11"/>
        <v>5.6990473857025083E-2</v>
      </c>
      <c r="AE7" s="23">
        <f t="shared" si="12"/>
        <v>1.4204545454545454E-2</v>
      </c>
      <c r="AF7" s="108">
        <f t="shared" si="13"/>
        <v>1.6666666666666667</v>
      </c>
      <c r="AH7" s="104">
        <f t="shared" si="15"/>
        <v>6.2673956538517777</v>
      </c>
      <c r="AJ7" s="104">
        <f t="shared" si="16"/>
        <v>42.304920663499502</v>
      </c>
      <c r="AK7" s="23">
        <f t="shared" si="14"/>
        <v>-0.26213831402176263</v>
      </c>
    </row>
    <row r="8" spans="1:37" ht="14.5" customHeight="1" x14ac:dyDescent="0.35">
      <c r="A8" s="23">
        <v>23</v>
      </c>
      <c r="B8" s="120" t="s">
        <v>164</v>
      </c>
      <c r="C8" s="48" t="s">
        <v>163</v>
      </c>
      <c r="D8" s="111" t="s">
        <v>170</v>
      </c>
      <c r="E8" s="111"/>
      <c r="F8" s="48" t="s">
        <v>158</v>
      </c>
      <c r="G8" s="166">
        <f>'time-factors'!E$35*'time-factors'!B73</f>
        <v>15.668489134629445</v>
      </c>
      <c r="H8" s="174">
        <f>'time-factors'!M73</f>
        <v>0.75</v>
      </c>
      <c r="I8" s="168" t="s">
        <v>166</v>
      </c>
      <c r="J8" s="96">
        <f>'time-factors'!R$46</f>
        <v>20</v>
      </c>
      <c r="K8" s="170">
        <f>'time-factors'!L$46</f>
        <v>0.05</v>
      </c>
      <c r="L8" s="172">
        <f t="shared" si="0"/>
        <v>6.0181940393018489E-2</v>
      </c>
      <c r="M8" s="171">
        <v>0.02</v>
      </c>
      <c r="N8" s="168">
        <f t="shared" si="1"/>
        <v>1.4999999999999999E-2</v>
      </c>
      <c r="O8" s="168">
        <v>4.4000000000000004</v>
      </c>
      <c r="P8" s="111">
        <v>200</v>
      </c>
      <c r="Q8" s="115">
        <f t="shared" si="2"/>
        <v>0.88000000000000012</v>
      </c>
      <c r="R8" s="114">
        <f t="shared" si="3"/>
        <v>0.95518194039301862</v>
      </c>
      <c r="S8" s="114">
        <f>1.2*O8</f>
        <v>5.28</v>
      </c>
      <c r="T8" s="114">
        <v>0.1</v>
      </c>
      <c r="U8" s="111">
        <f t="shared" si="4"/>
        <v>0.52800000000000002</v>
      </c>
      <c r="V8" s="111">
        <f t="shared" si="5"/>
        <v>1.8090567052898079</v>
      </c>
      <c r="W8" s="111">
        <v>200</v>
      </c>
      <c r="X8" s="111">
        <f t="shared" si="6"/>
        <v>1.056</v>
      </c>
      <c r="Y8" s="111">
        <f t="shared" si="7"/>
        <v>0</v>
      </c>
      <c r="Z8" s="111">
        <f t="shared" si="8"/>
        <v>0</v>
      </c>
      <c r="AA8" s="114">
        <f t="shared" si="9"/>
        <v>-0.10081805960698142</v>
      </c>
      <c r="AB8" s="111">
        <f t="shared" si="10"/>
        <v>-0.19094329471019209</v>
      </c>
      <c r="AC8" s="111"/>
      <c r="AD8" s="107">
        <f t="shared" si="11"/>
        <v>0.11398094771405017</v>
      </c>
      <c r="AE8" s="23">
        <f t="shared" si="12"/>
        <v>2.8409090909090908E-2</v>
      </c>
      <c r="AF8" s="108">
        <f t="shared" si="13"/>
        <v>1.6666666666666667</v>
      </c>
      <c r="AH8" s="104">
        <f t="shared" si="15"/>
        <v>15.668489134629445</v>
      </c>
      <c r="AJ8" s="104">
        <f t="shared" si="16"/>
        <v>57.973409798128948</v>
      </c>
      <c r="AK8" s="23">
        <f t="shared" si="14"/>
        <v>-0.19094329471019209</v>
      </c>
    </row>
    <row r="9" spans="1:37" ht="14.5" customHeight="1" x14ac:dyDescent="0.35">
      <c r="A9" s="23">
        <v>19</v>
      </c>
      <c r="B9" s="120" t="s">
        <v>140</v>
      </c>
      <c r="C9" s="111" t="s">
        <v>157</v>
      </c>
      <c r="D9" s="111" t="s">
        <v>170</v>
      </c>
      <c r="E9" s="111"/>
      <c r="F9" s="111" t="s">
        <v>159</v>
      </c>
      <c r="G9" s="166">
        <f>'time-factors'!E$35*'time-factors'!B69</f>
        <v>19.585611418286806</v>
      </c>
      <c r="H9" s="174">
        <f>'time-factors'!M69</f>
        <v>1.5</v>
      </c>
      <c r="I9" s="168" t="s">
        <v>166</v>
      </c>
      <c r="J9" s="96">
        <f>'time-factors'!R$45</f>
        <v>15</v>
      </c>
      <c r="K9" s="170">
        <f>'time-factors'!L$45</f>
        <v>0.05</v>
      </c>
      <c r="L9" s="172">
        <f t="shared" si="0"/>
        <v>0.14451343141386655</v>
      </c>
      <c r="M9" s="171">
        <v>0</v>
      </c>
      <c r="N9" s="168">
        <f t="shared" si="1"/>
        <v>0</v>
      </c>
      <c r="O9" s="168">
        <v>2.63</v>
      </c>
      <c r="P9" s="111">
        <v>200</v>
      </c>
      <c r="Q9" s="115">
        <f t="shared" si="2"/>
        <v>0.52600000000000002</v>
      </c>
      <c r="R9" s="114">
        <f t="shared" si="3"/>
        <v>0.67051343141386655</v>
      </c>
      <c r="S9" s="114">
        <f>3.5*O9</f>
        <v>9.2050000000000001</v>
      </c>
      <c r="T9" s="114">
        <v>0.18</v>
      </c>
      <c r="U9" s="111">
        <f t="shared" si="4"/>
        <v>1.6569</v>
      </c>
      <c r="V9" s="111">
        <f t="shared" si="5"/>
        <v>0.40467948060466324</v>
      </c>
      <c r="W9" s="116">
        <v>103</v>
      </c>
      <c r="X9" s="111">
        <f t="shared" si="6"/>
        <v>0.94811500000000004</v>
      </c>
      <c r="Y9" s="111">
        <f t="shared" si="7"/>
        <v>0</v>
      </c>
      <c r="Z9" s="111">
        <f t="shared" si="8"/>
        <v>0</v>
      </c>
      <c r="AA9" s="114">
        <f t="shared" si="9"/>
        <v>-0.2776015685861335</v>
      </c>
      <c r="AB9" s="111">
        <f t="shared" si="10"/>
        <v>-0.167542741617559</v>
      </c>
      <c r="AC9" s="111"/>
      <c r="AD9" s="107">
        <f t="shared" si="11"/>
        <v>8.7219163144345788E-2</v>
      </c>
      <c r="AE9" s="23">
        <f t="shared" si="12"/>
        <v>0</v>
      </c>
      <c r="AF9" s="108">
        <f t="shared" si="13"/>
        <v>0.31746031746031744</v>
      </c>
      <c r="AH9" s="104">
        <f t="shared" si="15"/>
        <v>19.585611418286806</v>
      </c>
      <c r="AJ9" s="104">
        <f t="shared" si="16"/>
        <v>77.559021216415758</v>
      </c>
      <c r="AK9" s="23">
        <f t="shared" si="14"/>
        <v>-0.167542741617559</v>
      </c>
    </row>
    <row r="10" spans="1:37" ht="14.5" customHeight="1" x14ac:dyDescent="0.35">
      <c r="A10" s="23">
        <v>25</v>
      </c>
      <c r="B10" s="121" t="s">
        <v>204</v>
      </c>
      <c r="C10" s="24" t="s">
        <v>41</v>
      </c>
      <c r="D10" s="24" t="s">
        <v>198</v>
      </c>
      <c r="E10" s="24"/>
      <c r="F10" s="24" t="s">
        <v>203</v>
      </c>
      <c r="G10" s="166">
        <f>'time-factors'!E$35*'time-factors'!B75</f>
        <v>19.585611418286806</v>
      </c>
      <c r="H10" s="175">
        <f>'time-factors'!M75</f>
        <v>3.0749999999999997</v>
      </c>
      <c r="I10" s="53" t="s">
        <v>166</v>
      </c>
      <c r="J10" s="168">
        <f>'time-factors'!R$47</f>
        <v>10</v>
      </c>
      <c r="K10" s="171">
        <f>'time-factors'!L$47</f>
        <v>0.05</v>
      </c>
      <c r="L10" s="55">
        <f t="shared" si="0"/>
        <v>0.3982265680187792</v>
      </c>
      <c r="M10" s="54">
        <v>0</v>
      </c>
      <c r="N10" s="53">
        <f t="shared" si="1"/>
        <v>0</v>
      </c>
      <c r="O10" s="53">
        <v>2.2000000000000002</v>
      </c>
      <c r="P10" s="53">
        <v>200</v>
      </c>
      <c r="Q10" s="56">
        <f t="shared" si="2"/>
        <v>0.44000000000000006</v>
      </c>
      <c r="R10" s="55">
        <f t="shared" si="3"/>
        <v>0.83822656801877926</v>
      </c>
      <c r="S10" s="59">
        <f>2*O10</f>
        <v>4.4000000000000004</v>
      </c>
      <c r="T10" s="59">
        <v>0.27</v>
      </c>
      <c r="U10" s="53">
        <f t="shared" si="4"/>
        <v>1.1880000000000002</v>
      </c>
      <c r="V10" s="53">
        <f t="shared" si="5"/>
        <v>0.7055779192077265</v>
      </c>
      <c r="W10" s="53">
        <v>200</v>
      </c>
      <c r="X10" s="57">
        <f t="shared" si="6"/>
        <v>0.88000000000000012</v>
      </c>
      <c r="Y10" s="53">
        <f t="shared" si="7"/>
        <v>0</v>
      </c>
      <c r="Z10" s="53">
        <f t="shared" si="8"/>
        <v>0</v>
      </c>
      <c r="AA10" s="55">
        <f t="shared" si="9"/>
        <v>-4.1773431981220854E-2</v>
      </c>
      <c r="AB10" s="53">
        <f t="shared" si="10"/>
        <v>-3.5162821533014185E-2</v>
      </c>
      <c r="AC10" s="53"/>
      <c r="AD10" s="107">
        <f t="shared" si="11"/>
        <v>0.33520754883735621</v>
      </c>
      <c r="AE10" s="23">
        <f t="shared" si="12"/>
        <v>0</v>
      </c>
      <c r="AF10" s="108">
        <f t="shared" si="13"/>
        <v>0.37037037037037035</v>
      </c>
      <c r="AH10" s="104">
        <f t="shared" si="15"/>
        <v>19.585611418286806</v>
      </c>
      <c r="AJ10" s="104">
        <f t="shared" si="16"/>
        <v>97.14463263470256</v>
      </c>
      <c r="AK10" s="23">
        <f t="shared" si="14"/>
        <v>-3.5162821533014185E-2</v>
      </c>
    </row>
    <row r="11" spans="1:37" ht="14.5" customHeight="1" x14ac:dyDescent="0.35">
      <c r="A11" s="23">
        <v>12</v>
      </c>
      <c r="B11" s="118" t="s">
        <v>151</v>
      </c>
      <c r="C11" s="23" t="s">
        <v>139</v>
      </c>
      <c r="D11" s="23" t="s">
        <v>171</v>
      </c>
      <c r="E11" s="23" t="s">
        <v>128</v>
      </c>
      <c r="F11" s="23" t="s">
        <v>83</v>
      </c>
      <c r="G11" s="166">
        <f>'time-factors'!E$35*'time-factors'!B62</f>
        <v>1.5668489134629444</v>
      </c>
      <c r="H11" s="166">
        <f>'time-factors'!M62</f>
        <v>33.75</v>
      </c>
      <c r="I11" s="96" t="s">
        <v>98</v>
      </c>
      <c r="J11" s="96">
        <f>'time-factors'!R$43</f>
        <v>10</v>
      </c>
      <c r="K11" s="170">
        <f>'time-factors'!L$43</f>
        <v>0.05</v>
      </c>
      <c r="L11" s="173">
        <f t="shared" si="0"/>
        <v>4.3707794050841624</v>
      </c>
      <c r="M11" s="170">
        <v>0</v>
      </c>
      <c r="N11" s="96">
        <f t="shared" si="1"/>
        <v>0</v>
      </c>
      <c r="O11" s="167" cm="1">
        <f t="array" ref="O11">IFERROR(_xlfn.IFS(E11="Heavy", 'vehicle E calcs'!$H$33,E11="Cars/vans",'vehicle E calcs'!$H$32),"")</f>
        <v>6.3768270755398833</v>
      </c>
      <c r="P11" s="106">
        <v>200</v>
      </c>
      <c r="Q11" s="108">
        <f t="shared" si="2"/>
        <v>1.2753654151079765</v>
      </c>
      <c r="R11" s="107">
        <f t="shared" si="3"/>
        <v>5.6461448201921387</v>
      </c>
      <c r="S11" s="107" cm="1">
        <f t="array" ref="S11">_xlfn.IFS(E11="Heavy", 'vehicle E calcs'!$T$21,E11="Cars/vans",'vehicle E calcs'!$S$21)*O11</f>
        <v>23.354986057632608</v>
      </c>
      <c r="T11" s="109">
        <v>0.27</v>
      </c>
      <c r="U11" s="23">
        <f t="shared" si="4"/>
        <v>6.3058462355608045</v>
      </c>
      <c r="V11" s="23">
        <f t="shared" si="5"/>
        <v>0.89538257186666148</v>
      </c>
      <c r="W11" s="106">
        <f t="shared" ref="W11:W28" si="17">W$2*105</f>
        <v>168</v>
      </c>
      <c r="X11" s="23">
        <f t="shared" si="6"/>
        <v>3.9236376576822782</v>
      </c>
      <c r="Y11" s="96">
        <f t="shared" ref="Y11:Y28" si="18">$Z$2</f>
        <v>0</v>
      </c>
      <c r="Z11" s="23">
        <f t="shared" si="8"/>
        <v>0</v>
      </c>
      <c r="AA11" s="107">
        <f t="shared" si="9"/>
        <v>1.7225071625098605</v>
      </c>
      <c r="AB11" s="23">
        <f t="shared" si="10"/>
        <v>0.27316034964443925</v>
      </c>
      <c r="AD11" s="107">
        <f t="shared" si="11"/>
        <v>0.69313130098793974</v>
      </c>
      <c r="AE11" s="23">
        <f t="shared" si="12"/>
        <v>0</v>
      </c>
      <c r="AF11" s="108">
        <f t="shared" si="13"/>
        <v>0.20225127087872183</v>
      </c>
      <c r="AH11" s="104">
        <f t="shared" si="15"/>
        <v>1.5668489134629444</v>
      </c>
      <c r="AJ11" s="104">
        <f t="shared" si="16"/>
        <v>98.711481548165509</v>
      </c>
      <c r="AK11" s="23">
        <f t="shared" si="14"/>
        <v>0.27316034964443925</v>
      </c>
    </row>
    <row r="12" spans="1:37" ht="14.5" customHeight="1" x14ac:dyDescent="0.35">
      <c r="A12" s="23">
        <v>16</v>
      </c>
      <c r="B12" s="118" t="s">
        <v>154</v>
      </c>
      <c r="C12" s="23" t="s">
        <v>139</v>
      </c>
      <c r="D12" s="23" t="s">
        <v>171</v>
      </c>
      <c r="E12" s="23" t="s">
        <v>128</v>
      </c>
      <c r="F12" s="23" t="s">
        <v>83</v>
      </c>
      <c r="G12" s="166">
        <f>'time-factors'!E$35*'time-factors'!B66</f>
        <v>1.5668489134629444</v>
      </c>
      <c r="H12" s="166">
        <f>'time-factors'!M66</f>
        <v>33.75</v>
      </c>
      <c r="I12" s="96" t="s">
        <v>98</v>
      </c>
      <c r="J12" s="96">
        <f>'time-factors'!R$43</f>
        <v>10</v>
      </c>
      <c r="K12" s="170">
        <f>'time-factors'!L$43</f>
        <v>0.05</v>
      </c>
      <c r="L12" s="173">
        <f t="shared" si="0"/>
        <v>4.3707794050841624</v>
      </c>
      <c r="M12" s="170">
        <v>0</v>
      </c>
      <c r="N12" s="96">
        <f t="shared" si="1"/>
        <v>0</v>
      </c>
      <c r="O12" s="167" cm="1">
        <f t="array" ref="O12">IFERROR(_xlfn.IFS(E12="Heavy", 'vehicle E calcs'!$H$33,E12="Cars/vans",'vehicle E calcs'!$H$32),"")</f>
        <v>6.3768270755398833</v>
      </c>
      <c r="P12" s="106">
        <v>200</v>
      </c>
      <c r="Q12" s="108">
        <f t="shared" si="2"/>
        <v>1.2753654151079765</v>
      </c>
      <c r="R12" s="107">
        <f t="shared" si="3"/>
        <v>5.6461448201921387</v>
      </c>
      <c r="S12" s="107" cm="1">
        <f t="array" ref="S12">_xlfn.IFS(E12="Heavy", 'vehicle E calcs'!$T$21,E12="Cars/vans",'vehicle E calcs'!$S$21)*O12</f>
        <v>23.354986057632608</v>
      </c>
      <c r="T12" s="109">
        <v>0.27</v>
      </c>
      <c r="U12" s="23">
        <f t="shared" si="4"/>
        <v>6.3058462355608045</v>
      </c>
      <c r="V12" s="23">
        <f t="shared" si="5"/>
        <v>0.89538257186666148</v>
      </c>
      <c r="W12" s="106">
        <f t="shared" si="17"/>
        <v>168</v>
      </c>
      <c r="X12" s="23">
        <f t="shared" si="6"/>
        <v>3.9236376576822782</v>
      </c>
      <c r="Y12" s="96">
        <f t="shared" si="18"/>
        <v>0</v>
      </c>
      <c r="Z12" s="23">
        <f t="shared" si="8"/>
        <v>0</v>
      </c>
      <c r="AA12" s="107">
        <f t="shared" si="9"/>
        <v>1.7225071625098605</v>
      </c>
      <c r="AB12" s="23">
        <f t="shared" si="10"/>
        <v>0.27316034964443925</v>
      </c>
      <c r="AD12" s="107">
        <f t="shared" si="11"/>
        <v>0.69313130098793974</v>
      </c>
      <c r="AE12" s="23">
        <f t="shared" si="12"/>
        <v>0</v>
      </c>
      <c r="AF12" s="108">
        <f t="shared" si="13"/>
        <v>0.20225127087872183</v>
      </c>
      <c r="AH12" s="104">
        <f t="shared" si="15"/>
        <v>1.5668489134629444</v>
      </c>
      <c r="AJ12" s="104">
        <f t="shared" si="16"/>
        <v>100.27833046162846</v>
      </c>
      <c r="AK12" s="23">
        <f t="shared" si="14"/>
        <v>0.27316034964443925</v>
      </c>
    </row>
    <row r="13" spans="1:37" ht="14.5" customHeight="1" x14ac:dyDescent="0.35">
      <c r="A13" s="23">
        <v>13</v>
      </c>
      <c r="B13" s="118" t="s">
        <v>232</v>
      </c>
      <c r="C13" s="23" t="s">
        <v>139</v>
      </c>
      <c r="D13" s="23" t="s">
        <v>171</v>
      </c>
      <c r="E13" s="23" t="s">
        <v>188</v>
      </c>
      <c r="F13" s="23" t="s">
        <v>83</v>
      </c>
      <c r="G13" s="166">
        <f>'time-factors'!E$35*'time-factors'!B63</f>
        <v>1.723533804809239</v>
      </c>
      <c r="H13" s="166">
        <f>'time-factors'!M63</f>
        <v>58.125</v>
      </c>
      <c r="I13" s="96" t="s">
        <v>98</v>
      </c>
      <c r="J13" s="96">
        <f>'time-factors'!R$43</f>
        <v>10</v>
      </c>
      <c r="K13" s="170">
        <f>'time-factors'!L$43</f>
        <v>0.05</v>
      </c>
      <c r="L13" s="173">
        <f t="shared" si="0"/>
        <v>7.527453419867169</v>
      </c>
      <c r="M13" s="170">
        <v>0</v>
      </c>
      <c r="N13" s="96">
        <f t="shared" si="1"/>
        <v>0</v>
      </c>
      <c r="O13" s="167" cm="1">
        <f t="array" ref="O13">IFERROR(_xlfn.IFS(E13="Heavy", 'vehicle E calcs'!$H$33,E13="Cars/vans",'vehicle E calcs'!$H$32),"")</f>
        <v>7.1233383316924828</v>
      </c>
      <c r="P13" s="106">
        <v>200</v>
      </c>
      <c r="Q13" s="108">
        <f t="shared" si="2"/>
        <v>1.4246676663384965</v>
      </c>
      <c r="R13" s="107">
        <f t="shared" si="3"/>
        <v>8.9521210862056648</v>
      </c>
      <c r="S13" s="107" cm="1">
        <f t="array" ref="S13">_xlfn.IFS(E13="Heavy", 'vehicle E calcs'!$T$21,E13="Cars/vans",'vehicle E calcs'!$S$21)*O13</f>
        <v>24.362584419881831</v>
      </c>
      <c r="T13" s="109">
        <v>0.27</v>
      </c>
      <c r="U13" s="23">
        <f t="shared" si="4"/>
        <v>6.5778977933680949</v>
      </c>
      <c r="V13" s="23">
        <f t="shared" si="5"/>
        <v>1.3609395231454169</v>
      </c>
      <c r="W13" s="106">
        <f t="shared" si="17"/>
        <v>168</v>
      </c>
      <c r="X13" s="23">
        <f t="shared" si="6"/>
        <v>4.0929141825401478</v>
      </c>
      <c r="Y13" s="96">
        <f t="shared" si="18"/>
        <v>0</v>
      </c>
      <c r="Z13" s="23">
        <f t="shared" si="8"/>
        <v>0</v>
      </c>
      <c r="AA13" s="107">
        <f t="shared" si="9"/>
        <v>4.859206903665517</v>
      </c>
      <c r="AB13" s="23">
        <f t="shared" si="10"/>
        <v>0.73871730092319465</v>
      </c>
      <c r="AD13" s="107">
        <f t="shared" si="11"/>
        <v>1.1443554850390691</v>
      </c>
      <c r="AE13" s="23">
        <f t="shared" si="12"/>
        <v>0</v>
      </c>
      <c r="AF13" s="108">
        <f t="shared" si="13"/>
        <v>0.2165840381063478</v>
      </c>
      <c r="AH13" s="104">
        <f t="shared" si="15"/>
        <v>1.723533804809239</v>
      </c>
      <c r="AJ13" s="104">
        <f t="shared" si="16"/>
        <v>102.00186426643769</v>
      </c>
      <c r="AK13" s="23">
        <f t="shared" si="14"/>
        <v>0.73871730092319465</v>
      </c>
    </row>
    <row r="14" spans="1:37" ht="14.5" customHeight="1" x14ac:dyDescent="0.35">
      <c r="A14" s="23">
        <v>11</v>
      </c>
      <c r="B14" s="118" t="s">
        <v>150</v>
      </c>
      <c r="C14" s="23" t="s">
        <v>139</v>
      </c>
      <c r="D14" s="23" t="s">
        <v>171</v>
      </c>
      <c r="E14" s="23" t="s">
        <v>128</v>
      </c>
      <c r="F14" s="23" t="s">
        <v>83</v>
      </c>
      <c r="G14" s="166">
        <f>'time-factors'!E$35*'time-factors'!B61</f>
        <v>0.78342445673147221</v>
      </c>
      <c r="H14" s="166">
        <f>'time-factors'!M61</f>
        <v>58.125</v>
      </c>
      <c r="I14" s="96" t="s">
        <v>98</v>
      </c>
      <c r="J14" s="96">
        <f>'time-factors'!R$43</f>
        <v>10</v>
      </c>
      <c r="K14" s="170">
        <f>'time-factors'!L$43</f>
        <v>0.05</v>
      </c>
      <c r="L14" s="173">
        <f t="shared" si="0"/>
        <v>7.527453419867169</v>
      </c>
      <c r="M14" s="170">
        <v>0</v>
      </c>
      <c r="N14" s="96">
        <f t="shared" si="1"/>
        <v>0</v>
      </c>
      <c r="O14" s="167" cm="1">
        <f t="array" ref="O14">IFERROR(_xlfn.IFS(E14="Heavy", 'vehicle E calcs'!$H$33,E14="Cars/vans",'vehicle E calcs'!$H$32),"")</f>
        <v>6.3768270755398833</v>
      </c>
      <c r="P14" s="106">
        <v>200</v>
      </c>
      <c r="Q14" s="108">
        <f t="shared" si="2"/>
        <v>1.2753654151079765</v>
      </c>
      <c r="R14" s="107">
        <f t="shared" si="3"/>
        <v>8.8028188349751453</v>
      </c>
      <c r="S14" s="107" cm="1">
        <f t="array" ref="S14">_xlfn.IFS(E14="Heavy", 'vehicle E calcs'!$T$21,E14="Cars/vans",'vehicle E calcs'!$S$21)*O14</f>
        <v>23.354986057632608</v>
      </c>
      <c r="T14" s="109">
        <v>0.27</v>
      </c>
      <c r="U14" s="23">
        <f t="shared" si="4"/>
        <v>6.3058462355608045</v>
      </c>
      <c r="V14" s="23">
        <f t="shared" si="5"/>
        <v>1.3959774003579513</v>
      </c>
      <c r="W14" s="106">
        <f t="shared" si="17"/>
        <v>168</v>
      </c>
      <c r="X14" s="23">
        <f t="shared" si="6"/>
        <v>3.9236376576822782</v>
      </c>
      <c r="Y14" s="96">
        <f t="shared" si="18"/>
        <v>0</v>
      </c>
      <c r="Z14" s="23">
        <f t="shared" si="8"/>
        <v>0</v>
      </c>
      <c r="AA14" s="107">
        <f t="shared" si="9"/>
        <v>4.8791811772928675</v>
      </c>
      <c r="AB14" s="23">
        <f t="shared" si="10"/>
        <v>0.77375517813572914</v>
      </c>
      <c r="AD14" s="107">
        <f t="shared" si="11"/>
        <v>1.1937261294792296</v>
      </c>
      <c r="AE14" s="23">
        <f t="shared" si="12"/>
        <v>0</v>
      </c>
      <c r="AF14" s="108">
        <f t="shared" si="13"/>
        <v>0.20225127087872183</v>
      </c>
      <c r="AH14" s="104">
        <f t="shared" si="15"/>
        <v>0.78342445673147221</v>
      </c>
      <c r="AJ14" s="104">
        <f t="shared" si="16"/>
        <v>102.78528872316916</v>
      </c>
      <c r="AK14" s="23">
        <f t="shared" si="14"/>
        <v>0.77375517813572914</v>
      </c>
    </row>
    <row r="15" spans="1:37" ht="14.5" customHeight="1" x14ac:dyDescent="0.35">
      <c r="A15" s="23">
        <v>6</v>
      </c>
      <c r="B15" s="118" t="s">
        <v>146</v>
      </c>
      <c r="C15" s="23" t="s">
        <v>139</v>
      </c>
      <c r="D15" s="23" t="s">
        <v>171</v>
      </c>
      <c r="E15" s="23" t="s">
        <v>188</v>
      </c>
      <c r="F15" s="23" t="s">
        <v>83</v>
      </c>
      <c r="G15" s="166">
        <f>'time-factors'!E$35*'time-factors'!B56</f>
        <v>2.2719309245212695</v>
      </c>
      <c r="H15" s="166">
        <f>'time-factors'!M56</f>
        <v>111.48396000000001</v>
      </c>
      <c r="I15" s="96" t="s">
        <v>98</v>
      </c>
      <c r="J15" s="96">
        <f>'time-factors'!R$43</f>
        <v>10</v>
      </c>
      <c r="K15" s="170">
        <f>'time-factors'!L$43</f>
        <v>0.05</v>
      </c>
      <c r="L15" s="173">
        <f t="shared" si="0"/>
        <v>14.437682855265974</v>
      </c>
      <c r="M15" s="170">
        <v>0</v>
      </c>
      <c r="N15" s="96">
        <f t="shared" si="1"/>
        <v>0</v>
      </c>
      <c r="O15" s="167" cm="1">
        <f t="array" ref="O15">IFERROR(_xlfn.IFS(E15="Heavy", 'vehicle E calcs'!$H$33,E15="Cars/vans",'vehicle E calcs'!$H$32),"")</f>
        <v>7.1233383316924828</v>
      </c>
      <c r="P15" s="106">
        <v>200</v>
      </c>
      <c r="Q15" s="108">
        <f t="shared" si="2"/>
        <v>1.4246676663384965</v>
      </c>
      <c r="R15" s="107">
        <f t="shared" si="3"/>
        <v>15.862350521604471</v>
      </c>
      <c r="S15" s="107" cm="1">
        <f t="array" ref="S15">_xlfn.IFS(E15="Heavy", 'vehicle E calcs'!$T$21,E15="Cars/vans",'vehicle E calcs'!$S$21)*O15</f>
        <v>24.362584419881831</v>
      </c>
      <c r="T15" s="109">
        <v>0.27</v>
      </c>
      <c r="U15" s="23">
        <f t="shared" si="4"/>
        <v>6.5778977933680949</v>
      </c>
      <c r="V15" s="23">
        <f t="shared" si="5"/>
        <v>2.4114619928569061</v>
      </c>
      <c r="W15" s="106">
        <f t="shared" si="17"/>
        <v>168</v>
      </c>
      <c r="X15" s="23">
        <f t="shared" si="6"/>
        <v>4.0929141825401478</v>
      </c>
      <c r="Y15" s="96">
        <f t="shared" si="18"/>
        <v>0</v>
      </c>
      <c r="Z15" s="23">
        <f t="shared" si="8"/>
        <v>0</v>
      </c>
      <c r="AA15" s="107">
        <f t="shared" si="9"/>
        <v>11.769436339064324</v>
      </c>
      <c r="AB15" s="23">
        <f t="shared" si="10"/>
        <v>1.7892397706346841</v>
      </c>
      <c r="AD15" s="107">
        <f t="shared" si="11"/>
        <v>2.1948779547505581</v>
      </c>
      <c r="AE15" s="23">
        <f t="shared" si="12"/>
        <v>0</v>
      </c>
      <c r="AF15" s="108">
        <f t="shared" si="13"/>
        <v>0.2165840381063478</v>
      </c>
      <c r="AH15" s="104">
        <f t="shared" si="15"/>
        <v>2.2719309245212695</v>
      </c>
      <c r="AJ15" s="104">
        <f t="shared" si="16"/>
        <v>105.05721964769043</v>
      </c>
      <c r="AK15" s="23">
        <f t="shared" si="14"/>
        <v>1.7892397706346841</v>
      </c>
    </row>
    <row r="16" spans="1:37" ht="14.5" customHeight="1" x14ac:dyDescent="0.35">
      <c r="A16" s="23">
        <v>1</v>
      </c>
      <c r="B16" s="118" t="s">
        <v>141</v>
      </c>
      <c r="C16" s="23" t="s">
        <v>139</v>
      </c>
      <c r="D16" s="23" t="s">
        <v>171</v>
      </c>
      <c r="E16" s="23" t="s">
        <v>128</v>
      </c>
      <c r="F16" s="23" t="s">
        <v>83</v>
      </c>
      <c r="G16" s="166">
        <f>'time-factors'!E$35*'time-factors'!B51</f>
        <v>2.7419855985601527</v>
      </c>
      <c r="H16" s="166">
        <f>'time-factors'!M51</f>
        <v>149.308875</v>
      </c>
      <c r="I16" s="96" t="s">
        <v>98</v>
      </c>
      <c r="J16" s="96">
        <f>'time-factors'!R$43</f>
        <v>10</v>
      </c>
      <c r="K16" s="170">
        <f>'time-factors'!L$43</f>
        <v>0.05</v>
      </c>
      <c r="L16" s="173">
        <f t="shared" si="0"/>
        <v>19.336182395445498</v>
      </c>
      <c r="M16" s="170">
        <v>0</v>
      </c>
      <c r="N16" s="96">
        <f t="shared" si="1"/>
        <v>0</v>
      </c>
      <c r="O16" s="167" cm="1">
        <f t="array" ref="O16">IFERROR(_xlfn.IFS(E16="Heavy", 'vehicle E calcs'!$H$33,E16="Cars/vans",'vehicle E calcs'!$H$32),"")</f>
        <v>6.3768270755398833</v>
      </c>
      <c r="P16" s="106">
        <v>200</v>
      </c>
      <c r="Q16" s="108">
        <f t="shared" si="2"/>
        <v>1.2753654151079765</v>
      </c>
      <c r="R16" s="107">
        <f t="shared" si="3"/>
        <v>20.611547810553475</v>
      </c>
      <c r="S16" s="107" cm="1">
        <f t="array" ref="S16">_xlfn.IFS(E16="Heavy", 'vehicle E calcs'!$T$21,E16="Cars/vans",'vehicle E calcs'!$S$21)*O16</f>
        <v>23.354986057632608</v>
      </c>
      <c r="T16" s="109">
        <v>0.27</v>
      </c>
      <c r="U16" s="23">
        <f t="shared" si="4"/>
        <v>6.3058462355608045</v>
      </c>
      <c r="V16" s="23">
        <f t="shared" si="5"/>
        <v>3.2686410420726673</v>
      </c>
      <c r="W16" s="106">
        <f t="shared" si="17"/>
        <v>168</v>
      </c>
      <c r="X16" s="23">
        <f t="shared" si="6"/>
        <v>3.9236376576822782</v>
      </c>
      <c r="Y16" s="96">
        <f t="shared" si="18"/>
        <v>0</v>
      </c>
      <c r="Z16" s="23">
        <f t="shared" si="8"/>
        <v>0</v>
      </c>
      <c r="AA16" s="107">
        <f t="shared" si="9"/>
        <v>16.687910152871197</v>
      </c>
      <c r="AB16" s="23">
        <f t="shared" si="10"/>
        <v>2.6464188198504455</v>
      </c>
      <c r="AD16" s="107">
        <f t="shared" si="11"/>
        <v>3.0663897711939456</v>
      </c>
      <c r="AE16" s="23">
        <f t="shared" si="12"/>
        <v>0</v>
      </c>
      <c r="AF16" s="108">
        <f t="shared" si="13"/>
        <v>0.20225127087872183</v>
      </c>
      <c r="AH16" s="104">
        <f t="shared" si="15"/>
        <v>2.7419855985601527</v>
      </c>
      <c r="AJ16" s="104">
        <f t="shared" si="16"/>
        <v>107.79920524625058</v>
      </c>
      <c r="AK16" s="23">
        <f t="shared" si="14"/>
        <v>2.6464188198504455</v>
      </c>
    </row>
    <row r="17" spans="1:37" ht="14.5" customHeight="1" x14ac:dyDescent="0.35">
      <c r="A17" s="23">
        <v>4</v>
      </c>
      <c r="B17" s="118" t="s">
        <v>144</v>
      </c>
      <c r="C17" s="23" t="s">
        <v>139</v>
      </c>
      <c r="D17" s="23" t="s">
        <v>171</v>
      </c>
      <c r="E17" s="23" t="s">
        <v>188</v>
      </c>
      <c r="F17" s="23" t="s">
        <v>83</v>
      </c>
      <c r="G17" s="166">
        <f>'time-factors'!E$35*'time-factors'!B54</f>
        <v>1.1751366850972083</v>
      </c>
      <c r="H17" s="166">
        <f>'time-factors'!M54</f>
        <v>216</v>
      </c>
      <c r="I17" s="96" t="s">
        <v>98</v>
      </c>
      <c r="J17" s="96">
        <f>'time-factors'!R$43</f>
        <v>10</v>
      </c>
      <c r="K17" s="170">
        <f>'time-factors'!L$43</f>
        <v>0.05</v>
      </c>
      <c r="L17" s="173">
        <f t="shared" si="0"/>
        <v>27.97298819253864</v>
      </c>
      <c r="M17" s="170">
        <v>0</v>
      </c>
      <c r="N17" s="96">
        <f t="shared" si="1"/>
        <v>0</v>
      </c>
      <c r="O17" s="167" cm="1">
        <f t="array" ref="O17">IFERROR(_xlfn.IFS(E17="Heavy", 'vehicle E calcs'!$H$33,E17="Cars/vans",'vehicle E calcs'!$H$32),"")</f>
        <v>7.1233383316924828</v>
      </c>
      <c r="P17" s="106">
        <v>200</v>
      </c>
      <c r="Q17" s="108">
        <f t="shared" si="2"/>
        <v>1.4246676663384965</v>
      </c>
      <c r="R17" s="107">
        <f t="shared" si="3"/>
        <v>29.397655858877137</v>
      </c>
      <c r="S17" s="107" cm="1">
        <f t="array" ref="S17">_xlfn.IFS(E17="Heavy", 'vehicle E calcs'!$T$21,E17="Cars/vans",'vehicle E calcs'!$S$21)*O17</f>
        <v>24.362584419881831</v>
      </c>
      <c r="T17" s="109">
        <v>0.27</v>
      </c>
      <c r="U17" s="23">
        <f t="shared" si="4"/>
        <v>6.5778977933680949</v>
      </c>
      <c r="V17" s="23">
        <f t="shared" si="5"/>
        <v>4.4691566792837918</v>
      </c>
      <c r="W17" s="106">
        <f t="shared" si="17"/>
        <v>168</v>
      </c>
      <c r="X17" s="23">
        <f t="shared" si="6"/>
        <v>4.0929141825401478</v>
      </c>
      <c r="Y17" s="96">
        <f t="shared" si="18"/>
        <v>0</v>
      </c>
      <c r="Z17" s="23">
        <f t="shared" si="8"/>
        <v>0</v>
      </c>
      <c r="AA17" s="107">
        <f t="shared" si="9"/>
        <v>25.304741676336988</v>
      </c>
      <c r="AB17" s="23">
        <f t="shared" si="10"/>
        <v>3.8469344570615696</v>
      </c>
      <c r="AD17" s="107">
        <f t="shared" si="11"/>
        <v>4.2525726411774443</v>
      </c>
      <c r="AE17" s="23">
        <f t="shared" si="12"/>
        <v>0</v>
      </c>
      <c r="AF17" s="108">
        <f t="shared" si="13"/>
        <v>0.2165840381063478</v>
      </c>
      <c r="AH17" s="104">
        <f t="shared" si="15"/>
        <v>1.1751366850972083</v>
      </c>
      <c r="AJ17" s="104">
        <f t="shared" si="16"/>
        <v>108.97434193134779</v>
      </c>
      <c r="AK17" s="23">
        <f t="shared" si="14"/>
        <v>3.8469344570615696</v>
      </c>
    </row>
    <row r="18" spans="1:37" ht="14.5" customHeight="1" x14ac:dyDescent="0.35">
      <c r="A18" s="23">
        <v>7</v>
      </c>
      <c r="B18" s="118" t="s">
        <v>147</v>
      </c>
      <c r="C18" s="23" t="s">
        <v>139</v>
      </c>
      <c r="D18" s="23" t="s">
        <v>171</v>
      </c>
      <c r="E18" s="23" t="s">
        <v>188</v>
      </c>
      <c r="F18" s="23" t="s">
        <v>83</v>
      </c>
      <c r="G18" s="166">
        <f>'time-factors'!E$35*'time-factors'!B57</f>
        <v>1.9585611418286806</v>
      </c>
      <c r="H18" s="166">
        <f>'time-factors'!M57</f>
        <v>216</v>
      </c>
      <c r="I18" s="96" t="s">
        <v>98</v>
      </c>
      <c r="J18" s="96">
        <f>'time-factors'!R$43</f>
        <v>10</v>
      </c>
      <c r="K18" s="170">
        <f>'time-factors'!L$43</f>
        <v>0.05</v>
      </c>
      <c r="L18" s="173">
        <f t="shared" si="0"/>
        <v>27.97298819253864</v>
      </c>
      <c r="M18" s="170">
        <v>0</v>
      </c>
      <c r="N18" s="96">
        <f t="shared" si="1"/>
        <v>0</v>
      </c>
      <c r="O18" s="167" cm="1">
        <f t="array" ref="O18">IFERROR(_xlfn.IFS(E18="Heavy", 'vehicle E calcs'!$H$33,E18="Cars/vans",'vehicle E calcs'!$H$32),"")</f>
        <v>7.1233383316924828</v>
      </c>
      <c r="P18" s="106">
        <v>200</v>
      </c>
      <c r="Q18" s="108">
        <f t="shared" si="2"/>
        <v>1.4246676663384965</v>
      </c>
      <c r="R18" s="107">
        <f t="shared" si="3"/>
        <v>29.397655858877137</v>
      </c>
      <c r="S18" s="107" cm="1">
        <f t="array" ref="S18">_xlfn.IFS(E18="Heavy", 'vehicle E calcs'!$T$21,E18="Cars/vans",'vehicle E calcs'!$S$21)*O18</f>
        <v>24.362584419881831</v>
      </c>
      <c r="T18" s="109">
        <v>0.27</v>
      </c>
      <c r="U18" s="23">
        <f t="shared" si="4"/>
        <v>6.5778977933680949</v>
      </c>
      <c r="V18" s="23">
        <f t="shared" si="5"/>
        <v>4.4691566792837918</v>
      </c>
      <c r="W18" s="106">
        <f t="shared" si="17"/>
        <v>168</v>
      </c>
      <c r="X18" s="23">
        <f t="shared" si="6"/>
        <v>4.0929141825401478</v>
      </c>
      <c r="Y18" s="96">
        <f t="shared" si="18"/>
        <v>0</v>
      </c>
      <c r="Z18" s="23">
        <f t="shared" si="8"/>
        <v>0</v>
      </c>
      <c r="AA18" s="107">
        <f t="shared" si="9"/>
        <v>25.304741676336988</v>
      </c>
      <c r="AB18" s="23">
        <f t="shared" si="10"/>
        <v>3.8469344570615696</v>
      </c>
      <c r="AD18" s="107">
        <f t="shared" si="11"/>
        <v>4.2525726411774443</v>
      </c>
      <c r="AE18" s="23">
        <f t="shared" si="12"/>
        <v>0</v>
      </c>
      <c r="AF18" s="108">
        <f t="shared" si="13"/>
        <v>0.2165840381063478</v>
      </c>
      <c r="AH18" s="104">
        <f t="shared" si="15"/>
        <v>1.9585611418286806</v>
      </c>
      <c r="AJ18" s="104">
        <f t="shared" si="16"/>
        <v>110.93290307317648</v>
      </c>
      <c r="AK18" s="23">
        <f t="shared" si="14"/>
        <v>3.8469344570615696</v>
      </c>
    </row>
    <row r="19" spans="1:37" ht="14.5" customHeight="1" x14ac:dyDescent="0.35">
      <c r="A19" s="23">
        <v>9</v>
      </c>
      <c r="B19" s="118" t="s">
        <v>149</v>
      </c>
      <c r="C19" s="23" t="s">
        <v>139</v>
      </c>
      <c r="D19" s="23" t="s">
        <v>171</v>
      </c>
      <c r="E19" s="23" t="s">
        <v>188</v>
      </c>
      <c r="F19" s="23" t="s">
        <v>83</v>
      </c>
      <c r="G19" s="166">
        <f>'time-factors'!E$35*'time-factors'!B59</f>
        <v>0.78342445673147221</v>
      </c>
      <c r="H19" s="166">
        <f>'time-factors'!M59</f>
        <v>216</v>
      </c>
      <c r="I19" s="96" t="s">
        <v>98</v>
      </c>
      <c r="J19" s="96">
        <f>'time-factors'!R$43</f>
        <v>10</v>
      </c>
      <c r="K19" s="170">
        <f>'time-factors'!L$43</f>
        <v>0.05</v>
      </c>
      <c r="L19" s="173">
        <f t="shared" si="0"/>
        <v>27.97298819253864</v>
      </c>
      <c r="M19" s="170">
        <v>0</v>
      </c>
      <c r="N19" s="96">
        <f t="shared" si="1"/>
        <v>0</v>
      </c>
      <c r="O19" s="167" cm="1">
        <f t="array" ref="O19">IFERROR(_xlfn.IFS(E19="Heavy", 'vehicle E calcs'!$H$33,E19="Cars/vans",'vehicle E calcs'!$H$32),"")</f>
        <v>7.1233383316924828</v>
      </c>
      <c r="P19" s="106">
        <v>200</v>
      </c>
      <c r="Q19" s="108">
        <f t="shared" si="2"/>
        <v>1.4246676663384965</v>
      </c>
      <c r="R19" s="107">
        <f t="shared" si="3"/>
        <v>29.397655858877137</v>
      </c>
      <c r="S19" s="107" cm="1">
        <f t="array" ref="S19">_xlfn.IFS(E19="Heavy", 'vehicle E calcs'!$T$21,E19="Cars/vans",'vehicle E calcs'!$S$21)*O19</f>
        <v>24.362584419881831</v>
      </c>
      <c r="T19" s="109">
        <v>0.27</v>
      </c>
      <c r="U19" s="23">
        <f t="shared" si="4"/>
        <v>6.5778977933680949</v>
      </c>
      <c r="V19" s="23">
        <f t="shared" si="5"/>
        <v>4.4691566792837918</v>
      </c>
      <c r="W19" s="106">
        <f t="shared" si="17"/>
        <v>168</v>
      </c>
      <c r="X19" s="23">
        <f t="shared" si="6"/>
        <v>4.0929141825401478</v>
      </c>
      <c r="Y19" s="96">
        <f t="shared" si="18"/>
        <v>0</v>
      </c>
      <c r="Z19" s="23">
        <f t="shared" si="8"/>
        <v>0</v>
      </c>
      <c r="AA19" s="107">
        <f t="shared" si="9"/>
        <v>25.304741676336988</v>
      </c>
      <c r="AB19" s="23">
        <f t="shared" si="10"/>
        <v>3.8469344570615696</v>
      </c>
      <c r="AD19" s="107">
        <f t="shared" si="11"/>
        <v>4.2525726411774443</v>
      </c>
      <c r="AE19" s="23">
        <f t="shared" si="12"/>
        <v>0</v>
      </c>
      <c r="AF19" s="108">
        <f t="shared" si="13"/>
        <v>0.2165840381063478</v>
      </c>
      <c r="AH19" s="104">
        <f t="shared" si="15"/>
        <v>0.78342445673147221</v>
      </c>
      <c r="AJ19" s="104">
        <f t="shared" si="16"/>
        <v>111.71632752990794</v>
      </c>
      <c r="AK19" s="23">
        <f t="shared" si="14"/>
        <v>3.8469344570615696</v>
      </c>
    </row>
    <row r="20" spans="1:37" ht="14.5" customHeight="1" x14ac:dyDescent="0.35">
      <c r="A20" s="23">
        <v>15</v>
      </c>
      <c r="B20" s="118" t="s">
        <v>153</v>
      </c>
      <c r="C20" s="23" t="s">
        <v>139</v>
      </c>
      <c r="D20" s="23" t="s">
        <v>171</v>
      </c>
      <c r="E20" s="23" t="s">
        <v>188</v>
      </c>
      <c r="F20" s="23" t="s">
        <v>83</v>
      </c>
      <c r="G20" s="166">
        <f>'time-factors'!E$35*'time-factors'!B65</f>
        <v>1.2534791307703557</v>
      </c>
      <c r="H20" s="166">
        <f>'time-factors'!M65</f>
        <v>216</v>
      </c>
      <c r="I20" s="96" t="s">
        <v>98</v>
      </c>
      <c r="J20" s="96">
        <f>'time-factors'!R$43</f>
        <v>10</v>
      </c>
      <c r="K20" s="170">
        <f>'time-factors'!L$43</f>
        <v>0.05</v>
      </c>
      <c r="L20" s="173">
        <f t="shared" si="0"/>
        <v>27.97298819253864</v>
      </c>
      <c r="M20" s="170">
        <v>0</v>
      </c>
      <c r="N20" s="96">
        <f t="shared" si="1"/>
        <v>0</v>
      </c>
      <c r="O20" s="167" cm="1">
        <f t="array" ref="O20">IFERROR(_xlfn.IFS(E20="Heavy", 'vehicle E calcs'!$H$33,E20="Cars/vans",'vehicle E calcs'!$H$32),"")</f>
        <v>7.1233383316924828</v>
      </c>
      <c r="P20" s="106">
        <v>200</v>
      </c>
      <c r="Q20" s="108">
        <f t="shared" si="2"/>
        <v>1.4246676663384965</v>
      </c>
      <c r="R20" s="107">
        <f t="shared" si="3"/>
        <v>29.397655858877137</v>
      </c>
      <c r="S20" s="107" cm="1">
        <f t="array" ref="S20">_xlfn.IFS(E20="Heavy", 'vehicle E calcs'!$T$21,E20="Cars/vans",'vehicle E calcs'!$S$21)*O20</f>
        <v>24.362584419881831</v>
      </c>
      <c r="T20" s="109">
        <v>0.27</v>
      </c>
      <c r="U20" s="23">
        <f t="shared" si="4"/>
        <v>6.5778977933680949</v>
      </c>
      <c r="V20" s="23">
        <f t="shared" si="5"/>
        <v>4.4691566792837918</v>
      </c>
      <c r="W20" s="106">
        <f t="shared" si="17"/>
        <v>168</v>
      </c>
      <c r="X20" s="23">
        <f t="shared" si="6"/>
        <v>4.0929141825401478</v>
      </c>
      <c r="Y20" s="96">
        <f t="shared" si="18"/>
        <v>0</v>
      </c>
      <c r="Z20" s="23">
        <f t="shared" si="8"/>
        <v>0</v>
      </c>
      <c r="AA20" s="107">
        <f t="shared" si="9"/>
        <v>25.304741676336988</v>
      </c>
      <c r="AB20" s="23">
        <f t="shared" si="10"/>
        <v>3.8469344570615696</v>
      </c>
      <c r="AD20" s="107">
        <f t="shared" si="11"/>
        <v>4.2525726411774443</v>
      </c>
      <c r="AE20" s="23">
        <f t="shared" si="12"/>
        <v>0</v>
      </c>
      <c r="AF20" s="108">
        <f t="shared" si="13"/>
        <v>0.2165840381063478</v>
      </c>
      <c r="AH20" s="104">
        <f t="shared" si="15"/>
        <v>1.2534791307703557</v>
      </c>
      <c r="AJ20" s="104">
        <f t="shared" si="16"/>
        <v>112.9698066606783</v>
      </c>
      <c r="AK20" s="23">
        <f t="shared" si="14"/>
        <v>3.8469344570615696</v>
      </c>
    </row>
    <row r="21" spans="1:37" ht="14.5" customHeight="1" x14ac:dyDescent="0.35">
      <c r="A21" s="23">
        <v>3</v>
      </c>
      <c r="B21" s="118" t="s">
        <v>143</v>
      </c>
      <c r="C21" s="23" t="s">
        <v>139</v>
      </c>
      <c r="D21" s="23" t="s">
        <v>171</v>
      </c>
      <c r="E21" s="23" t="s">
        <v>188</v>
      </c>
      <c r="F21" s="23" t="s">
        <v>83</v>
      </c>
      <c r="G21" s="166">
        <f>'time-factors'!E$35*'time-factors'!B53</f>
        <v>1.723533804809239</v>
      </c>
      <c r="H21" s="166">
        <f>'time-factors'!M53</f>
        <v>228.435</v>
      </c>
      <c r="I21" s="96" t="s">
        <v>98</v>
      </c>
      <c r="J21" s="96">
        <f>'time-factors'!R$43</f>
        <v>10</v>
      </c>
      <c r="K21" s="170">
        <f>'time-factors'!L$43</f>
        <v>0.05</v>
      </c>
      <c r="L21" s="173">
        <f t="shared" si="0"/>
        <v>29.583377582234093</v>
      </c>
      <c r="M21" s="170">
        <v>0</v>
      </c>
      <c r="N21" s="96">
        <f t="shared" si="1"/>
        <v>0</v>
      </c>
      <c r="O21" s="167" cm="1">
        <f t="array" ref="O21">IFERROR(_xlfn.IFS(E21="Heavy", 'vehicle E calcs'!$H$33,E21="Cars/vans",'vehicle E calcs'!$H$32),"")</f>
        <v>7.1233383316924828</v>
      </c>
      <c r="P21" s="106">
        <v>200</v>
      </c>
      <c r="Q21" s="108">
        <f t="shared" si="2"/>
        <v>1.4246676663384965</v>
      </c>
      <c r="R21" s="107">
        <f t="shared" si="3"/>
        <v>31.008045248572589</v>
      </c>
      <c r="S21" s="107" cm="1">
        <f t="array" ref="S21">_xlfn.IFS(E21="Heavy", 'vehicle E calcs'!$T$21,E21="Cars/vans",'vehicle E calcs'!$S$21)*O21</f>
        <v>24.362584419881831</v>
      </c>
      <c r="T21" s="109">
        <v>0.27</v>
      </c>
      <c r="U21" s="23">
        <f t="shared" si="4"/>
        <v>6.5778977933680949</v>
      </c>
      <c r="V21" s="23">
        <f t="shared" si="5"/>
        <v>4.7139749236960204</v>
      </c>
      <c r="W21" s="106">
        <f t="shared" si="17"/>
        <v>168</v>
      </c>
      <c r="X21" s="23">
        <f t="shared" si="6"/>
        <v>4.0929141825401478</v>
      </c>
      <c r="Y21" s="96">
        <f t="shared" si="18"/>
        <v>0</v>
      </c>
      <c r="Z21" s="23">
        <f t="shared" si="8"/>
        <v>0</v>
      </c>
      <c r="AA21" s="107">
        <f t="shared" si="9"/>
        <v>26.915131066032441</v>
      </c>
      <c r="AB21" s="23">
        <f t="shared" si="10"/>
        <v>4.0917527014737987</v>
      </c>
      <c r="AD21" s="107">
        <f t="shared" si="11"/>
        <v>4.4973908855896729</v>
      </c>
      <c r="AE21" s="23">
        <f t="shared" si="12"/>
        <v>0</v>
      </c>
      <c r="AF21" s="108">
        <f t="shared" si="13"/>
        <v>0.2165840381063478</v>
      </c>
      <c r="AH21" s="104">
        <f t="shared" si="15"/>
        <v>1.723533804809239</v>
      </c>
      <c r="AJ21" s="104">
        <f t="shared" si="16"/>
        <v>114.69334046548754</v>
      </c>
      <c r="AK21" s="23">
        <f t="shared" si="14"/>
        <v>4.0917527014737987</v>
      </c>
    </row>
    <row r="22" spans="1:37" ht="14.5" customHeight="1" x14ac:dyDescent="0.35">
      <c r="A22" s="23">
        <v>17</v>
      </c>
      <c r="B22" s="118" t="s">
        <v>143</v>
      </c>
      <c r="C22" s="23" t="s">
        <v>156</v>
      </c>
      <c r="D22" s="23" t="s">
        <v>171</v>
      </c>
      <c r="E22" s="23" t="s">
        <v>188</v>
      </c>
      <c r="F22" s="23" t="s">
        <v>83</v>
      </c>
      <c r="G22" s="166">
        <f>'time-factors'!E$35*'time-factors'!B67</f>
        <v>1.5668489134629444</v>
      </c>
      <c r="H22" s="166">
        <f>'time-factors'!M67</f>
        <v>231</v>
      </c>
      <c r="I22" s="96" t="s">
        <v>98</v>
      </c>
      <c r="J22" s="96">
        <f>'time-factors'!R$44</f>
        <v>10</v>
      </c>
      <c r="K22" s="170">
        <f>'time-factors'!L$44</f>
        <v>0.05</v>
      </c>
      <c r="L22" s="173">
        <f t="shared" si="0"/>
        <v>29.915556817020491</v>
      </c>
      <c r="M22" s="170">
        <v>0</v>
      </c>
      <c r="N22" s="96">
        <f t="shared" si="1"/>
        <v>0</v>
      </c>
      <c r="O22" s="167" cm="1">
        <f t="array" ref="O22">IFERROR(_xlfn.IFS(E22="Heavy", 'vehicle E calcs'!$H$33,E22="Cars/vans",'vehicle E calcs'!$H$32),"")</f>
        <v>7.1233383316924828</v>
      </c>
      <c r="P22" s="106">
        <v>250</v>
      </c>
      <c r="Q22" s="108">
        <f t="shared" si="2"/>
        <v>1.7808345829231207</v>
      </c>
      <c r="R22" s="107">
        <f t="shared" si="3"/>
        <v>31.696391399943611</v>
      </c>
      <c r="S22" s="107" cm="1">
        <f t="array" ref="S22">_xlfn.IFS(E22="Heavy", 'vehicle E calcs'!$T$21,E22="Cars/vans",'vehicle E calcs'!$S$21)*O22</f>
        <v>24.362584419881831</v>
      </c>
      <c r="T22" s="109">
        <v>0.27</v>
      </c>
      <c r="U22" s="23">
        <f t="shared" si="4"/>
        <v>6.5778977933680949</v>
      </c>
      <c r="V22" s="23">
        <f t="shared" si="5"/>
        <v>4.8186202333365902</v>
      </c>
      <c r="W22" s="106">
        <f t="shared" si="17"/>
        <v>168</v>
      </c>
      <c r="X22" s="23">
        <f t="shared" si="6"/>
        <v>4.0929141825401478</v>
      </c>
      <c r="Y22" s="96">
        <f t="shared" si="18"/>
        <v>0</v>
      </c>
      <c r="Z22" s="23">
        <f t="shared" si="8"/>
        <v>0</v>
      </c>
      <c r="AA22" s="107">
        <f t="shared" si="9"/>
        <v>27.603477217403462</v>
      </c>
      <c r="AB22" s="23">
        <f t="shared" si="10"/>
        <v>4.1963980111143675</v>
      </c>
      <c r="AD22" s="107">
        <f t="shared" si="11"/>
        <v>4.5478901857036558</v>
      </c>
      <c r="AE22" s="23">
        <f t="shared" si="12"/>
        <v>0</v>
      </c>
      <c r="AF22" s="108">
        <f t="shared" si="13"/>
        <v>0.27073004763293473</v>
      </c>
      <c r="AH22" s="104">
        <f t="shared" si="15"/>
        <v>1.5668489134629444</v>
      </c>
      <c r="AJ22" s="104">
        <f t="shared" si="16"/>
        <v>116.26018937895049</v>
      </c>
      <c r="AK22" s="23">
        <f t="shared" si="14"/>
        <v>4.1963980111143675</v>
      </c>
    </row>
    <row r="23" spans="1:37" ht="14.5" customHeight="1" x14ac:dyDescent="0.35">
      <c r="A23" s="23">
        <v>18</v>
      </c>
      <c r="B23" s="119" t="s">
        <v>148</v>
      </c>
      <c r="C23" s="23" t="s">
        <v>156</v>
      </c>
      <c r="D23" s="23" t="s">
        <v>171</v>
      </c>
      <c r="E23" s="23" t="s">
        <v>188</v>
      </c>
      <c r="F23" s="23" t="s">
        <v>83</v>
      </c>
      <c r="G23" s="166">
        <f>'time-factors'!E$35*'time-factors'!B68</f>
        <v>1.5668489134629444</v>
      </c>
      <c r="H23" s="166">
        <f>'time-factors'!M68</f>
        <v>231</v>
      </c>
      <c r="I23" s="96" t="s">
        <v>98</v>
      </c>
      <c r="J23" s="96">
        <f>'time-factors'!R$44</f>
        <v>10</v>
      </c>
      <c r="K23" s="170">
        <f>'time-factors'!L$44</f>
        <v>0.05</v>
      </c>
      <c r="L23" s="173">
        <f t="shared" si="0"/>
        <v>29.915556817020491</v>
      </c>
      <c r="M23" s="170">
        <v>0</v>
      </c>
      <c r="N23" s="96">
        <f t="shared" si="1"/>
        <v>0</v>
      </c>
      <c r="O23" s="167" cm="1">
        <f t="array" ref="O23">IFERROR(_xlfn.IFS(E23="Heavy", 'vehicle E calcs'!$H$33,E23="Cars/vans",'vehicle E calcs'!$H$32),"")</f>
        <v>7.1233383316924828</v>
      </c>
      <c r="P23" s="106">
        <v>250</v>
      </c>
      <c r="Q23" s="108">
        <f t="shared" si="2"/>
        <v>1.7808345829231207</v>
      </c>
      <c r="R23" s="107">
        <f t="shared" si="3"/>
        <v>31.696391399943611</v>
      </c>
      <c r="S23" s="107" cm="1">
        <f t="array" ref="S23">_xlfn.IFS(E23="Heavy", 'vehicle E calcs'!$T$21,E23="Cars/vans",'vehicle E calcs'!$S$21)*O23</f>
        <v>24.362584419881831</v>
      </c>
      <c r="T23" s="109">
        <v>0.27</v>
      </c>
      <c r="U23" s="23">
        <f t="shared" si="4"/>
        <v>6.5778977933680949</v>
      </c>
      <c r="V23" s="23">
        <f t="shared" si="5"/>
        <v>4.8186202333365902</v>
      </c>
      <c r="W23" s="106">
        <f t="shared" si="17"/>
        <v>168</v>
      </c>
      <c r="X23" s="23">
        <f t="shared" si="6"/>
        <v>4.0929141825401478</v>
      </c>
      <c r="Y23" s="96">
        <f t="shared" si="18"/>
        <v>0</v>
      </c>
      <c r="Z23" s="23">
        <f t="shared" si="8"/>
        <v>0</v>
      </c>
      <c r="AA23" s="107">
        <f t="shared" si="9"/>
        <v>27.603477217403462</v>
      </c>
      <c r="AB23" s="23">
        <f t="shared" si="10"/>
        <v>4.1963980111143675</v>
      </c>
      <c r="AD23" s="107">
        <f t="shared" si="11"/>
        <v>4.5478901857036558</v>
      </c>
      <c r="AE23" s="23">
        <f t="shared" si="12"/>
        <v>0</v>
      </c>
      <c r="AF23" s="108">
        <f t="shared" si="13"/>
        <v>0.27073004763293473</v>
      </c>
      <c r="AH23" s="104">
        <f t="shared" si="15"/>
        <v>1.5668489134629444</v>
      </c>
      <c r="AJ23" s="104">
        <f t="shared" si="16"/>
        <v>117.82703829241343</v>
      </c>
      <c r="AK23" s="23">
        <f t="shared" si="14"/>
        <v>4.1963980111143675</v>
      </c>
    </row>
    <row r="24" spans="1:37" ht="14.5" customHeight="1" x14ac:dyDescent="0.35">
      <c r="A24" s="23">
        <v>2</v>
      </c>
      <c r="B24" s="118" t="s">
        <v>142</v>
      </c>
      <c r="C24" s="23" t="s">
        <v>139</v>
      </c>
      <c r="D24" s="23" t="s">
        <v>171</v>
      </c>
      <c r="E24" s="23" t="s">
        <v>128</v>
      </c>
      <c r="F24" s="23" t="s">
        <v>83</v>
      </c>
      <c r="G24" s="166">
        <f>'time-factors'!E$35*'time-factors'!B52</f>
        <v>2.3502733701944165</v>
      </c>
      <c r="H24" s="166">
        <f>'time-factors'!M52</f>
        <v>228.435</v>
      </c>
      <c r="I24" s="96" t="s">
        <v>98</v>
      </c>
      <c r="J24" s="96">
        <f>'time-factors'!R$43</f>
        <v>10</v>
      </c>
      <c r="K24" s="170">
        <f>'time-factors'!L$43</f>
        <v>0.05</v>
      </c>
      <c r="L24" s="173">
        <f t="shared" si="0"/>
        <v>29.583377582234093</v>
      </c>
      <c r="M24" s="170">
        <v>0</v>
      </c>
      <c r="N24" s="96">
        <f t="shared" si="1"/>
        <v>0</v>
      </c>
      <c r="O24" s="167" cm="1">
        <f t="array" ref="O24">IFERROR(_xlfn.IFS(E24="Heavy", 'vehicle E calcs'!$H$33,E24="Cars/vans",'vehicle E calcs'!$H$32),"")</f>
        <v>6.3768270755398833</v>
      </c>
      <c r="P24" s="106">
        <v>200</v>
      </c>
      <c r="Q24" s="108">
        <f t="shared" si="2"/>
        <v>1.2753654151079765</v>
      </c>
      <c r="R24" s="107">
        <f t="shared" si="3"/>
        <v>30.85874299734207</v>
      </c>
      <c r="S24" s="107" cm="1">
        <f t="array" ref="S24">_xlfn.IFS(E24="Heavy", 'vehicle E calcs'!$T$21,E24="Cars/vans",'vehicle E calcs'!$S$21)*O24</f>
        <v>23.354986057632608</v>
      </c>
      <c r="T24" s="109">
        <v>0.27</v>
      </c>
      <c r="U24" s="23">
        <f t="shared" si="4"/>
        <v>6.3058462355608045</v>
      </c>
      <c r="V24" s="23">
        <f t="shared" si="5"/>
        <v>4.8936719743210926</v>
      </c>
      <c r="W24" s="106">
        <f t="shared" si="17"/>
        <v>168</v>
      </c>
      <c r="X24" s="23">
        <f t="shared" si="6"/>
        <v>3.9236376576822782</v>
      </c>
      <c r="Y24" s="96">
        <f t="shared" si="18"/>
        <v>0</v>
      </c>
      <c r="Z24" s="23">
        <f t="shared" si="8"/>
        <v>0</v>
      </c>
      <c r="AA24" s="107">
        <f t="shared" si="9"/>
        <v>26.935105339659792</v>
      </c>
      <c r="AB24" s="23">
        <f t="shared" si="10"/>
        <v>4.2714497520988699</v>
      </c>
      <c r="AD24" s="107">
        <f t="shared" si="11"/>
        <v>4.6914207034423701</v>
      </c>
      <c r="AE24" s="23">
        <f t="shared" si="12"/>
        <v>0</v>
      </c>
      <c r="AF24" s="108">
        <f t="shared" si="13"/>
        <v>0.20225127087872183</v>
      </c>
      <c r="AH24" s="104">
        <f t="shared" si="15"/>
        <v>2.3502733701944165</v>
      </c>
      <c r="AJ24" s="104">
        <f t="shared" si="16"/>
        <v>120.17731166260785</v>
      </c>
      <c r="AK24" s="23">
        <f t="shared" si="14"/>
        <v>4.2714497520988699</v>
      </c>
    </row>
    <row r="25" spans="1:37" ht="14.5" customHeight="1" x14ac:dyDescent="0.35">
      <c r="A25" s="23">
        <v>5</v>
      </c>
      <c r="B25" s="118" t="s">
        <v>145</v>
      </c>
      <c r="C25" s="23" t="s">
        <v>139</v>
      </c>
      <c r="D25" s="23" t="s">
        <v>171</v>
      </c>
      <c r="E25" s="23" t="s">
        <v>188</v>
      </c>
      <c r="F25" s="23" t="s">
        <v>83</v>
      </c>
      <c r="G25" s="166">
        <f>'time-factors'!E$35*'time-factors'!B55</f>
        <v>1.6451913591360916</v>
      </c>
      <c r="H25" s="166">
        <f>'time-factors'!M55</f>
        <v>369</v>
      </c>
      <c r="I25" s="96" t="s">
        <v>98</v>
      </c>
      <c r="J25" s="96">
        <f>'time-factors'!R$43</f>
        <v>10</v>
      </c>
      <c r="K25" s="170">
        <f>'time-factors'!L$43</f>
        <v>0.05</v>
      </c>
      <c r="L25" s="173">
        <f t="shared" si="0"/>
        <v>47.787188162253507</v>
      </c>
      <c r="M25" s="170">
        <v>0</v>
      </c>
      <c r="N25" s="96">
        <f t="shared" si="1"/>
        <v>0</v>
      </c>
      <c r="O25" s="167" cm="1">
        <f t="array" ref="O25">IFERROR(_xlfn.IFS(E25="Heavy", 'vehicle E calcs'!$H$33,E25="Cars/vans",'vehicle E calcs'!$H$32),"")</f>
        <v>7.1233383316924828</v>
      </c>
      <c r="P25" s="106">
        <v>200</v>
      </c>
      <c r="Q25" s="108">
        <f t="shared" si="2"/>
        <v>1.4246676663384965</v>
      </c>
      <c r="R25" s="107">
        <f t="shared" si="3"/>
        <v>49.211855828592</v>
      </c>
      <c r="S25" s="107" cm="1">
        <f t="array" ref="S25">_xlfn.IFS(E25="Heavy", 'vehicle E calcs'!$T$21,E25="Cars/vans",'vehicle E calcs'!$S$21)*O25</f>
        <v>24.362584419881831</v>
      </c>
      <c r="T25" s="109">
        <v>0.27</v>
      </c>
      <c r="U25" s="23">
        <f t="shared" si="4"/>
        <v>6.5778977933680949</v>
      </c>
      <c r="V25" s="23">
        <f t="shared" si="5"/>
        <v>7.4813956334511467</v>
      </c>
      <c r="W25" s="106">
        <f t="shared" si="17"/>
        <v>168</v>
      </c>
      <c r="X25" s="23">
        <f t="shared" si="6"/>
        <v>4.0929141825401478</v>
      </c>
      <c r="Y25" s="96">
        <f t="shared" si="18"/>
        <v>0</v>
      </c>
      <c r="Z25" s="23">
        <f t="shared" si="8"/>
        <v>0</v>
      </c>
      <c r="AA25" s="107">
        <f t="shared" si="9"/>
        <v>45.118941646051852</v>
      </c>
      <c r="AB25" s="23">
        <f t="shared" si="10"/>
        <v>6.8591734112289249</v>
      </c>
      <c r="AD25" s="107">
        <f t="shared" si="11"/>
        <v>7.2648115953448</v>
      </c>
      <c r="AE25" s="23">
        <f t="shared" si="12"/>
        <v>0</v>
      </c>
      <c r="AF25" s="108">
        <f t="shared" si="13"/>
        <v>0.2165840381063478</v>
      </c>
      <c r="AH25" s="104">
        <f t="shared" si="15"/>
        <v>1.6451913591360916</v>
      </c>
      <c r="AJ25" s="104">
        <f t="shared" si="16"/>
        <v>121.82250302174394</v>
      </c>
      <c r="AK25" s="23">
        <f t="shared" si="14"/>
        <v>6.8591734112289249</v>
      </c>
    </row>
    <row r="26" spans="1:37" ht="14.5" customHeight="1" x14ac:dyDescent="0.35">
      <c r="A26" s="23">
        <v>8</v>
      </c>
      <c r="B26" s="119" t="s">
        <v>148</v>
      </c>
      <c r="C26" s="23" t="s">
        <v>139</v>
      </c>
      <c r="D26" s="23" t="s">
        <v>171</v>
      </c>
      <c r="E26" s="23" t="s">
        <v>188</v>
      </c>
      <c r="F26" s="23" t="s">
        <v>83</v>
      </c>
      <c r="G26" s="166">
        <f>'time-factors'!E$35*'time-factors'!B58</f>
        <v>1.1751366850972083</v>
      </c>
      <c r="H26" s="166">
        <f>'time-factors'!M58</f>
        <v>369</v>
      </c>
      <c r="I26" s="96" t="s">
        <v>98</v>
      </c>
      <c r="J26" s="96">
        <f>'time-factors'!R$43</f>
        <v>10</v>
      </c>
      <c r="K26" s="170">
        <f>'time-factors'!L$43</f>
        <v>0.05</v>
      </c>
      <c r="L26" s="173">
        <f t="shared" si="0"/>
        <v>47.787188162253507</v>
      </c>
      <c r="M26" s="170">
        <v>0</v>
      </c>
      <c r="N26" s="96">
        <f t="shared" si="1"/>
        <v>0</v>
      </c>
      <c r="O26" s="167" cm="1">
        <f t="array" ref="O26">IFERROR(_xlfn.IFS(E26="Heavy", 'vehicle E calcs'!$H$33,E26="Cars/vans",'vehicle E calcs'!$H$32),"")</f>
        <v>7.1233383316924828</v>
      </c>
      <c r="P26" s="106">
        <v>200</v>
      </c>
      <c r="Q26" s="108">
        <f t="shared" si="2"/>
        <v>1.4246676663384965</v>
      </c>
      <c r="R26" s="107">
        <f t="shared" si="3"/>
        <v>49.211855828592</v>
      </c>
      <c r="S26" s="107" cm="1">
        <f t="array" ref="S26">_xlfn.IFS(E26="Heavy", 'vehicle E calcs'!$T$21,E26="Cars/vans",'vehicle E calcs'!$S$21)*O26</f>
        <v>24.362584419881831</v>
      </c>
      <c r="T26" s="109">
        <v>0.27</v>
      </c>
      <c r="U26" s="23">
        <f t="shared" si="4"/>
        <v>6.5778977933680949</v>
      </c>
      <c r="V26" s="23">
        <f t="shared" si="5"/>
        <v>7.4813956334511467</v>
      </c>
      <c r="W26" s="106">
        <f t="shared" si="17"/>
        <v>168</v>
      </c>
      <c r="X26" s="23">
        <f t="shared" si="6"/>
        <v>4.0929141825401478</v>
      </c>
      <c r="Y26" s="96">
        <f t="shared" si="18"/>
        <v>0</v>
      </c>
      <c r="Z26" s="23">
        <f t="shared" si="8"/>
        <v>0</v>
      </c>
      <c r="AA26" s="107">
        <f t="shared" si="9"/>
        <v>45.118941646051852</v>
      </c>
      <c r="AB26" s="23">
        <f t="shared" si="10"/>
        <v>6.8591734112289249</v>
      </c>
      <c r="AD26" s="107">
        <f t="shared" si="11"/>
        <v>7.2648115953448</v>
      </c>
      <c r="AE26" s="23">
        <f t="shared" si="12"/>
        <v>0</v>
      </c>
      <c r="AF26" s="108">
        <f t="shared" si="13"/>
        <v>0.2165840381063478</v>
      </c>
      <c r="AH26" s="104">
        <f t="shared" si="15"/>
        <v>1.1751366850972083</v>
      </c>
      <c r="AJ26" s="104">
        <f t="shared" si="16"/>
        <v>122.99763970684116</v>
      </c>
      <c r="AK26" s="23">
        <f t="shared" si="14"/>
        <v>6.8591734112289249</v>
      </c>
    </row>
    <row r="27" spans="1:37" ht="14.5" customHeight="1" x14ac:dyDescent="0.35">
      <c r="A27" s="23">
        <v>10</v>
      </c>
      <c r="B27" s="118" t="s">
        <v>58</v>
      </c>
      <c r="C27" s="23" t="s">
        <v>139</v>
      </c>
      <c r="D27" s="23" t="s">
        <v>171</v>
      </c>
      <c r="E27" s="23" t="s">
        <v>188</v>
      </c>
      <c r="F27" s="23" t="s">
        <v>83</v>
      </c>
      <c r="G27" s="166">
        <f>'time-factors'!E$35*'time-factors'!B60</f>
        <v>1.5668489134629444</v>
      </c>
      <c r="H27" s="166">
        <f>'time-factors'!M60</f>
        <v>582</v>
      </c>
      <c r="I27" s="96" t="s">
        <v>98</v>
      </c>
      <c r="J27" s="96">
        <f>'time-factors'!R$43</f>
        <v>10</v>
      </c>
      <c r="K27" s="170">
        <f>'time-factors'!L$43</f>
        <v>0.05</v>
      </c>
      <c r="L27" s="173">
        <f t="shared" si="0"/>
        <v>75.371662629895781</v>
      </c>
      <c r="M27" s="170">
        <v>0</v>
      </c>
      <c r="N27" s="96">
        <f t="shared" si="1"/>
        <v>0</v>
      </c>
      <c r="O27" s="167" cm="1">
        <f t="array" ref="O27">IFERROR(_xlfn.IFS(E27="Heavy", 'vehicle E calcs'!$H$33,E27="Cars/vans",'vehicle E calcs'!$H$32),"")</f>
        <v>7.1233383316924828</v>
      </c>
      <c r="P27" s="106">
        <v>200</v>
      </c>
      <c r="Q27" s="108">
        <f t="shared" si="2"/>
        <v>1.4246676663384965</v>
      </c>
      <c r="R27" s="107">
        <f t="shared" si="3"/>
        <v>76.796330296234274</v>
      </c>
      <c r="S27" s="107" cm="1">
        <f t="array" ref="S27">_xlfn.IFS(E27="Heavy", 'vehicle E calcs'!$T$21,E27="Cars/vans",'vehicle E calcs'!$S$21)*O27</f>
        <v>24.362584419881831</v>
      </c>
      <c r="T27" s="109">
        <v>0.27</v>
      </c>
      <c r="U27" s="23">
        <f t="shared" si="4"/>
        <v>6.5778977933680949</v>
      </c>
      <c r="V27" s="23">
        <f t="shared" si="5"/>
        <v>11.674904765723349</v>
      </c>
      <c r="W27" s="106">
        <f t="shared" si="17"/>
        <v>168</v>
      </c>
      <c r="X27" s="23">
        <f t="shared" si="6"/>
        <v>4.0929141825401478</v>
      </c>
      <c r="Y27" s="96">
        <f t="shared" si="18"/>
        <v>0</v>
      </c>
      <c r="Z27" s="23">
        <f t="shared" si="8"/>
        <v>0</v>
      </c>
      <c r="AA27" s="107">
        <f t="shared" si="9"/>
        <v>72.703416113694132</v>
      </c>
      <c r="AB27" s="23">
        <f t="shared" si="10"/>
        <v>11.052682543501128</v>
      </c>
      <c r="AD27" s="107">
        <f t="shared" si="11"/>
        <v>11.458320727617002</v>
      </c>
      <c r="AE27" s="23">
        <f t="shared" si="12"/>
        <v>0</v>
      </c>
      <c r="AF27" s="108">
        <f t="shared" si="13"/>
        <v>0.2165840381063478</v>
      </c>
      <c r="AH27" s="104">
        <f t="shared" si="15"/>
        <v>1.5668489134629444</v>
      </c>
      <c r="AJ27" s="104">
        <f t="shared" si="16"/>
        <v>124.5644886203041</v>
      </c>
      <c r="AK27" s="23">
        <f t="shared" si="14"/>
        <v>11.052682543501128</v>
      </c>
    </row>
    <row r="28" spans="1:37" ht="14.5" customHeight="1" x14ac:dyDescent="0.35">
      <c r="A28" s="23">
        <v>14</v>
      </c>
      <c r="B28" s="118" t="s">
        <v>152</v>
      </c>
      <c r="C28" s="23" t="s">
        <v>139</v>
      </c>
      <c r="D28" s="23" t="s">
        <v>171</v>
      </c>
      <c r="E28" s="23" t="s">
        <v>188</v>
      </c>
      <c r="F28" s="23" t="s">
        <v>83</v>
      </c>
      <c r="G28" s="166">
        <f>'time-factors'!E$35*'time-factors'!B64</f>
        <v>1.0184517937509139</v>
      </c>
      <c r="H28" s="166">
        <f>'time-factors'!M64</f>
        <v>582</v>
      </c>
      <c r="I28" s="96" t="s">
        <v>98</v>
      </c>
      <c r="J28" s="96">
        <f>'time-factors'!R$43</f>
        <v>10</v>
      </c>
      <c r="K28" s="170">
        <f>'time-factors'!L$43</f>
        <v>0.05</v>
      </c>
      <c r="L28" s="173">
        <f t="shared" si="0"/>
        <v>75.371662629895781</v>
      </c>
      <c r="M28" s="170">
        <v>0</v>
      </c>
      <c r="N28" s="96">
        <f t="shared" si="1"/>
        <v>0</v>
      </c>
      <c r="O28" s="167" cm="1">
        <f t="array" ref="O28">IFERROR(_xlfn.IFS(E28="Heavy", 'vehicle E calcs'!$H$33,E28="Cars/vans",'vehicle E calcs'!$H$32),"")</f>
        <v>7.1233383316924828</v>
      </c>
      <c r="P28" s="106">
        <v>200</v>
      </c>
      <c r="Q28" s="108">
        <f t="shared" si="2"/>
        <v>1.4246676663384965</v>
      </c>
      <c r="R28" s="107">
        <f t="shared" si="3"/>
        <v>76.796330296234274</v>
      </c>
      <c r="S28" s="107" cm="1">
        <f t="array" ref="S28">_xlfn.IFS(E28="Heavy", 'vehicle E calcs'!$T$21,E28="Cars/vans",'vehicle E calcs'!$S$21)*O28</f>
        <v>24.362584419881831</v>
      </c>
      <c r="T28" s="109">
        <v>0.27</v>
      </c>
      <c r="U28" s="23">
        <f t="shared" si="4"/>
        <v>6.5778977933680949</v>
      </c>
      <c r="V28" s="23">
        <f t="shared" si="5"/>
        <v>11.674904765723349</v>
      </c>
      <c r="W28" s="106">
        <f t="shared" si="17"/>
        <v>168</v>
      </c>
      <c r="X28" s="23">
        <f t="shared" si="6"/>
        <v>4.0929141825401478</v>
      </c>
      <c r="Y28" s="96">
        <f t="shared" si="18"/>
        <v>0</v>
      </c>
      <c r="Z28" s="23">
        <f t="shared" si="8"/>
        <v>0</v>
      </c>
      <c r="AA28" s="107">
        <f t="shared" si="9"/>
        <v>72.703416113694132</v>
      </c>
      <c r="AB28" s="23">
        <f t="shared" si="10"/>
        <v>11.052682543501128</v>
      </c>
      <c r="AD28" s="107">
        <f t="shared" si="11"/>
        <v>11.458320727617002</v>
      </c>
      <c r="AE28" s="23">
        <f t="shared" si="12"/>
        <v>0</v>
      </c>
      <c r="AF28" s="108">
        <f t="shared" si="13"/>
        <v>0.2165840381063478</v>
      </c>
      <c r="AH28" s="104">
        <f t="shared" si="15"/>
        <v>1.0184517937509139</v>
      </c>
      <c r="AJ28" s="104">
        <f t="shared" si="16"/>
        <v>125.58294041405502</v>
      </c>
      <c r="AK28" s="23">
        <f t="shared" si="14"/>
        <v>11.052682543501128</v>
      </c>
    </row>
    <row r="29" spans="1:37" x14ac:dyDescent="0.35">
      <c r="B29" s="122"/>
      <c r="C29" s="24"/>
      <c r="D29" s="24"/>
      <c r="E29" s="24"/>
      <c r="F29" s="131" t="s">
        <v>50</v>
      </c>
      <c r="G29" s="179">
        <f>SUM(G4:G28)</f>
        <v>125.58294041405502</v>
      </c>
      <c r="H29" s="96"/>
      <c r="I29" s="96"/>
      <c r="J29" s="96"/>
      <c r="K29" s="96"/>
      <c r="L29" s="96"/>
      <c r="M29" s="96"/>
      <c r="N29" s="96"/>
      <c r="O29" s="96"/>
    </row>
    <row r="30" spans="1:37" x14ac:dyDescent="0.35">
      <c r="B30" s="122"/>
      <c r="C30" s="24"/>
      <c r="D30" s="24"/>
      <c r="E30" s="24"/>
      <c r="F30" s="24"/>
      <c r="G30" s="96"/>
      <c r="H30" s="96"/>
      <c r="I30" s="96"/>
      <c r="J30" s="96"/>
      <c r="K30" s="96"/>
      <c r="L30" s="96"/>
      <c r="M30" s="96"/>
      <c r="N30" s="96"/>
      <c r="O30" s="96"/>
    </row>
    <row r="31" spans="1:37" x14ac:dyDescent="0.35">
      <c r="B31" s="123"/>
      <c r="C31" s="125"/>
      <c r="F31" s="24"/>
      <c r="G31" s="96"/>
      <c r="H31" s="96"/>
      <c r="I31" s="96"/>
      <c r="J31" s="96"/>
      <c r="K31" s="96"/>
      <c r="L31" s="96"/>
      <c r="M31" s="96"/>
      <c r="N31" s="96"/>
      <c r="O31" s="96"/>
    </row>
    <row r="32" spans="1:37" x14ac:dyDescent="0.35">
      <c r="B32" s="123"/>
      <c r="C32" s="125"/>
      <c r="G32" s="96"/>
      <c r="H32" s="96"/>
      <c r="I32" s="96"/>
      <c r="J32" s="96"/>
      <c r="K32" s="96"/>
      <c r="L32" s="96"/>
      <c r="M32" s="96"/>
      <c r="N32" s="96"/>
      <c r="O32" s="96"/>
    </row>
    <row r="33" spans="1:39" x14ac:dyDescent="0.35">
      <c r="B33" s="96"/>
      <c r="C33" s="96"/>
      <c r="G33" s="96"/>
      <c r="H33" s="96"/>
      <c r="I33" s="96"/>
      <c r="J33" s="96"/>
      <c r="K33" s="96"/>
      <c r="L33" s="96"/>
      <c r="M33" s="96"/>
      <c r="N33" s="96"/>
      <c r="O33" s="96"/>
    </row>
    <row r="34" spans="1:39" x14ac:dyDescent="0.35">
      <c r="B34" s="96"/>
      <c r="C34" s="96"/>
      <c r="G34" s="96"/>
      <c r="H34" s="96"/>
      <c r="I34" s="96"/>
      <c r="J34" s="96"/>
      <c r="K34" s="96"/>
      <c r="L34" s="96"/>
      <c r="M34" s="96"/>
      <c r="N34" s="96"/>
      <c r="O34" s="96"/>
    </row>
    <row r="35" spans="1:39" x14ac:dyDescent="0.35">
      <c r="G35" s="96"/>
      <c r="H35" s="96"/>
      <c r="I35" s="96"/>
      <c r="J35" s="96"/>
      <c r="K35" s="96"/>
      <c r="L35" s="96"/>
      <c r="M35" s="96"/>
      <c r="N35" s="96"/>
      <c r="O35" s="96"/>
    </row>
    <row r="36" spans="1:39" x14ac:dyDescent="0.35">
      <c r="G36" s="96"/>
      <c r="H36" s="96"/>
      <c r="I36" s="96"/>
      <c r="J36" s="96"/>
      <c r="K36" s="96"/>
      <c r="L36" s="96"/>
      <c r="M36" s="96"/>
      <c r="N36" s="96"/>
      <c r="O36" s="96"/>
    </row>
    <row r="37" spans="1:39" x14ac:dyDescent="0.35">
      <c r="G37" s="96"/>
      <c r="H37" s="96"/>
      <c r="I37" s="96"/>
      <c r="J37" s="96"/>
      <c r="K37" s="96"/>
      <c r="L37" s="96"/>
      <c r="M37" s="96"/>
      <c r="N37" s="96"/>
      <c r="O37" s="96"/>
    </row>
    <row r="38" spans="1:39" x14ac:dyDescent="0.35">
      <c r="G38" s="96"/>
      <c r="H38" s="96"/>
      <c r="I38" s="96"/>
      <c r="J38" s="96"/>
      <c r="K38" s="96"/>
      <c r="L38" s="96"/>
      <c r="M38" s="96"/>
      <c r="N38" s="96"/>
      <c r="O38" s="96"/>
    </row>
    <row r="39" spans="1:39" x14ac:dyDescent="0.35">
      <c r="G39" s="96"/>
      <c r="H39" s="96"/>
      <c r="I39" s="96"/>
      <c r="J39" s="96"/>
      <c r="K39" s="96"/>
      <c r="L39" s="96"/>
      <c r="M39" s="96"/>
      <c r="N39" s="96"/>
      <c r="O39" s="96"/>
    </row>
    <row r="40" spans="1:39" x14ac:dyDescent="0.35">
      <c r="G40" s="96"/>
      <c r="H40" s="96"/>
      <c r="I40" s="96"/>
      <c r="J40" s="96"/>
      <c r="K40" s="96"/>
      <c r="L40" s="96"/>
      <c r="M40" s="96"/>
      <c r="N40" s="96"/>
      <c r="O40" s="96"/>
    </row>
    <row r="41" spans="1:39" x14ac:dyDescent="0.35">
      <c r="G41" s="96"/>
      <c r="H41" s="96"/>
      <c r="I41" s="96"/>
      <c r="J41" s="96"/>
      <c r="K41" s="96"/>
      <c r="L41" s="96"/>
      <c r="M41" s="96"/>
      <c r="N41" s="96"/>
      <c r="O41" s="96"/>
    </row>
    <row r="42" spans="1:39" x14ac:dyDescent="0.35">
      <c r="G42" s="96"/>
      <c r="H42" s="96"/>
      <c r="I42" s="96"/>
      <c r="J42" s="96"/>
      <c r="K42" s="96"/>
      <c r="L42" s="96"/>
      <c r="M42" s="96"/>
      <c r="N42" s="96"/>
      <c r="O42" s="96"/>
    </row>
    <row r="43" spans="1:39" x14ac:dyDescent="0.35">
      <c r="G43" s="96"/>
      <c r="H43" s="96"/>
      <c r="I43" s="96"/>
      <c r="J43" s="96"/>
      <c r="K43" s="96"/>
      <c r="L43" s="96"/>
      <c r="M43" s="96"/>
      <c r="N43" s="96"/>
      <c r="O43" s="96"/>
    </row>
    <row r="44" spans="1:39" x14ac:dyDescent="0.35">
      <c r="G44" s="96"/>
      <c r="H44" s="96"/>
      <c r="I44" s="96"/>
      <c r="J44" s="96"/>
      <c r="K44" s="96"/>
      <c r="L44" s="96"/>
      <c r="M44" s="96"/>
      <c r="N44" s="96"/>
      <c r="O44" s="96"/>
    </row>
    <row r="45" spans="1:39" s="132" customFormat="1" x14ac:dyDescent="0.35">
      <c r="G45" s="96"/>
      <c r="H45" s="96"/>
      <c r="I45" s="96"/>
      <c r="J45" s="96"/>
      <c r="K45" s="96"/>
      <c r="L45" s="96"/>
      <c r="M45" s="96"/>
      <c r="N45" s="96"/>
      <c r="O45" s="96"/>
      <c r="AL45" s="135"/>
      <c r="AM45" s="96"/>
    </row>
    <row r="46" spans="1:39" ht="21" x14ac:dyDescent="0.5">
      <c r="A46" s="96"/>
      <c r="B46" s="134" t="s">
        <v>254</v>
      </c>
      <c r="C46" s="136">
        <f>C1</f>
        <v>2035</v>
      </c>
      <c r="G46" s="96"/>
      <c r="H46" s="96"/>
      <c r="I46" s="96"/>
      <c r="J46" s="96"/>
      <c r="K46" s="96"/>
      <c r="L46" s="96"/>
      <c r="M46" s="96"/>
      <c r="N46" s="96"/>
      <c r="O46" s="96"/>
      <c r="W46" s="23" t="s">
        <v>202</v>
      </c>
      <c r="AB46" s="95"/>
    </row>
    <row r="47" spans="1:39" x14ac:dyDescent="0.35">
      <c r="A47" s="96"/>
      <c r="G47" s="96"/>
      <c r="H47" s="96"/>
      <c r="I47" s="96"/>
      <c r="J47" s="96"/>
      <c r="K47" s="96"/>
      <c r="L47" s="96"/>
      <c r="M47" s="96"/>
      <c r="N47" s="96"/>
      <c r="O47" s="96"/>
      <c r="T47" s="99" t="s">
        <v>138</v>
      </c>
      <c r="W47" s="99">
        <v>1.7</v>
      </c>
      <c r="X47" s="23" t="s">
        <v>174</v>
      </c>
      <c r="Z47" s="100">
        <v>0</v>
      </c>
      <c r="AA47" s="23" t="s">
        <v>175</v>
      </c>
      <c r="AC47" s="101">
        <v>0</v>
      </c>
    </row>
    <row r="48" spans="1:39" ht="72.5" x14ac:dyDescent="0.35">
      <c r="A48" s="96"/>
      <c r="B48" s="102" t="s">
        <v>173</v>
      </c>
      <c r="C48" s="103" t="s">
        <v>95</v>
      </c>
      <c r="D48" s="103" t="s">
        <v>172</v>
      </c>
      <c r="E48" s="103" t="s">
        <v>231</v>
      </c>
      <c r="F48" s="103" t="s">
        <v>96</v>
      </c>
      <c r="G48" s="176" t="s">
        <v>205</v>
      </c>
      <c r="H48" s="176" t="s">
        <v>99</v>
      </c>
      <c r="I48" s="176" t="s">
        <v>97</v>
      </c>
      <c r="J48" s="176" t="s">
        <v>100</v>
      </c>
      <c r="K48" s="176" t="s">
        <v>101</v>
      </c>
      <c r="L48" s="176" t="s">
        <v>102</v>
      </c>
      <c r="M48" s="176" t="s">
        <v>129</v>
      </c>
      <c r="N48" s="176" t="s">
        <v>130</v>
      </c>
      <c r="O48" s="176" t="s">
        <v>132</v>
      </c>
      <c r="P48" s="103" t="s">
        <v>133</v>
      </c>
      <c r="Q48" s="103" t="s">
        <v>131</v>
      </c>
      <c r="R48" s="117" t="s">
        <v>136</v>
      </c>
      <c r="S48" s="103" t="s">
        <v>135</v>
      </c>
      <c r="T48" s="103" t="s">
        <v>134</v>
      </c>
      <c r="U48" s="103" t="s">
        <v>103</v>
      </c>
      <c r="V48" s="117" t="s">
        <v>108</v>
      </c>
      <c r="W48" s="103" t="s">
        <v>199</v>
      </c>
      <c r="X48" s="103" t="s">
        <v>104</v>
      </c>
      <c r="Y48" s="103" t="s">
        <v>105</v>
      </c>
      <c r="Z48" s="103" t="s">
        <v>106</v>
      </c>
      <c r="AA48" s="103" t="s">
        <v>137</v>
      </c>
      <c r="AB48" s="117" t="s">
        <v>107</v>
      </c>
      <c r="AD48" s="103" t="s">
        <v>167</v>
      </c>
      <c r="AE48" s="103" t="s">
        <v>168</v>
      </c>
      <c r="AF48" s="103" t="s">
        <v>169</v>
      </c>
      <c r="AJ48" s="103" t="s">
        <v>177</v>
      </c>
      <c r="AK48" s="103" t="s">
        <v>176</v>
      </c>
    </row>
    <row r="49" spans="1:37" x14ac:dyDescent="0.35">
      <c r="A49" s="96">
        <v>20</v>
      </c>
      <c r="B49" s="120" t="s">
        <v>162</v>
      </c>
      <c r="C49" s="111" t="s">
        <v>157</v>
      </c>
      <c r="D49" s="111" t="s">
        <v>170</v>
      </c>
      <c r="E49" s="111"/>
      <c r="F49" s="111" t="s">
        <v>158</v>
      </c>
      <c r="G49" s="167">
        <f>'time-factors'!E$36*'time-factors'!B70</f>
        <v>2.6729079139746772</v>
      </c>
      <c r="H49" s="166">
        <f>'time-factors'!M70</f>
        <v>0.11249999999999999</v>
      </c>
      <c r="I49" s="168" t="s">
        <v>166</v>
      </c>
      <c r="J49" s="96">
        <f>'time-factors'!R$46</f>
        <v>20</v>
      </c>
      <c r="K49" s="170">
        <f>'time-factors'!L$46</f>
        <v>0.05</v>
      </c>
      <c r="L49" s="172">
        <f t="shared" ref="L49:L73" si="19">PMT(K49,J49,-H49)</f>
        <v>9.0272910589527713E-3</v>
      </c>
      <c r="M49" s="171">
        <v>0.02</v>
      </c>
      <c r="N49" s="168">
        <f t="shared" ref="N49:N73" si="20">M49*H49</f>
        <v>2.2499999999999998E-3</v>
      </c>
      <c r="O49" s="168">
        <v>1.5</v>
      </c>
      <c r="P49" s="111">
        <v>200</v>
      </c>
      <c r="Q49" s="115">
        <f t="shared" ref="Q49:Q73" si="21">P49*O49*0.001</f>
        <v>0.3</v>
      </c>
      <c r="R49" s="114">
        <f t="shared" ref="R49:R73" si="22">L49+N49+Q49</f>
        <v>0.31127729105895274</v>
      </c>
      <c r="S49" s="114">
        <f>2*O49</f>
        <v>3</v>
      </c>
      <c r="T49" s="114">
        <v>0.1</v>
      </c>
      <c r="U49" s="111">
        <f t="shared" ref="U49:U73" si="23">T49*S49</f>
        <v>0.30000000000000004</v>
      </c>
      <c r="V49" s="111">
        <f t="shared" ref="V49:V73" si="24">R49/U49</f>
        <v>1.0375909701965089</v>
      </c>
      <c r="W49" s="111">
        <v>200</v>
      </c>
      <c r="X49" s="111">
        <f t="shared" ref="X49:X73" si="25">W49*S49*0.001</f>
        <v>0.6</v>
      </c>
      <c r="Y49" s="111">
        <f t="shared" ref="Y49:Y55" si="26">$AC$2</f>
        <v>0</v>
      </c>
      <c r="Z49" s="111">
        <f t="shared" ref="Z49:Z73" si="27">Y49*U49</f>
        <v>0</v>
      </c>
      <c r="AA49" s="114">
        <f t="shared" ref="AA49:AA73" si="28">R49-X49-Z49</f>
        <v>-0.28872270894104723</v>
      </c>
      <c r="AB49" s="111">
        <f t="shared" ref="AB49:AB73" si="29">AA49/U49</f>
        <v>-0.96240902980349063</v>
      </c>
      <c r="AC49" s="111"/>
      <c r="AD49" s="107">
        <f t="shared" ref="AD49:AD73" si="30">L49/U49</f>
        <v>3.0090970196509234E-2</v>
      </c>
      <c r="AE49" s="23">
        <f t="shared" ref="AE49:AE73" si="31">N49/U49</f>
        <v>7.499999999999998E-3</v>
      </c>
      <c r="AF49" s="108">
        <f t="shared" ref="AF49:AF73" si="32">Q49/U49</f>
        <v>0.99999999999999978</v>
      </c>
      <c r="AH49" s="104">
        <f>G49</f>
        <v>2.6729079139746772</v>
      </c>
      <c r="AJ49" s="104">
        <f>AH49</f>
        <v>2.6729079139746772</v>
      </c>
      <c r="AK49" s="23">
        <f t="shared" ref="AK49:AK73" si="33">AB49</f>
        <v>-0.96240902980349063</v>
      </c>
    </row>
    <row r="50" spans="1:37" x14ac:dyDescent="0.35">
      <c r="A50" s="96">
        <v>21</v>
      </c>
      <c r="B50" s="120" t="s">
        <v>160</v>
      </c>
      <c r="C50" s="48" t="s">
        <v>163</v>
      </c>
      <c r="D50" s="111" t="s">
        <v>170</v>
      </c>
      <c r="E50" s="111"/>
      <c r="F50" s="48" t="s">
        <v>158</v>
      </c>
      <c r="G50" s="167">
        <f>'time-factors'!E$36*'time-factors'!B71</f>
        <v>4.9003311756202415</v>
      </c>
      <c r="H50" s="166">
        <f>'time-factors'!M71</f>
        <v>0.1875</v>
      </c>
      <c r="I50" s="168" t="s">
        <v>166</v>
      </c>
      <c r="J50" s="96">
        <f>'time-factors'!R$46</f>
        <v>20</v>
      </c>
      <c r="K50" s="170">
        <f>'time-factors'!L$46</f>
        <v>0.05</v>
      </c>
      <c r="L50" s="172">
        <f t="shared" si="19"/>
        <v>1.5045485098254622E-2</v>
      </c>
      <c r="M50" s="171">
        <v>0.02</v>
      </c>
      <c r="N50" s="168">
        <f t="shared" si="20"/>
        <v>3.7499999999999999E-3</v>
      </c>
      <c r="O50" s="168">
        <v>4.4000000000000004</v>
      </c>
      <c r="P50" s="111">
        <v>200</v>
      </c>
      <c r="Q50" s="115">
        <f t="shared" si="21"/>
        <v>0.88000000000000012</v>
      </c>
      <c r="R50" s="114">
        <f t="shared" si="22"/>
        <v>0.89879548509825469</v>
      </c>
      <c r="S50" s="114">
        <f>1.2*O50</f>
        <v>5.28</v>
      </c>
      <c r="T50" s="114">
        <v>0.1</v>
      </c>
      <c r="U50" s="111">
        <f t="shared" si="23"/>
        <v>0.52800000000000002</v>
      </c>
      <c r="V50" s="111">
        <f t="shared" si="24"/>
        <v>1.702264176322452</v>
      </c>
      <c r="W50" s="111">
        <v>200</v>
      </c>
      <c r="X50" s="111">
        <f t="shared" si="25"/>
        <v>1.056</v>
      </c>
      <c r="Y50" s="111">
        <f t="shared" si="26"/>
        <v>0</v>
      </c>
      <c r="Z50" s="111">
        <f t="shared" si="27"/>
        <v>0</v>
      </c>
      <c r="AA50" s="114">
        <f t="shared" si="28"/>
        <v>-0.15720451490174536</v>
      </c>
      <c r="AB50" s="111">
        <f t="shared" si="29"/>
        <v>-0.29773582367754803</v>
      </c>
      <c r="AC50" s="111"/>
      <c r="AD50" s="107">
        <f t="shared" si="30"/>
        <v>2.8495236928512541E-2</v>
      </c>
      <c r="AE50" s="23">
        <f t="shared" si="31"/>
        <v>7.102272727272727E-3</v>
      </c>
      <c r="AF50" s="108">
        <f t="shared" si="32"/>
        <v>1.6666666666666667</v>
      </c>
      <c r="AH50" s="104">
        <f t="shared" ref="AH50:AH73" si="34">G50</f>
        <v>4.9003311756202415</v>
      </c>
      <c r="AJ50" s="104">
        <f>AJ49+AH50</f>
        <v>7.5732390895949191</v>
      </c>
      <c r="AK50" s="23">
        <f t="shared" si="33"/>
        <v>-0.29773582367754803</v>
      </c>
    </row>
    <row r="51" spans="1:37" ht="29" x14ac:dyDescent="0.35">
      <c r="A51" s="96">
        <v>22</v>
      </c>
      <c r="B51" s="120" t="s">
        <v>161</v>
      </c>
      <c r="C51" s="48" t="s">
        <v>163</v>
      </c>
      <c r="D51" s="111" t="s">
        <v>170</v>
      </c>
      <c r="E51" s="111"/>
      <c r="F51" s="48" t="s">
        <v>158</v>
      </c>
      <c r="G51" s="167">
        <f>'time-factors'!E$36*'time-factors'!B72</f>
        <v>2.6729079139746772</v>
      </c>
      <c r="H51" s="166">
        <f>'time-factors'!M72</f>
        <v>0.375</v>
      </c>
      <c r="I51" s="168" t="s">
        <v>166</v>
      </c>
      <c r="J51" s="96">
        <f>'time-factors'!R$46</f>
        <v>20</v>
      </c>
      <c r="K51" s="170">
        <f>'time-factors'!L$46</f>
        <v>0.05</v>
      </c>
      <c r="L51" s="172">
        <f t="shared" si="19"/>
        <v>3.0090970196509245E-2</v>
      </c>
      <c r="M51" s="171">
        <v>0.02</v>
      </c>
      <c r="N51" s="168">
        <f t="shared" si="20"/>
        <v>7.4999999999999997E-3</v>
      </c>
      <c r="O51" s="168">
        <v>4.4000000000000004</v>
      </c>
      <c r="P51" s="111">
        <v>200</v>
      </c>
      <c r="Q51" s="115">
        <f t="shared" si="21"/>
        <v>0.88000000000000012</v>
      </c>
      <c r="R51" s="114">
        <f t="shared" si="22"/>
        <v>0.91759097019650937</v>
      </c>
      <c r="S51" s="114">
        <f>1.2*O51</f>
        <v>5.28</v>
      </c>
      <c r="T51" s="114">
        <v>0.1</v>
      </c>
      <c r="U51" s="111">
        <f t="shared" si="23"/>
        <v>0.52800000000000002</v>
      </c>
      <c r="V51" s="111">
        <f t="shared" si="24"/>
        <v>1.7378616859782374</v>
      </c>
      <c r="W51" s="111">
        <v>200</v>
      </c>
      <c r="X51" s="111">
        <f t="shared" si="25"/>
        <v>1.056</v>
      </c>
      <c r="Y51" s="111">
        <f t="shared" si="26"/>
        <v>0</v>
      </c>
      <c r="Z51" s="111">
        <f t="shared" si="27"/>
        <v>0</v>
      </c>
      <c r="AA51" s="114">
        <f t="shared" si="28"/>
        <v>-0.13840902980349068</v>
      </c>
      <c r="AB51" s="111">
        <f t="shared" si="29"/>
        <v>-0.26213831402176263</v>
      </c>
      <c r="AC51" s="111"/>
      <c r="AD51" s="107">
        <f t="shared" si="30"/>
        <v>5.6990473857025083E-2</v>
      </c>
      <c r="AE51" s="23">
        <f t="shared" si="31"/>
        <v>1.4204545454545454E-2</v>
      </c>
      <c r="AF51" s="108">
        <f t="shared" si="32"/>
        <v>1.6666666666666667</v>
      </c>
      <c r="AH51" s="104">
        <f t="shared" si="34"/>
        <v>2.6729079139746772</v>
      </c>
      <c r="AJ51" s="104">
        <f t="shared" ref="AJ51:AJ73" si="35">AJ50+AH51</f>
        <v>10.246147003569597</v>
      </c>
      <c r="AK51" s="23">
        <f t="shared" si="33"/>
        <v>-0.26213831402176263</v>
      </c>
    </row>
    <row r="52" spans="1:37" x14ac:dyDescent="0.35">
      <c r="A52" s="96">
        <v>24</v>
      </c>
      <c r="B52" s="120" t="s">
        <v>165</v>
      </c>
      <c r="C52" s="120" t="s">
        <v>165</v>
      </c>
      <c r="D52" s="111" t="s">
        <v>170</v>
      </c>
      <c r="E52" s="111"/>
      <c r="F52" s="48" t="s">
        <v>158</v>
      </c>
      <c r="G52" s="167">
        <f>'time-factors'!E$36*'time-factors'!B74</f>
        <v>1.7819386093164515</v>
      </c>
      <c r="H52" s="166">
        <f>'time-factors'!M74</f>
        <v>0.375</v>
      </c>
      <c r="I52" s="168" t="s">
        <v>166</v>
      </c>
      <c r="J52" s="96">
        <f>'time-factors'!R$46</f>
        <v>20</v>
      </c>
      <c r="K52" s="170">
        <f>'time-factors'!L$46</f>
        <v>0.05</v>
      </c>
      <c r="L52" s="172">
        <f t="shared" si="19"/>
        <v>3.0090970196509245E-2</v>
      </c>
      <c r="M52" s="171">
        <v>0.02</v>
      </c>
      <c r="N52" s="168">
        <f t="shared" si="20"/>
        <v>7.4999999999999997E-3</v>
      </c>
      <c r="O52" s="168">
        <v>4.4000000000000004</v>
      </c>
      <c r="P52" s="111">
        <v>200</v>
      </c>
      <c r="Q52" s="115">
        <f t="shared" si="21"/>
        <v>0.88000000000000012</v>
      </c>
      <c r="R52" s="114">
        <f t="shared" si="22"/>
        <v>0.91759097019650937</v>
      </c>
      <c r="S52" s="114">
        <f>1.2*O52</f>
        <v>5.28</v>
      </c>
      <c r="T52" s="114">
        <v>0.1</v>
      </c>
      <c r="U52" s="111">
        <f t="shared" si="23"/>
        <v>0.52800000000000002</v>
      </c>
      <c r="V52" s="111">
        <f t="shared" si="24"/>
        <v>1.7378616859782374</v>
      </c>
      <c r="W52" s="111">
        <v>200</v>
      </c>
      <c r="X52" s="111">
        <f t="shared" si="25"/>
        <v>1.056</v>
      </c>
      <c r="Y52" s="111">
        <f t="shared" si="26"/>
        <v>0</v>
      </c>
      <c r="Z52" s="111">
        <f t="shared" si="27"/>
        <v>0</v>
      </c>
      <c r="AA52" s="114">
        <f t="shared" si="28"/>
        <v>-0.13840902980349068</v>
      </c>
      <c r="AB52" s="111">
        <f t="shared" si="29"/>
        <v>-0.26213831402176263</v>
      </c>
      <c r="AC52" s="111"/>
      <c r="AD52" s="107">
        <f t="shared" si="30"/>
        <v>5.6990473857025083E-2</v>
      </c>
      <c r="AE52" s="23">
        <f t="shared" si="31"/>
        <v>1.4204545454545454E-2</v>
      </c>
      <c r="AF52" s="108">
        <f t="shared" si="32"/>
        <v>1.6666666666666667</v>
      </c>
      <c r="AH52" s="104">
        <f t="shared" si="34"/>
        <v>1.7819386093164515</v>
      </c>
      <c r="AJ52" s="104">
        <f t="shared" si="35"/>
        <v>12.028085612886048</v>
      </c>
      <c r="AK52" s="23">
        <f t="shared" si="33"/>
        <v>-0.26213831402176263</v>
      </c>
    </row>
    <row r="53" spans="1:37" x14ac:dyDescent="0.35">
      <c r="A53" s="96">
        <v>23</v>
      </c>
      <c r="B53" s="120" t="s">
        <v>164</v>
      </c>
      <c r="C53" s="48" t="s">
        <v>163</v>
      </c>
      <c r="D53" s="111" t="s">
        <v>170</v>
      </c>
      <c r="E53" s="111"/>
      <c r="F53" s="48" t="s">
        <v>158</v>
      </c>
      <c r="G53" s="167">
        <f>'time-factors'!E$36*'time-factors'!B73</f>
        <v>4.4548465232911285</v>
      </c>
      <c r="H53" s="166">
        <f>'time-factors'!M73</f>
        <v>0.75</v>
      </c>
      <c r="I53" s="168" t="s">
        <v>166</v>
      </c>
      <c r="J53" s="96">
        <f>'time-factors'!R$46</f>
        <v>20</v>
      </c>
      <c r="K53" s="170">
        <f>'time-factors'!L$46</f>
        <v>0.05</v>
      </c>
      <c r="L53" s="172">
        <f t="shared" si="19"/>
        <v>6.0181940393018489E-2</v>
      </c>
      <c r="M53" s="171">
        <v>0.02</v>
      </c>
      <c r="N53" s="168">
        <f t="shared" si="20"/>
        <v>1.4999999999999999E-2</v>
      </c>
      <c r="O53" s="168">
        <v>4.4000000000000004</v>
      </c>
      <c r="P53" s="111">
        <v>200</v>
      </c>
      <c r="Q53" s="115">
        <f t="shared" si="21"/>
        <v>0.88000000000000012</v>
      </c>
      <c r="R53" s="114">
        <f t="shared" si="22"/>
        <v>0.95518194039301862</v>
      </c>
      <c r="S53" s="114">
        <f>1.2*O53</f>
        <v>5.28</v>
      </c>
      <c r="T53" s="114">
        <v>0.1</v>
      </c>
      <c r="U53" s="111">
        <f t="shared" si="23"/>
        <v>0.52800000000000002</v>
      </c>
      <c r="V53" s="111">
        <f t="shared" si="24"/>
        <v>1.8090567052898079</v>
      </c>
      <c r="W53" s="111">
        <v>200</v>
      </c>
      <c r="X53" s="111">
        <f t="shared" si="25"/>
        <v>1.056</v>
      </c>
      <c r="Y53" s="111">
        <f t="shared" si="26"/>
        <v>0</v>
      </c>
      <c r="Z53" s="111">
        <f t="shared" si="27"/>
        <v>0</v>
      </c>
      <c r="AA53" s="114">
        <f t="shared" si="28"/>
        <v>-0.10081805960698142</v>
      </c>
      <c r="AB53" s="111">
        <f t="shared" si="29"/>
        <v>-0.19094329471019209</v>
      </c>
      <c r="AC53" s="111"/>
      <c r="AD53" s="107">
        <f t="shared" si="30"/>
        <v>0.11398094771405017</v>
      </c>
      <c r="AE53" s="23">
        <f t="shared" si="31"/>
        <v>2.8409090909090908E-2</v>
      </c>
      <c r="AF53" s="108">
        <f t="shared" si="32"/>
        <v>1.6666666666666667</v>
      </c>
      <c r="AH53" s="104">
        <f t="shared" si="34"/>
        <v>4.4548465232911285</v>
      </c>
      <c r="AJ53" s="104">
        <f t="shared" si="35"/>
        <v>16.482932136177176</v>
      </c>
      <c r="AK53" s="23">
        <f t="shared" si="33"/>
        <v>-0.19094329471019209</v>
      </c>
    </row>
    <row r="54" spans="1:37" x14ac:dyDescent="0.35">
      <c r="A54" s="96">
        <v>19</v>
      </c>
      <c r="B54" s="120" t="s">
        <v>140</v>
      </c>
      <c r="C54" s="111" t="s">
        <v>157</v>
      </c>
      <c r="D54" s="111" t="s">
        <v>170</v>
      </c>
      <c r="E54" s="111"/>
      <c r="F54" s="111" t="s">
        <v>159</v>
      </c>
      <c r="G54" s="167">
        <f>'time-factors'!E$36*'time-factors'!B69</f>
        <v>5.5685581541139113</v>
      </c>
      <c r="H54" s="166">
        <f>'time-factors'!M69</f>
        <v>1.5</v>
      </c>
      <c r="I54" s="168" t="s">
        <v>166</v>
      </c>
      <c r="J54" s="96">
        <f>'time-factors'!R$45</f>
        <v>15</v>
      </c>
      <c r="K54" s="170">
        <f>'time-factors'!L$45</f>
        <v>0.05</v>
      </c>
      <c r="L54" s="172">
        <f t="shared" si="19"/>
        <v>0.14451343141386655</v>
      </c>
      <c r="M54" s="171">
        <v>0</v>
      </c>
      <c r="N54" s="168">
        <f t="shared" si="20"/>
        <v>0</v>
      </c>
      <c r="O54" s="168">
        <v>2.63</v>
      </c>
      <c r="P54" s="111">
        <v>200</v>
      </c>
      <c r="Q54" s="115">
        <f t="shared" si="21"/>
        <v>0.52600000000000002</v>
      </c>
      <c r="R54" s="114">
        <f t="shared" si="22"/>
        <v>0.67051343141386655</v>
      </c>
      <c r="S54" s="114">
        <f>3.5*O54</f>
        <v>9.2050000000000001</v>
      </c>
      <c r="T54" s="114">
        <v>0.18</v>
      </c>
      <c r="U54" s="111">
        <f t="shared" si="23"/>
        <v>1.6569</v>
      </c>
      <c r="V54" s="111">
        <f t="shared" si="24"/>
        <v>0.40467948060466324</v>
      </c>
      <c r="W54" s="116">
        <v>103</v>
      </c>
      <c r="X54" s="111">
        <f t="shared" si="25"/>
        <v>0.94811500000000004</v>
      </c>
      <c r="Y54" s="111">
        <f t="shared" si="26"/>
        <v>0</v>
      </c>
      <c r="Z54" s="111">
        <f t="shared" si="27"/>
        <v>0</v>
      </c>
      <c r="AA54" s="114">
        <f t="shared" si="28"/>
        <v>-0.2776015685861335</v>
      </c>
      <c r="AB54" s="111">
        <f t="shared" si="29"/>
        <v>-0.167542741617559</v>
      </c>
      <c r="AC54" s="111"/>
      <c r="AD54" s="107">
        <f t="shared" si="30"/>
        <v>8.7219163144345788E-2</v>
      </c>
      <c r="AE54" s="23">
        <f t="shared" si="31"/>
        <v>0</v>
      </c>
      <c r="AF54" s="108">
        <f t="shared" si="32"/>
        <v>0.31746031746031744</v>
      </c>
      <c r="AH54" s="104">
        <f t="shared" si="34"/>
        <v>5.5685581541139113</v>
      </c>
      <c r="AJ54" s="104">
        <f t="shared" si="35"/>
        <v>22.051490290291088</v>
      </c>
      <c r="AK54" s="23">
        <f t="shared" si="33"/>
        <v>-0.167542741617559</v>
      </c>
    </row>
    <row r="55" spans="1:37" ht="29" x14ac:dyDescent="0.35">
      <c r="A55" s="96">
        <v>25</v>
      </c>
      <c r="B55" s="121" t="s">
        <v>204</v>
      </c>
      <c r="C55" s="24" t="s">
        <v>41</v>
      </c>
      <c r="D55" s="24" t="s">
        <v>198</v>
      </c>
      <c r="E55" s="24"/>
      <c r="F55" s="24" t="s">
        <v>203</v>
      </c>
      <c r="G55" s="167">
        <f>'time-factors'!E$36*'time-factors'!B75</f>
        <v>5.5685581541139113</v>
      </c>
      <c r="H55" s="166">
        <f>'time-factors'!M75</f>
        <v>3.0749999999999997</v>
      </c>
      <c r="I55" s="53" t="s">
        <v>166</v>
      </c>
      <c r="J55" s="168">
        <f>'time-factors'!R$47</f>
        <v>10</v>
      </c>
      <c r="K55" s="171">
        <f>'time-factors'!L$47</f>
        <v>0.05</v>
      </c>
      <c r="L55" s="55">
        <f t="shared" si="19"/>
        <v>0.3982265680187792</v>
      </c>
      <c r="M55" s="54">
        <v>0</v>
      </c>
      <c r="N55" s="53">
        <f t="shared" si="20"/>
        <v>0</v>
      </c>
      <c r="O55" s="53">
        <v>2.2000000000000002</v>
      </c>
      <c r="P55" s="53">
        <v>200</v>
      </c>
      <c r="Q55" s="56">
        <f t="shared" si="21"/>
        <v>0.44000000000000006</v>
      </c>
      <c r="R55" s="55">
        <f t="shared" si="22"/>
        <v>0.83822656801877926</v>
      </c>
      <c r="S55" s="59">
        <f>2*O55</f>
        <v>4.4000000000000004</v>
      </c>
      <c r="T55" s="59">
        <v>0.27</v>
      </c>
      <c r="U55" s="53">
        <f t="shared" si="23"/>
        <v>1.1880000000000002</v>
      </c>
      <c r="V55" s="53">
        <f t="shared" si="24"/>
        <v>0.7055779192077265</v>
      </c>
      <c r="W55" s="53">
        <v>200</v>
      </c>
      <c r="X55" s="57">
        <f t="shared" si="25"/>
        <v>0.88000000000000012</v>
      </c>
      <c r="Y55" s="53">
        <f t="shared" si="26"/>
        <v>0</v>
      </c>
      <c r="Z55" s="53">
        <f t="shared" si="27"/>
        <v>0</v>
      </c>
      <c r="AA55" s="55">
        <f t="shared" si="28"/>
        <v>-4.1773431981220854E-2</v>
      </c>
      <c r="AB55" s="53">
        <f t="shared" si="29"/>
        <v>-3.5162821533014185E-2</v>
      </c>
      <c r="AC55" s="53"/>
      <c r="AD55" s="107">
        <f t="shared" si="30"/>
        <v>0.33520754883735621</v>
      </c>
      <c r="AE55" s="23">
        <f t="shared" si="31"/>
        <v>0</v>
      </c>
      <c r="AF55" s="108">
        <f t="shared" si="32"/>
        <v>0.37037037037037035</v>
      </c>
      <c r="AH55" s="104">
        <f t="shared" si="34"/>
        <v>5.5685581541139113</v>
      </c>
      <c r="AJ55" s="104">
        <f t="shared" si="35"/>
        <v>27.620048444405001</v>
      </c>
      <c r="AK55" s="23">
        <f t="shared" si="33"/>
        <v>-3.5162821533014185E-2</v>
      </c>
    </row>
    <row r="56" spans="1:37" x14ac:dyDescent="0.35">
      <c r="A56" s="96">
        <v>12</v>
      </c>
      <c r="B56" s="118" t="s">
        <v>151</v>
      </c>
      <c r="C56" s="23" t="s">
        <v>139</v>
      </c>
      <c r="D56" s="23" t="s">
        <v>171</v>
      </c>
      <c r="E56" s="23" t="s">
        <v>128</v>
      </c>
      <c r="F56" s="23" t="s">
        <v>83</v>
      </c>
      <c r="G56" s="167">
        <f>'time-factors'!E$36*'time-factors'!B62</f>
        <v>0.44548465232911288</v>
      </c>
      <c r="H56" s="166">
        <f>'time-factors'!M62</f>
        <v>33.75</v>
      </c>
      <c r="I56" s="96" t="s">
        <v>98</v>
      </c>
      <c r="J56" s="96">
        <f>'time-factors'!R$43</f>
        <v>10</v>
      </c>
      <c r="K56" s="170">
        <f>'time-factors'!L$43</f>
        <v>0.05</v>
      </c>
      <c r="L56" s="173">
        <f t="shared" si="19"/>
        <v>4.3707794050841624</v>
      </c>
      <c r="M56" s="170">
        <v>0</v>
      </c>
      <c r="N56" s="96">
        <f t="shared" si="20"/>
        <v>0</v>
      </c>
      <c r="O56" s="167" cm="1">
        <f t="array" ref="O56">IFERROR(_xlfn.IFS(E56="Heavy", 'vehicle E calcs'!$H$33,E56="Cars/vans",'vehicle E calcs'!$H$32),"")</f>
        <v>6.3768270755398833</v>
      </c>
      <c r="P56" s="106">
        <v>200</v>
      </c>
      <c r="Q56" s="108">
        <f t="shared" si="21"/>
        <v>1.2753654151079765</v>
      </c>
      <c r="R56" s="107">
        <f t="shared" si="22"/>
        <v>5.6461448201921387</v>
      </c>
      <c r="S56" s="107" cm="1">
        <f t="array" ref="S56">_xlfn.IFS(E56="Heavy", 'vehicle E calcs'!$T$21,E56="Cars/vans",'vehicle E calcs'!$S$21)*O56</f>
        <v>23.354986057632608</v>
      </c>
      <c r="T56" s="109">
        <v>0.27</v>
      </c>
      <c r="U56" s="23">
        <f t="shared" si="23"/>
        <v>6.3058462355608045</v>
      </c>
      <c r="V56" s="23">
        <f t="shared" si="24"/>
        <v>0.89538257186666148</v>
      </c>
      <c r="W56" s="106">
        <f t="shared" ref="W56:W73" si="36">W$2*105</f>
        <v>168</v>
      </c>
      <c r="X56" s="23">
        <f t="shared" si="25"/>
        <v>3.9236376576822782</v>
      </c>
      <c r="Y56" s="96">
        <f t="shared" ref="Y56:Y73" si="37">$Z$2</f>
        <v>0</v>
      </c>
      <c r="Z56" s="23">
        <f t="shared" si="27"/>
        <v>0</v>
      </c>
      <c r="AA56" s="107">
        <f t="shared" si="28"/>
        <v>1.7225071625098605</v>
      </c>
      <c r="AB56" s="23">
        <f t="shared" si="29"/>
        <v>0.27316034964443925</v>
      </c>
      <c r="AD56" s="107">
        <f t="shared" si="30"/>
        <v>0.69313130098793974</v>
      </c>
      <c r="AE56" s="23">
        <f t="shared" si="31"/>
        <v>0</v>
      </c>
      <c r="AF56" s="108">
        <f t="shared" si="32"/>
        <v>0.20225127087872183</v>
      </c>
      <c r="AH56" s="104">
        <f t="shared" si="34"/>
        <v>0.44548465232911288</v>
      </c>
      <c r="AJ56" s="104">
        <f t="shared" si="35"/>
        <v>28.065533096734114</v>
      </c>
      <c r="AK56" s="23">
        <f t="shared" si="33"/>
        <v>0.27316034964443925</v>
      </c>
    </row>
    <row r="57" spans="1:37" x14ac:dyDescent="0.35">
      <c r="A57" s="96">
        <v>16</v>
      </c>
      <c r="B57" s="118" t="s">
        <v>154</v>
      </c>
      <c r="C57" s="23" t="s">
        <v>139</v>
      </c>
      <c r="D57" s="23" t="s">
        <v>171</v>
      </c>
      <c r="E57" s="23" t="s">
        <v>128</v>
      </c>
      <c r="F57" s="23" t="s">
        <v>83</v>
      </c>
      <c r="G57" s="167">
        <f>'time-factors'!E$36*'time-factors'!B66</f>
        <v>0.44548465232911288</v>
      </c>
      <c r="H57" s="166">
        <f>'time-factors'!M66</f>
        <v>33.75</v>
      </c>
      <c r="I57" s="96" t="s">
        <v>98</v>
      </c>
      <c r="J57" s="96">
        <f>'time-factors'!R$43</f>
        <v>10</v>
      </c>
      <c r="K57" s="170">
        <f>'time-factors'!L$43</f>
        <v>0.05</v>
      </c>
      <c r="L57" s="173">
        <f t="shared" si="19"/>
        <v>4.3707794050841624</v>
      </c>
      <c r="M57" s="170">
        <v>0</v>
      </c>
      <c r="N57" s="96">
        <f t="shared" si="20"/>
        <v>0</v>
      </c>
      <c r="O57" s="167" cm="1">
        <f t="array" ref="O57">IFERROR(_xlfn.IFS(E57="Heavy", 'vehicle E calcs'!$H$33,E57="Cars/vans",'vehicle E calcs'!$H$32),"")</f>
        <v>6.3768270755398833</v>
      </c>
      <c r="P57" s="106">
        <v>200</v>
      </c>
      <c r="Q57" s="108">
        <f t="shared" si="21"/>
        <v>1.2753654151079765</v>
      </c>
      <c r="R57" s="107">
        <f t="shared" si="22"/>
        <v>5.6461448201921387</v>
      </c>
      <c r="S57" s="107" cm="1">
        <f t="array" ref="S57">_xlfn.IFS(E57="Heavy", 'vehicle E calcs'!$T$21,E57="Cars/vans",'vehicle E calcs'!$S$21)*O57</f>
        <v>23.354986057632608</v>
      </c>
      <c r="T57" s="109">
        <v>0.27</v>
      </c>
      <c r="U57" s="23">
        <f t="shared" si="23"/>
        <v>6.3058462355608045</v>
      </c>
      <c r="V57" s="23">
        <f t="shared" si="24"/>
        <v>0.89538257186666148</v>
      </c>
      <c r="W57" s="106">
        <f t="shared" si="36"/>
        <v>168</v>
      </c>
      <c r="X57" s="23">
        <f t="shared" si="25"/>
        <v>3.9236376576822782</v>
      </c>
      <c r="Y57" s="96">
        <f t="shared" si="37"/>
        <v>0</v>
      </c>
      <c r="Z57" s="23">
        <f t="shared" si="27"/>
        <v>0</v>
      </c>
      <c r="AA57" s="107">
        <f t="shared" si="28"/>
        <v>1.7225071625098605</v>
      </c>
      <c r="AB57" s="23">
        <f t="shared" si="29"/>
        <v>0.27316034964443925</v>
      </c>
      <c r="AD57" s="107">
        <f t="shared" si="30"/>
        <v>0.69313130098793974</v>
      </c>
      <c r="AE57" s="23">
        <f t="shared" si="31"/>
        <v>0</v>
      </c>
      <c r="AF57" s="108">
        <f t="shared" si="32"/>
        <v>0.20225127087872183</v>
      </c>
      <c r="AH57" s="104">
        <f t="shared" si="34"/>
        <v>0.44548465232911288</v>
      </c>
      <c r="AJ57" s="104">
        <f t="shared" si="35"/>
        <v>28.511017749063228</v>
      </c>
      <c r="AK57" s="23">
        <f t="shared" si="33"/>
        <v>0.27316034964443925</v>
      </c>
    </row>
    <row r="58" spans="1:37" ht="45.5" x14ac:dyDescent="0.35">
      <c r="A58" s="96">
        <v>13</v>
      </c>
      <c r="B58" s="118" t="s">
        <v>232</v>
      </c>
      <c r="C58" s="23" t="s">
        <v>139</v>
      </c>
      <c r="D58" s="23" t="s">
        <v>171</v>
      </c>
      <c r="E58" s="23" t="s">
        <v>188</v>
      </c>
      <c r="F58" s="23" t="s">
        <v>83</v>
      </c>
      <c r="G58" s="167">
        <f>'time-factors'!E$36*'time-factors'!B63</f>
        <v>0.49003311756202422</v>
      </c>
      <c r="H58" s="166">
        <f>'time-factors'!M63</f>
        <v>58.125</v>
      </c>
      <c r="I58" s="96" t="s">
        <v>98</v>
      </c>
      <c r="J58" s="96">
        <f>'time-factors'!R$43</f>
        <v>10</v>
      </c>
      <c r="K58" s="170">
        <f>'time-factors'!L$43</f>
        <v>0.05</v>
      </c>
      <c r="L58" s="173">
        <f t="shared" si="19"/>
        <v>7.527453419867169</v>
      </c>
      <c r="M58" s="170">
        <v>0</v>
      </c>
      <c r="N58" s="96">
        <f t="shared" si="20"/>
        <v>0</v>
      </c>
      <c r="O58" s="167" cm="1">
        <f t="array" ref="O58">IFERROR(_xlfn.IFS(E58="Heavy", 'vehicle E calcs'!$H$33,E58="Cars/vans",'vehicle E calcs'!$H$32),"")</f>
        <v>7.1233383316924828</v>
      </c>
      <c r="P58" s="106">
        <v>200</v>
      </c>
      <c r="Q58" s="108">
        <f t="shared" si="21"/>
        <v>1.4246676663384965</v>
      </c>
      <c r="R58" s="107">
        <f t="shared" si="22"/>
        <v>8.9521210862056648</v>
      </c>
      <c r="S58" s="107" cm="1">
        <f t="array" ref="S58">_xlfn.IFS(E58="Heavy", 'vehicle E calcs'!$T$21,E58="Cars/vans",'vehicle E calcs'!$S$21)*O58</f>
        <v>24.362584419881831</v>
      </c>
      <c r="T58" s="109">
        <v>0.27</v>
      </c>
      <c r="U58" s="23">
        <f t="shared" si="23"/>
        <v>6.5778977933680949</v>
      </c>
      <c r="V58" s="23">
        <f t="shared" si="24"/>
        <v>1.3609395231454169</v>
      </c>
      <c r="W58" s="106">
        <f t="shared" si="36"/>
        <v>168</v>
      </c>
      <c r="X58" s="23">
        <f t="shared" si="25"/>
        <v>4.0929141825401478</v>
      </c>
      <c r="Y58" s="96">
        <f t="shared" si="37"/>
        <v>0</v>
      </c>
      <c r="Z58" s="23">
        <f t="shared" si="27"/>
        <v>0</v>
      </c>
      <c r="AA58" s="107">
        <f t="shared" si="28"/>
        <v>4.859206903665517</v>
      </c>
      <c r="AB58" s="23">
        <f t="shared" si="29"/>
        <v>0.73871730092319465</v>
      </c>
      <c r="AD58" s="107">
        <f t="shared" si="30"/>
        <v>1.1443554850390691</v>
      </c>
      <c r="AE58" s="23">
        <f t="shared" si="31"/>
        <v>0</v>
      </c>
      <c r="AF58" s="108">
        <f t="shared" si="32"/>
        <v>0.2165840381063478</v>
      </c>
      <c r="AH58" s="104">
        <f t="shared" si="34"/>
        <v>0.49003311756202422</v>
      </c>
      <c r="AJ58" s="104">
        <f t="shared" si="35"/>
        <v>29.001050866625253</v>
      </c>
      <c r="AK58" s="23">
        <f t="shared" si="33"/>
        <v>0.73871730092319465</v>
      </c>
    </row>
    <row r="59" spans="1:37" x14ac:dyDescent="0.35">
      <c r="A59" s="96">
        <v>11</v>
      </c>
      <c r="B59" s="118" t="s">
        <v>150</v>
      </c>
      <c r="C59" s="23" t="s">
        <v>139</v>
      </c>
      <c r="D59" s="23" t="s">
        <v>171</v>
      </c>
      <c r="E59" s="23" t="s">
        <v>128</v>
      </c>
      <c r="F59" s="23" t="s">
        <v>83</v>
      </c>
      <c r="G59" s="167">
        <f>'time-factors'!E$36*'time-factors'!B61</f>
        <v>0.22274232616455644</v>
      </c>
      <c r="H59" s="166">
        <f>'time-factors'!M61</f>
        <v>58.125</v>
      </c>
      <c r="I59" s="96" t="s">
        <v>98</v>
      </c>
      <c r="J59" s="96">
        <f>'time-factors'!R$43</f>
        <v>10</v>
      </c>
      <c r="K59" s="170">
        <f>'time-factors'!L$43</f>
        <v>0.05</v>
      </c>
      <c r="L59" s="173">
        <f t="shared" si="19"/>
        <v>7.527453419867169</v>
      </c>
      <c r="M59" s="170">
        <v>0</v>
      </c>
      <c r="N59" s="96">
        <f t="shared" si="20"/>
        <v>0</v>
      </c>
      <c r="O59" s="167" cm="1">
        <f t="array" ref="O59">IFERROR(_xlfn.IFS(E59="Heavy", 'vehicle E calcs'!$H$33,E59="Cars/vans",'vehicle E calcs'!$H$32),"")</f>
        <v>6.3768270755398833</v>
      </c>
      <c r="P59" s="106">
        <v>200</v>
      </c>
      <c r="Q59" s="108">
        <f t="shared" si="21"/>
        <v>1.2753654151079765</v>
      </c>
      <c r="R59" s="107">
        <f t="shared" si="22"/>
        <v>8.8028188349751453</v>
      </c>
      <c r="S59" s="107" cm="1">
        <f t="array" ref="S59">_xlfn.IFS(E59="Heavy", 'vehicle E calcs'!$T$21,E59="Cars/vans",'vehicle E calcs'!$S$21)*O59</f>
        <v>23.354986057632608</v>
      </c>
      <c r="T59" s="109">
        <v>0.27</v>
      </c>
      <c r="U59" s="23">
        <f t="shared" si="23"/>
        <v>6.3058462355608045</v>
      </c>
      <c r="V59" s="23">
        <f t="shared" si="24"/>
        <v>1.3959774003579513</v>
      </c>
      <c r="W59" s="106">
        <f t="shared" si="36"/>
        <v>168</v>
      </c>
      <c r="X59" s="23">
        <f t="shared" si="25"/>
        <v>3.9236376576822782</v>
      </c>
      <c r="Y59" s="96">
        <f t="shared" si="37"/>
        <v>0</v>
      </c>
      <c r="Z59" s="23">
        <f t="shared" si="27"/>
        <v>0</v>
      </c>
      <c r="AA59" s="107">
        <f t="shared" si="28"/>
        <v>4.8791811772928675</v>
      </c>
      <c r="AB59" s="23">
        <f t="shared" si="29"/>
        <v>0.77375517813572914</v>
      </c>
      <c r="AD59" s="107">
        <f t="shared" si="30"/>
        <v>1.1937261294792296</v>
      </c>
      <c r="AE59" s="23">
        <f t="shared" si="31"/>
        <v>0</v>
      </c>
      <c r="AF59" s="108">
        <f t="shared" si="32"/>
        <v>0.20225127087872183</v>
      </c>
      <c r="AH59" s="104">
        <f t="shared" si="34"/>
        <v>0.22274232616455644</v>
      </c>
      <c r="AJ59" s="104">
        <f t="shared" si="35"/>
        <v>29.22379319278981</v>
      </c>
      <c r="AK59" s="23">
        <f t="shared" si="33"/>
        <v>0.77375517813572914</v>
      </c>
    </row>
    <row r="60" spans="1:37" x14ac:dyDescent="0.35">
      <c r="A60" s="96">
        <v>6</v>
      </c>
      <c r="B60" s="118" t="s">
        <v>146</v>
      </c>
      <c r="C60" s="23" t="s">
        <v>139</v>
      </c>
      <c r="D60" s="23" t="s">
        <v>171</v>
      </c>
      <c r="E60" s="23" t="s">
        <v>188</v>
      </c>
      <c r="F60" s="23" t="s">
        <v>83</v>
      </c>
      <c r="G60" s="167">
        <f>'time-factors'!E$36*'time-factors'!B56</f>
        <v>0.64595274587721363</v>
      </c>
      <c r="H60" s="166">
        <f>'time-factors'!M56</f>
        <v>111.48396000000001</v>
      </c>
      <c r="I60" s="96" t="s">
        <v>98</v>
      </c>
      <c r="J60" s="96">
        <f>'time-factors'!R$43</f>
        <v>10</v>
      </c>
      <c r="K60" s="170">
        <f>'time-factors'!L$43</f>
        <v>0.05</v>
      </c>
      <c r="L60" s="173">
        <f t="shared" si="19"/>
        <v>14.437682855265974</v>
      </c>
      <c r="M60" s="170">
        <v>0</v>
      </c>
      <c r="N60" s="96">
        <f t="shared" si="20"/>
        <v>0</v>
      </c>
      <c r="O60" s="167" cm="1">
        <f t="array" ref="O60">IFERROR(_xlfn.IFS(E60="Heavy", 'vehicle E calcs'!$H$33,E60="Cars/vans",'vehicle E calcs'!$H$32),"")</f>
        <v>7.1233383316924828</v>
      </c>
      <c r="P60" s="106">
        <v>200</v>
      </c>
      <c r="Q60" s="108">
        <f t="shared" si="21"/>
        <v>1.4246676663384965</v>
      </c>
      <c r="R60" s="107">
        <f t="shared" si="22"/>
        <v>15.862350521604471</v>
      </c>
      <c r="S60" s="107" cm="1">
        <f t="array" ref="S60">_xlfn.IFS(E60="Heavy", 'vehicle E calcs'!$T$21,E60="Cars/vans",'vehicle E calcs'!$S$21)*O60</f>
        <v>24.362584419881831</v>
      </c>
      <c r="T60" s="109">
        <v>0.27</v>
      </c>
      <c r="U60" s="23">
        <f t="shared" si="23"/>
        <v>6.5778977933680949</v>
      </c>
      <c r="V60" s="23">
        <f t="shared" si="24"/>
        <v>2.4114619928569061</v>
      </c>
      <c r="W60" s="106">
        <f t="shared" si="36"/>
        <v>168</v>
      </c>
      <c r="X60" s="23">
        <f t="shared" si="25"/>
        <v>4.0929141825401478</v>
      </c>
      <c r="Y60" s="96">
        <f t="shared" si="37"/>
        <v>0</v>
      </c>
      <c r="Z60" s="23">
        <f t="shared" si="27"/>
        <v>0</v>
      </c>
      <c r="AA60" s="107">
        <f t="shared" si="28"/>
        <v>11.769436339064324</v>
      </c>
      <c r="AB60" s="23">
        <f t="shared" si="29"/>
        <v>1.7892397706346841</v>
      </c>
      <c r="AD60" s="107">
        <f t="shared" si="30"/>
        <v>2.1948779547505581</v>
      </c>
      <c r="AE60" s="23">
        <f t="shared" si="31"/>
        <v>0</v>
      </c>
      <c r="AF60" s="108">
        <f t="shared" si="32"/>
        <v>0.2165840381063478</v>
      </c>
      <c r="AH60" s="104">
        <f t="shared" si="34"/>
        <v>0.64595274587721363</v>
      </c>
      <c r="AJ60" s="104">
        <f t="shared" si="35"/>
        <v>29.869745938667023</v>
      </c>
      <c r="AK60" s="23">
        <f t="shared" si="33"/>
        <v>1.7892397706346841</v>
      </c>
    </row>
    <row r="61" spans="1:37" x14ac:dyDescent="0.35">
      <c r="A61" s="96">
        <v>1</v>
      </c>
      <c r="B61" s="118" t="s">
        <v>141</v>
      </c>
      <c r="C61" s="23" t="s">
        <v>139</v>
      </c>
      <c r="D61" s="23" t="s">
        <v>171</v>
      </c>
      <c r="E61" s="23" t="s">
        <v>128</v>
      </c>
      <c r="F61" s="23" t="s">
        <v>83</v>
      </c>
      <c r="G61" s="167">
        <f>'time-factors'!E$36*'time-factors'!B51</f>
        <v>0.77959814157594753</v>
      </c>
      <c r="H61" s="166">
        <f>'time-factors'!M51</f>
        <v>149.308875</v>
      </c>
      <c r="I61" s="96" t="s">
        <v>98</v>
      </c>
      <c r="J61" s="96">
        <f>'time-factors'!R$43</f>
        <v>10</v>
      </c>
      <c r="K61" s="170">
        <f>'time-factors'!L$43</f>
        <v>0.05</v>
      </c>
      <c r="L61" s="173">
        <f t="shared" si="19"/>
        <v>19.336182395445498</v>
      </c>
      <c r="M61" s="170">
        <v>0</v>
      </c>
      <c r="N61" s="96">
        <f t="shared" si="20"/>
        <v>0</v>
      </c>
      <c r="O61" s="167" cm="1">
        <f t="array" ref="O61">IFERROR(_xlfn.IFS(E61="Heavy", 'vehicle E calcs'!$H$33,E61="Cars/vans",'vehicle E calcs'!$H$32),"")</f>
        <v>6.3768270755398833</v>
      </c>
      <c r="P61" s="106">
        <v>200</v>
      </c>
      <c r="Q61" s="108">
        <f t="shared" si="21"/>
        <v>1.2753654151079765</v>
      </c>
      <c r="R61" s="107">
        <f t="shared" si="22"/>
        <v>20.611547810553475</v>
      </c>
      <c r="S61" s="107" cm="1">
        <f t="array" ref="S61">_xlfn.IFS(E61="Heavy", 'vehicle E calcs'!$T$21,E61="Cars/vans",'vehicle E calcs'!$S$21)*O61</f>
        <v>23.354986057632608</v>
      </c>
      <c r="T61" s="109">
        <v>0.27</v>
      </c>
      <c r="U61" s="23">
        <f t="shared" si="23"/>
        <v>6.3058462355608045</v>
      </c>
      <c r="V61" s="23">
        <f t="shared" si="24"/>
        <v>3.2686410420726673</v>
      </c>
      <c r="W61" s="106">
        <f t="shared" si="36"/>
        <v>168</v>
      </c>
      <c r="X61" s="23">
        <f t="shared" si="25"/>
        <v>3.9236376576822782</v>
      </c>
      <c r="Y61" s="96">
        <f t="shared" si="37"/>
        <v>0</v>
      </c>
      <c r="Z61" s="23">
        <f t="shared" si="27"/>
        <v>0</v>
      </c>
      <c r="AA61" s="107">
        <f t="shared" si="28"/>
        <v>16.687910152871197</v>
      </c>
      <c r="AB61" s="23">
        <f t="shared" si="29"/>
        <v>2.6464188198504455</v>
      </c>
      <c r="AD61" s="107">
        <f t="shared" si="30"/>
        <v>3.0663897711939456</v>
      </c>
      <c r="AE61" s="23">
        <f t="shared" si="31"/>
        <v>0</v>
      </c>
      <c r="AF61" s="108">
        <f t="shared" si="32"/>
        <v>0.20225127087872183</v>
      </c>
      <c r="AH61" s="104">
        <f t="shared" si="34"/>
        <v>0.77959814157594753</v>
      </c>
      <c r="AJ61" s="104">
        <f t="shared" si="35"/>
        <v>30.649344080242972</v>
      </c>
      <c r="AK61" s="23">
        <f t="shared" si="33"/>
        <v>2.6464188198504455</v>
      </c>
    </row>
    <row r="62" spans="1:37" x14ac:dyDescent="0.35">
      <c r="A62" s="96">
        <v>4</v>
      </c>
      <c r="B62" s="118" t="s">
        <v>144</v>
      </c>
      <c r="C62" s="23" t="s">
        <v>139</v>
      </c>
      <c r="D62" s="23" t="s">
        <v>171</v>
      </c>
      <c r="E62" s="23" t="s">
        <v>188</v>
      </c>
      <c r="F62" s="23" t="s">
        <v>83</v>
      </c>
      <c r="G62" s="167">
        <f>'time-factors'!E$36*'time-factors'!B54</f>
        <v>0.33411348924683465</v>
      </c>
      <c r="H62" s="166">
        <f>'time-factors'!M54</f>
        <v>216</v>
      </c>
      <c r="I62" s="96" t="s">
        <v>98</v>
      </c>
      <c r="J62" s="96">
        <f>'time-factors'!R$43</f>
        <v>10</v>
      </c>
      <c r="K62" s="170">
        <f>'time-factors'!L$43</f>
        <v>0.05</v>
      </c>
      <c r="L62" s="173">
        <f t="shared" si="19"/>
        <v>27.97298819253864</v>
      </c>
      <c r="M62" s="170">
        <v>0</v>
      </c>
      <c r="N62" s="96">
        <f t="shared" si="20"/>
        <v>0</v>
      </c>
      <c r="O62" s="167" cm="1">
        <f t="array" ref="O62">IFERROR(_xlfn.IFS(E62="Heavy", 'vehicle E calcs'!$H$33,E62="Cars/vans",'vehicle E calcs'!$H$32),"")</f>
        <v>7.1233383316924828</v>
      </c>
      <c r="P62" s="106">
        <v>200</v>
      </c>
      <c r="Q62" s="108">
        <f t="shared" si="21"/>
        <v>1.4246676663384965</v>
      </c>
      <c r="R62" s="107">
        <f t="shared" si="22"/>
        <v>29.397655858877137</v>
      </c>
      <c r="S62" s="107" cm="1">
        <f t="array" ref="S62">_xlfn.IFS(E62="Heavy", 'vehicle E calcs'!$T$21,E62="Cars/vans",'vehicle E calcs'!$S$21)*O62</f>
        <v>24.362584419881831</v>
      </c>
      <c r="T62" s="109">
        <v>0.27</v>
      </c>
      <c r="U62" s="23">
        <f t="shared" si="23"/>
        <v>6.5778977933680949</v>
      </c>
      <c r="V62" s="23">
        <f t="shared" si="24"/>
        <v>4.4691566792837918</v>
      </c>
      <c r="W62" s="106">
        <f t="shared" si="36"/>
        <v>168</v>
      </c>
      <c r="X62" s="23">
        <f t="shared" si="25"/>
        <v>4.0929141825401478</v>
      </c>
      <c r="Y62" s="96">
        <f t="shared" si="37"/>
        <v>0</v>
      </c>
      <c r="Z62" s="23">
        <f t="shared" si="27"/>
        <v>0</v>
      </c>
      <c r="AA62" s="107">
        <f t="shared" si="28"/>
        <v>25.304741676336988</v>
      </c>
      <c r="AB62" s="23">
        <f t="shared" si="29"/>
        <v>3.8469344570615696</v>
      </c>
      <c r="AD62" s="107">
        <f t="shared" si="30"/>
        <v>4.2525726411774443</v>
      </c>
      <c r="AE62" s="23">
        <f t="shared" si="31"/>
        <v>0</v>
      </c>
      <c r="AF62" s="108">
        <f t="shared" si="32"/>
        <v>0.2165840381063478</v>
      </c>
      <c r="AH62" s="104">
        <f t="shared" si="34"/>
        <v>0.33411348924683465</v>
      </c>
      <c r="AJ62" s="104">
        <f t="shared" si="35"/>
        <v>30.983457569489808</v>
      </c>
      <c r="AK62" s="23">
        <f t="shared" si="33"/>
        <v>3.8469344570615696</v>
      </c>
    </row>
    <row r="63" spans="1:37" ht="29" x14ac:dyDescent="0.35">
      <c r="A63" s="96">
        <v>7</v>
      </c>
      <c r="B63" s="118" t="s">
        <v>147</v>
      </c>
      <c r="C63" s="23" t="s">
        <v>139</v>
      </c>
      <c r="D63" s="23" t="s">
        <v>171</v>
      </c>
      <c r="E63" s="23" t="s">
        <v>188</v>
      </c>
      <c r="F63" s="23" t="s">
        <v>83</v>
      </c>
      <c r="G63" s="167">
        <f>'time-factors'!E$36*'time-factors'!B57</f>
        <v>0.55685581541139106</v>
      </c>
      <c r="H63" s="166">
        <f>'time-factors'!M57</f>
        <v>216</v>
      </c>
      <c r="I63" s="96" t="s">
        <v>98</v>
      </c>
      <c r="J63" s="96">
        <f>'time-factors'!R$43</f>
        <v>10</v>
      </c>
      <c r="K63" s="170">
        <f>'time-factors'!L$43</f>
        <v>0.05</v>
      </c>
      <c r="L63" s="173">
        <f t="shared" si="19"/>
        <v>27.97298819253864</v>
      </c>
      <c r="M63" s="170">
        <v>0</v>
      </c>
      <c r="N63" s="96">
        <f t="shared" si="20"/>
        <v>0</v>
      </c>
      <c r="O63" s="167" cm="1">
        <f t="array" ref="O63">IFERROR(_xlfn.IFS(E63="Heavy", 'vehicle E calcs'!$H$33,E63="Cars/vans",'vehicle E calcs'!$H$32),"")</f>
        <v>7.1233383316924828</v>
      </c>
      <c r="P63" s="106">
        <v>200</v>
      </c>
      <c r="Q63" s="108">
        <f t="shared" si="21"/>
        <v>1.4246676663384965</v>
      </c>
      <c r="R63" s="107">
        <f t="shared" si="22"/>
        <v>29.397655858877137</v>
      </c>
      <c r="S63" s="107" cm="1">
        <f t="array" ref="S63">_xlfn.IFS(E63="Heavy", 'vehicle E calcs'!$T$21,E63="Cars/vans",'vehicle E calcs'!$S$21)*O63</f>
        <v>24.362584419881831</v>
      </c>
      <c r="T63" s="109">
        <v>0.27</v>
      </c>
      <c r="U63" s="23">
        <f t="shared" si="23"/>
        <v>6.5778977933680949</v>
      </c>
      <c r="V63" s="23">
        <f t="shared" si="24"/>
        <v>4.4691566792837918</v>
      </c>
      <c r="W63" s="106">
        <f t="shared" si="36"/>
        <v>168</v>
      </c>
      <c r="X63" s="23">
        <f t="shared" si="25"/>
        <v>4.0929141825401478</v>
      </c>
      <c r="Y63" s="96">
        <f t="shared" si="37"/>
        <v>0</v>
      </c>
      <c r="Z63" s="23">
        <f t="shared" si="27"/>
        <v>0</v>
      </c>
      <c r="AA63" s="107">
        <f t="shared" si="28"/>
        <v>25.304741676336988</v>
      </c>
      <c r="AB63" s="23">
        <f t="shared" si="29"/>
        <v>3.8469344570615696</v>
      </c>
      <c r="AD63" s="107">
        <f t="shared" si="30"/>
        <v>4.2525726411774443</v>
      </c>
      <c r="AE63" s="23">
        <f t="shared" si="31"/>
        <v>0</v>
      </c>
      <c r="AF63" s="108">
        <f t="shared" si="32"/>
        <v>0.2165840381063478</v>
      </c>
      <c r="AH63" s="104">
        <f t="shared" si="34"/>
        <v>0.55685581541139106</v>
      </c>
      <c r="AJ63" s="104">
        <f t="shared" si="35"/>
        <v>31.5403133849012</v>
      </c>
      <c r="AK63" s="23">
        <f t="shared" si="33"/>
        <v>3.8469344570615696</v>
      </c>
    </row>
    <row r="64" spans="1:37" x14ac:dyDescent="0.35">
      <c r="A64" s="96">
        <v>9</v>
      </c>
      <c r="B64" s="118" t="s">
        <v>149</v>
      </c>
      <c r="C64" s="23" t="s">
        <v>139</v>
      </c>
      <c r="D64" s="23" t="s">
        <v>171</v>
      </c>
      <c r="E64" s="23" t="s">
        <v>188</v>
      </c>
      <c r="F64" s="23" t="s">
        <v>83</v>
      </c>
      <c r="G64" s="167">
        <f>'time-factors'!E$36*'time-factors'!B59</f>
        <v>0.22274232616455644</v>
      </c>
      <c r="H64" s="166">
        <f>'time-factors'!M59</f>
        <v>216</v>
      </c>
      <c r="I64" s="96" t="s">
        <v>98</v>
      </c>
      <c r="J64" s="96">
        <f>'time-factors'!R$43</f>
        <v>10</v>
      </c>
      <c r="K64" s="170">
        <f>'time-factors'!L$43</f>
        <v>0.05</v>
      </c>
      <c r="L64" s="173">
        <f t="shared" si="19"/>
        <v>27.97298819253864</v>
      </c>
      <c r="M64" s="170">
        <v>0</v>
      </c>
      <c r="N64" s="96">
        <f t="shared" si="20"/>
        <v>0</v>
      </c>
      <c r="O64" s="167" cm="1">
        <f t="array" ref="O64">IFERROR(_xlfn.IFS(E64="Heavy", 'vehicle E calcs'!$H$33,E64="Cars/vans",'vehicle E calcs'!$H$32),"")</f>
        <v>7.1233383316924828</v>
      </c>
      <c r="P64" s="106">
        <v>200</v>
      </c>
      <c r="Q64" s="108">
        <f t="shared" si="21"/>
        <v>1.4246676663384965</v>
      </c>
      <c r="R64" s="107">
        <f t="shared" si="22"/>
        <v>29.397655858877137</v>
      </c>
      <c r="S64" s="107" cm="1">
        <f t="array" ref="S64">_xlfn.IFS(E64="Heavy", 'vehicle E calcs'!$T$21,E64="Cars/vans",'vehicle E calcs'!$S$21)*O64</f>
        <v>24.362584419881831</v>
      </c>
      <c r="T64" s="109">
        <v>0.27</v>
      </c>
      <c r="U64" s="23">
        <f t="shared" si="23"/>
        <v>6.5778977933680949</v>
      </c>
      <c r="V64" s="23">
        <f t="shared" si="24"/>
        <v>4.4691566792837918</v>
      </c>
      <c r="W64" s="106">
        <f t="shared" si="36"/>
        <v>168</v>
      </c>
      <c r="X64" s="23">
        <f t="shared" si="25"/>
        <v>4.0929141825401478</v>
      </c>
      <c r="Y64" s="96">
        <f t="shared" si="37"/>
        <v>0</v>
      </c>
      <c r="Z64" s="23">
        <f t="shared" si="27"/>
        <v>0</v>
      </c>
      <c r="AA64" s="107">
        <f t="shared" si="28"/>
        <v>25.304741676336988</v>
      </c>
      <c r="AB64" s="23">
        <f t="shared" si="29"/>
        <v>3.8469344570615696</v>
      </c>
      <c r="AD64" s="107">
        <f t="shared" si="30"/>
        <v>4.2525726411774443</v>
      </c>
      <c r="AE64" s="23">
        <f t="shared" si="31"/>
        <v>0</v>
      </c>
      <c r="AF64" s="108">
        <f t="shared" si="32"/>
        <v>0.2165840381063478</v>
      </c>
      <c r="AH64" s="104">
        <f t="shared" si="34"/>
        <v>0.22274232616455644</v>
      </c>
      <c r="AJ64" s="104">
        <f t="shared" si="35"/>
        <v>31.763055711065757</v>
      </c>
      <c r="AK64" s="23">
        <f t="shared" si="33"/>
        <v>3.8469344570615696</v>
      </c>
    </row>
    <row r="65" spans="1:37" x14ac:dyDescent="0.35">
      <c r="A65" s="96">
        <v>15</v>
      </c>
      <c r="B65" s="118" t="s">
        <v>153</v>
      </c>
      <c r="C65" s="23" t="s">
        <v>139</v>
      </c>
      <c r="D65" s="23" t="s">
        <v>171</v>
      </c>
      <c r="E65" s="23" t="s">
        <v>188</v>
      </c>
      <c r="F65" s="23" t="s">
        <v>83</v>
      </c>
      <c r="G65" s="167">
        <f>'time-factors'!E$36*'time-factors'!B65</f>
        <v>0.35638772186329032</v>
      </c>
      <c r="H65" s="166">
        <f>'time-factors'!M65</f>
        <v>216</v>
      </c>
      <c r="I65" s="96" t="s">
        <v>98</v>
      </c>
      <c r="J65" s="96">
        <f>'time-factors'!R$43</f>
        <v>10</v>
      </c>
      <c r="K65" s="170">
        <f>'time-factors'!L$43</f>
        <v>0.05</v>
      </c>
      <c r="L65" s="173">
        <f t="shared" si="19"/>
        <v>27.97298819253864</v>
      </c>
      <c r="M65" s="170">
        <v>0</v>
      </c>
      <c r="N65" s="96">
        <f t="shared" si="20"/>
        <v>0</v>
      </c>
      <c r="O65" s="167" cm="1">
        <f t="array" ref="O65">IFERROR(_xlfn.IFS(E65="Heavy", 'vehicle E calcs'!$H$33,E65="Cars/vans",'vehicle E calcs'!$H$32),"")</f>
        <v>7.1233383316924828</v>
      </c>
      <c r="P65" s="106">
        <v>200</v>
      </c>
      <c r="Q65" s="108">
        <f t="shared" si="21"/>
        <v>1.4246676663384965</v>
      </c>
      <c r="R65" s="107">
        <f t="shared" si="22"/>
        <v>29.397655858877137</v>
      </c>
      <c r="S65" s="107" cm="1">
        <f t="array" ref="S65">_xlfn.IFS(E65="Heavy", 'vehicle E calcs'!$T$21,E65="Cars/vans",'vehicle E calcs'!$S$21)*O65</f>
        <v>24.362584419881831</v>
      </c>
      <c r="T65" s="109">
        <v>0.27</v>
      </c>
      <c r="U65" s="23">
        <f t="shared" si="23"/>
        <v>6.5778977933680949</v>
      </c>
      <c r="V65" s="23">
        <f t="shared" si="24"/>
        <v>4.4691566792837918</v>
      </c>
      <c r="W65" s="106">
        <f t="shared" si="36"/>
        <v>168</v>
      </c>
      <c r="X65" s="23">
        <f t="shared" si="25"/>
        <v>4.0929141825401478</v>
      </c>
      <c r="Y65" s="96">
        <f t="shared" si="37"/>
        <v>0</v>
      </c>
      <c r="Z65" s="23">
        <f t="shared" si="27"/>
        <v>0</v>
      </c>
      <c r="AA65" s="107">
        <f t="shared" si="28"/>
        <v>25.304741676336988</v>
      </c>
      <c r="AB65" s="23">
        <f t="shared" si="29"/>
        <v>3.8469344570615696</v>
      </c>
      <c r="AD65" s="107">
        <f t="shared" si="30"/>
        <v>4.2525726411774443</v>
      </c>
      <c r="AE65" s="23">
        <f t="shared" si="31"/>
        <v>0</v>
      </c>
      <c r="AF65" s="108">
        <f t="shared" si="32"/>
        <v>0.2165840381063478</v>
      </c>
      <c r="AH65" s="104">
        <f t="shared" si="34"/>
        <v>0.35638772186329032</v>
      </c>
      <c r="AJ65" s="104">
        <f t="shared" si="35"/>
        <v>32.119443432929046</v>
      </c>
      <c r="AK65" s="23">
        <f t="shared" si="33"/>
        <v>3.8469344570615696</v>
      </c>
    </row>
    <row r="66" spans="1:37" x14ac:dyDescent="0.35">
      <c r="A66" s="96">
        <v>3</v>
      </c>
      <c r="B66" s="118" t="s">
        <v>143</v>
      </c>
      <c r="C66" s="23" t="s">
        <v>139</v>
      </c>
      <c r="D66" s="23" t="s">
        <v>171</v>
      </c>
      <c r="E66" s="23" t="s">
        <v>188</v>
      </c>
      <c r="F66" s="23" t="s">
        <v>83</v>
      </c>
      <c r="G66" s="167">
        <f>'time-factors'!E$36*'time-factors'!B53</f>
        <v>0.49003311756202422</v>
      </c>
      <c r="H66" s="166">
        <f>'time-factors'!M53</f>
        <v>228.435</v>
      </c>
      <c r="I66" s="96" t="s">
        <v>98</v>
      </c>
      <c r="J66" s="96">
        <f>'time-factors'!R$43</f>
        <v>10</v>
      </c>
      <c r="K66" s="170">
        <f>'time-factors'!L$43</f>
        <v>0.05</v>
      </c>
      <c r="L66" s="173">
        <f t="shared" si="19"/>
        <v>29.583377582234093</v>
      </c>
      <c r="M66" s="170">
        <v>0</v>
      </c>
      <c r="N66" s="96">
        <f t="shared" si="20"/>
        <v>0</v>
      </c>
      <c r="O66" s="167" cm="1">
        <f t="array" ref="O66">IFERROR(_xlfn.IFS(E66="Heavy", 'vehicle E calcs'!$H$33,E66="Cars/vans",'vehicle E calcs'!$H$32),"")</f>
        <v>7.1233383316924828</v>
      </c>
      <c r="P66" s="106">
        <v>200</v>
      </c>
      <c r="Q66" s="108">
        <f t="shared" si="21"/>
        <v>1.4246676663384965</v>
      </c>
      <c r="R66" s="107">
        <f t="shared" si="22"/>
        <v>31.008045248572589</v>
      </c>
      <c r="S66" s="107" cm="1">
        <f t="array" ref="S66">_xlfn.IFS(E66="Heavy", 'vehicle E calcs'!$T$21,E66="Cars/vans",'vehicle E calcs'!$S$21)*O66</f>
        <v>24.362584419881831</v>
      </c>
      <c r="T66" s="109">
        <v>0.27</v>
      </c>
      <c r="U66" s="23">
        <f t="shared" si="23"/>
        <v>6.5778977933680949</v>
      </c>
      <c r="V66" s="23">
        <f t="shared" si="24"/>
        <v>4.7139749236960204</v>
      </c>
      <c r="W66" s="106">
        <f t="shared" si="36"/>
        <v>168</v>
      </c>
      <c r="X66" s="23">
        <f t="shared" si="25"/>
        <v>4.0929141825401478</v>
      </c>
      <c r="Y66" s="96">
        <f t="shared" si="37"/>
        <v>0</v>
      </c>
      <c r="Z66" s="23">
        <f t="shared" si="27"/>
        <v>0</v>
      </c>
      <c r="AA66" s="107">
        <f t="shared" si="28"/>
        <v>26.915131066032441</v>
      </c>
      <c r="AB66" s="23">
        <f t="shared" si="29"/>
        <v>4.0917527014737987</v>
      </c>
      <c r="AD66" s="107">
        <f t="shared" si="30"/>
        <v>4.4973908855896729</v>
      </c>
      <c r="AE66" s="23">
        <f t="shared" si="31"/>
        <v>0</v>
      </c>
      <c r="AF66" s="108">
        <f t="shared" si="32"/>
        <v>0.2165840381063478</v>
      </c>
      <c r="AH66" s="104">
        <f t="shared" si="34"/>
        <v>0.49003311756202422</v>
      </c>
      <c r="AJ66" s="104">
        <f t="shared" si="35"/>
        <v>32.609476550491067</v>
      </c>
      <c r="AK66" s="23">
        <f t="shared" si="33"/>
        <v>4.0917527014737987</v>
      </c>
    </row>
    <row r="67" spans="1:37" x14ac:dyDescent="0.35">
      <c r="A67" s="96">
        <v>17</v>
      </c>
      <c r="B67" s="118" t="s">
        <v>143</v>
      </c>
      <c r="C67" s="23" t="s">
        <v>156</v>
      </c>
      <c r="D67" s="23" t="s">
        <v>171</v>
      </c>
      <c r="E67" s="23" t="s">
        <v>188</v>
      </c>
      <c r="F67" s="23" t="s">
        <v>83</v>
      </c>
      <c r="G67" s="167">
        <f>'time-factors'!E$36*'time-factors'!B67</f>
        <v>0.44548465232911288</v>
      </c>
      <c r="H67" s="166">
        <f>'time-factors'!M67</f>
        <v>231</v>
      </c>
      <c r="I67" s="96" t="s">
        <v>98</v>
      </c>
      <c r="J67" s="96">
        <f>'time-factors'!R$44</f>
        <v>10</v>
      </c>
      <c r="K67" s="170">
        <f>'time-factors'!L$44</f>
        <v>0.05</v>
      </c>
      <c r="L67" s="173">
        <f t="shared" si="19"/>
        <v>29.915556817020491</v>
      </c>
      <c r="M67" s="170">
        <v>0</v>
      </c>
      <c r="N67" s="96">
        <f t="shared" si="20"/>
        <v>0</v>
      </c>
      <c r="O67" s="167" cm="1">
        <f t="array" ref="O67">IFERROR(_xlfn.IFS(E67="Heavy", 'vehicle E calcs'!$H$33,E67="Cars/vans",'vehicle E calcs'!$H$32),"")</f>
        <v>7.1233383316924828</v>
      </c>
      <c r="P67" s="106">
        <v>300</v>
      </c>
      <c r="Q67" s="108">
        <f t="shared" si="21"/>
        <v>2.1370014995077451</v>
      </c>
      <c r="R67" s="107">
        <f t="shared" si="22"/>
        <v>32.052558316528234</v>
      </c>
      <c r="S67" s="107" cm="1">
        <f t="array" ref="S67">_xlfn.IFS(E67="Heavy", 'vehicle E calcs'!$T$21,E67="Cars/vans",'vehicle E calcs'!$S$21)*O67</f>
        <v>24.362584419881831</v>
      </c>
      <c r="T67" s="109">
        <v>0.27</v>
      </c>
      <c r="U67" s="23">
        <f t="shared" si="23"/>
        <v>6.5778977933680949</v>
      </c>
      <c r="V67" s="23">
        <f t="shared" si="24"/>
        <v>4.8727662428631771</v>
      </c>
      <c r="W67" s="106">
        <f t="shared" si="36"/>
        <v>168</v>
      </c>
      <c r="X67" s="23">
        <f t="shared" si="25"/>
        <v>4.0929141825401478</v>
      </c>
      <c r="Y67" s="96">
        <f t="shared" si="37"/>
        <v>0</v>
      </c>
      <c r="Z67" s="23">
        <f t="shared" si="27"/>
        <v>0</v>
      </c>
      <c r="AA67" s="107">
        <f t="shared" si="28"/>
        <v>27.959644133988085</v>
      </c>
      <c r="AB67" s="23">
        <f t="shared" si="29"/>
        <v>4.2505440206409544</v>
      </c>
      <c r="AD67" s="107">
        <f t="shared" si="30"/>
        <v>4.5478901857036558</v>
      </c>
      <c r="AE67" s="23">
        <f t="shared" si="31"/>
        <v>0</v>
      </c>
      <c r="AF67" s="108">
        <f t="shared" si="32"/>
        <v>0.32487605715952173</v>
      </c>
      <c r="AH67" s="104">
        <f t="shared" si="34"/>
        <v>0.44548465232911288</v>
      </c>
      <c r="AJ67" s="104">
        <f t="shared" si="35"/>
        <v>33.054961202820181</v>
      </c>
      <c r="AK67" s="23">
        <f t="shared" si="33"/>
        <v>4.2505440206409544</v>
      </c>
    </row>
    <row r="68" spans="1:37" x14ac:dyDescent="0.35">
      <c r="A68" s="96">
        <v>18</v>
      </c>
      <c r="B68" s="119" t="s">
        <v>148</v>
      </c>
      <c r="C68" s="23" t="s">
        <v>156</v>
      </c>
      <c r="D68" s="23" t="s">
        <v>171</v>
      </c>
      <c r="E68" s="23" t="s">
        <v>188</v>
      </c>
      <c r="F68" s="23" t="s">
        <v>83</v>
      </c>
      <c r="G68" s="167">
        <f>'time-factors'!E$36*'time-factors'!B68</f>
        <v>0.44548465232911288</v>
      </c>
      <c r="H68" s="166">
        <f>'time-factors'!M68</f>
        <v>231</v>
      </c>
      <c r="I68" s="96" t="s">
        <v>98</v>
      </c>
      <c r="J68" s="96">
        <f>'time-factors'!R$44</f>
        <v>10</v>
      </c>
      <c r="K68" s="170">
        <f>'time-factors'!L$44</f>
        <v>0.05</v>
      </c>
      <c r="L68" s="173">
        <f t="shared" si="19"/>
        <v>29.915556817020491</v>
      </c>
      <c r="M68" s="170">
        <v>0</v>
      </c>
      <c r="N68" s="96">
        <f t="shared" si="20"/>
        <v>0</v>
      </c>
      <c r="O68" s="167" cm="1">
        <f t="array" ref="O68">IFERROR(_xlfn.IFS(E68="Heavy", 'vehicle E calcs'!$H$33,E68="Cars/vans",'vehicle E calcs'!$H$32),"")</f>
        <v>7.1233383316924828</v>
      </c>
      <c r="P68" s="106">
        <v>300</v>
      </c>
      <c r="Q68" s="108">
        <f t="shared" si="21"/>
        <v>2.1370014995077451</v>
      </c>
      <c r="R68" s="107">
        <f t="shared" si="22"/>
        <v>32.052558316528234</v>
      </c>
      <c r="S68" s="107" cm="1">
        <f t="array" ref="S68">_xlfn.IFS(E68="Heavy", 'vehicle E calcs'!$T$21,E68="Cars/vans",'vehicle E calcs'!$S$21)*O68</f>
        <v>24.362584419881831</v>
      </c>
      <c r="T68" s="109">
        <v>0.27</v>
      </c>
      <c r="U68" s="23">
        <f t="shared" si="23"/>
        <v>6.5778977933680949</v>
      </c>
      <c r="V68" s="23">
        <f t="shared" si="24"/>
        <v>4.8727662428631771</v>
      </c>
      <c r="W68" s="106">
        <f t="shared" si="36"/>
        <v>168</v>
      </c>
      <c r="X68" s="23">
        <f t="shared" si="25"/>
        <v>4.0929141825401478</v>
      </c>
      <c r="Y68" s="96">
        <f t="shared" si="37"/>
        <v>0</v>
      </c>
      <c r="Z68" s="23">
        <f t="shared" si="27"/>
        <v>0</v>
      </c>
      <c r="AA68" s="107">
        <f t="shared" si="28"/>
        <v>27.959644133988085</v>
      </c>
      <c r="AB68" s="23">
        <f t="shared" si="29"/>
        <v>4.2505440206409544</v>
      </c>
      <c r="AD68" s="107">
        <f t="shared" si="30"/>
        <v>4.5478901857036558</v>
      </c>
      <c r="AE68" s="23">
        <f t="shared" si="31"/>
        <v>0</v>
      </c>
      <c r="AF68" s="108">
        <f t="shared" si="32"/>
        <v>0.32487605715952173</v>
      </c>
      <c r="AH68" s="104">
        <f t="shared" si="34"/>
        <v>0.44548465232911288</v>
      </c>
      <c r="AJ68" s="104">
        <f t="shared" si="35"/>
        <v>33.500445855149295</v>
      </c>
      <c r="AK68" s="23">
        <f t="shared" si="33"/>
        <v>4.2505440206409544</v>
      </c>
    </row>
    <row r="69" spans="1:37" x14ac:dyDescent="0.35">
      <c r="A69" s="96">
        <v>2</v>
      </c>
      <c r="B69" s="118" t="s">
        <v>142</v>
      </c>
      <c r="C69" s="23" t="s">
        <v>139</v>
      </c>
      <c r="D69" s="23" t="s">
        <v>171</v>
      </c>
      <c r="E69" s="23" t="s">
        <v>128</v>
      </c>
      <c r="F69" s="23" t="s">
        <v>83</v>
      </c>
      <c r="G69" s="167">
        <f>'time-factors'!E$36*'time-factors'!B52</f>
        <v>0.6682269784936693</v>
      </c>
      <c r="H69" s="166">
        <f>'time-factors'!M52</f>
        <v>228.435</v>
      </c>
      <c r="I69" s="96" t="s">
        <v>98</v>
      </c>
      <c r="J69" s="96">
        <f>'time-factors'!R$43</f>
        <v>10</v>
      </c>
      <c r="K69" s="170">
        <f>'time-factors'!L$43</f>
        <v>0.05</v>
      </c>
      <c r="L69" s="173">
        <f t="shared" si="19"/>
        <v>29.583377582234093</v>
      </c>
      <c r="M69" s="170">
        <v>0</v>
      </c>
      <c r="N69" s="96">
        <f t="shared" si="20"/>
        <v>0</v>
      </c>
      <c r="O69" s="167" cm="1">
        <f t="array" ref="O69">IFERROR(_xlfn.IFS(E69="Heavy", 'vehicle E calcs'!$H$33,E69="Cars/vans",'vehicle E calcs'!$H$32),"")</f>
        <v>6.3768270755398833</v>
      </c>
      <c r="P69" s="106">
        <v>200</v>
      </c>
      <c r="Q69" s="108">
        <f t="shared" si="21"/>
        <v>1.2753654151079765</v>
      </c>
      <c r="R69" s="107">
        <f t="shared" si="22"/>
        <v>30.85874299734207</v>
      </c>
      <c r="S69" s="107" cm="1">
        <f t="array" ref="S69">_xlfn.IFS(E69="Heavy", 'vehicle E calcs'!$T$21,E69="Cars/vans",'vehicle E calcs'!$S$21)*O69</f>
        <v>23.354986057632608</v>
      </c>
      <c r="T69" s="109">
        <v>0.27</v>
      </c>
      <c r="U69" s="23">
        <f t="shared" si="23"/>
        <v>6.3058462355608045</v>
      </c>
      <c r="V69" s="23">
        <f t="shared" si="24"/>
        <v>4.8936719743210926</v>
      </c>
      <c r="W69" s="106">
        <f t="shared" si="36"/>
        <v>168</v>
      </c>
      <c r="X69" s="23">
        <f t="shared" si="25"/>
        <v>3.9236376576822782</v>
      </c>
      <c r="Y69" s="96">
        <f t="shared" si="37"/>
        <v>0</v>
      </c>
      <c r="Z69" s="23">
        <f t="shared" si="27"/>
        <v>0</v>
      </c>
      <c r="AA69" s="107">
        <f t="shared" si="28"/>
        <v>26.935105339659792</v>
      </c>
      <c r="AB69" s="23">
        <f t="shared" si="29"/>
        <v>4.2714497520988699</v>
      </c>
      <c r="AD69" s="107">
        <f t="shared" si="30"/>
        <v>4.6914207034423701</v>
      </c>
      <c r="AE69" s="23">
        <f t="shared" si="31"/>
        <v>0</v>
      </c>
      <c r="AF69" s="108">
        <f t="shared" si="32"/>
        <v>0.20225127087872183</v>
      </c>
      <c r="AH69" s="104">
        <f t="shared" si="34"/>
        <v>0.6682269784936693</v>
      </c>
      <c r="AJ69" s="104">
        <f t="shared" si="35"/>
        <v>34.168672833642965</v>
      </c>
      <c r="AK69" s="23">
        <f t="shared" si="33"/>
        <v>4.2714497520988699</v>
      </c>
    </row>
    <row r="70" spans="1:37" x14ac:dyDescent="0.35">
      <c r="A70" s="96">
        <v>5</v>
      </c>
      <c r="B70" s="118" t="s">
        <v>145</v>
      </c>
      <c r="C70" s="23" t="s">
        <v>139</v>
      </c>
      <c r="D70" s="23" t="s">
        <v>171</v>
      </c>
      <c r="E70" s="23" t="s">
        <v>188</v>
      </c>
      <c r="F70" s="23" t="s">
        <v>83</v>
      </c>
      <c r="G70" s="167">
        <f>'time-factors'!E$36*'time-factors'!B55</f>
        <v>0.46775888494556855</v>
      </c>
      <c r="H70" s="166">
        <f>'time-factors'!M55</f>
        <v>369</v>
      </c>
      <c r="I70" s="96" t="s">
        <v>98</v>
      </c>
      <c r="J70" s="96">
        <f>'time-factors'!R$43</f>
        <v>10</v>
      </c>
      <c r="K70" s="170">
        <f>'time-factors'!L$43</f>
        <v>0.05</v>
      </c>
      <c r="L70" s="173">
        <f t="shared" si="19"/>
        <v>47.787188162253507</v>
      </c>
      <c r="M70" s="170">
        <v>0</v>
      </c>
      <c r="N70" s="96">
        <f t="shared" si="20"/>
        <v>0</v>
      </c>
      <c r="O70" s="167" cm="1">
        <f t="array" ref="O70">IFERROR(_xlfn.IFS(E70="Heavy", 'vehicle E calcs'!$H$33,E70="Cars/vans",'vehicle E calcs'!$H$32),"")</f>
        <v>7.1233383316924828</v>
      </c>
      <c r="P70" s="106">
        <v>200</v>
      </c>
      <c r="Q70" s="108">
        <f t="shared" si="21"/>
        <v>1.4246676663384965</v>
      </c>
      <c r="R70" s="107">
        <f t="shared" si="22"/>
        <v>49.211855828592</v>
      </c>
      <c r="S70" s="107" cm="1">
        <f t="array" ref="S70">_xlfn.IFS(E70="Heavy", 'vehicle E calcs'!$T$21,E70="Cars/vans",'vehicle E calcs'!$S$21)*O70</f>
        <v>24.362584419881831</v>
      </c>
      <c r="T70" s="109">
        <v>0.27</v>
      </c>
      <c r="U70" s="23">
        <f t="shared" si="23"/>
        <v>6.5778977933680949</v>
      </c>
      <c r="V70" s="23">
        <f t="shared" si="24"/>
        <v>7.4813956334511467</v>
      </c>
      <c r="W70" s="106">
        <f t="shared" si="36"/>
        <v>168</v>
      </c>
      <c r="X70" s="23">
        <f t="shared" si="25"/>
        <v>4.0929141825401478</v>
      </c>
      <c r="Y70" s="96">
        <f t="shared" si="37"/>
        <v>0</v>
      </c>
      <c r="Z70" s="23">
        <f t="shared" si="27"/>
        <v>0</v>
      </c>
      <c r="AA70" s="107">
        <f t="shared" si="28"/>
        <v>45.118941646051852</v>
      </c>
      <c r="AB70" s="23">
        <f t="shared" si="29"/>
        <v>6.8591734112289249</v>
      </c>
      <c r="AD70" s="107">
        <f t="shared" si="30"/>
        <v>7.2648115953448</v>
      </c>
      <c r="AE70" s="23">
        <f t="shared" si="31"/>
        <v>0</v>
      </c>
      <c r="AF70" s="108">
        <f t="shared" si="32"/>
        <v>0.2165840381063478</v>
      </c>
      <c r="AH70" s="104">
        <f t="shared" si="34"/>
        <v>0.46775888494556855</v>
      </c>
      <c r="AJ70" s="104">
        <f t="shared" si="35"/>
        <v>34.636431718588533</v>
      </c>
      <c r="AK70" s="23">
        <f t="shared" si="33"/>
        <v>6.8591734112289249</v>
      </c>
    </row>
    <row r="71" spans="1:37" x14ac:dyDescent="0.35">
      <c r="A71" s="96">
        <v>8</v>
      </c>
      <c r="B71" s="119" t="s">
        <v>148</v>
      </c>
      <c r="C71" s="23" t="s">
        <v>139</v>
      </c>
      <c r="D71" s="23" t="s">
        <v>171</v>
      </c>
      <c r="E71" s="23" t="s">
        <v>188</v>
      </c>
      <c r="F71" s="23" t="s">
        <v>83</v>
      </c>
      <c r="G71" s="167">
        <f>'time-factors'!E$36*'time-factors'!B58</f>
        <v>0.33411348924683465</v>
      </c>
      <c r="H71" s="166">
        <f>'time-factors'!M58</f>
        <v>369</v>
      </c>
      <c r="I71" s="96" t="s">
        <v>98</v>
      </c>
      <c r="J71" s="96">
        <f>'time-factors'!R$43</f>
        <v>10</v>
      </c>
      <c r="K71" s="170">
        <f>'time-factors'!L$43</f>
        <v>0.05</v>
      </c>
      <c r="L71" s="173">
        <f t="shared" si="19"/>
        <v>47.787188162253507</v>
      </c>
      <c r="M71" s="170">
        <v>0</v>
      </c>
      <c r="N71" s="96">
        <f t="shared" si="20"/>
        <v>0</v>
      </c>
      <c r="O71" s="167" cm="1">
        <f t="array" ref="O71">IFERROR(_xlfn.IFS(E71="Heavy", 'vehicle E calcs'!$H$33,E71="Cars/vans",'vehicle E calcs'!$H$32),"")</f>
        <v>7.1233383316924828</v>
      </c>
      <c r="P71" s="106">
        <v>200</v>
      </c>
      <c r="Q71" s="108">
        <f t="shared" si="21"/>
        <v>1.4246676663384965</v>
      </c>
      <c r="R71" s="107">
        <f t="shared" si="22"/>
        <v>49.211855828592</v>
      </c>
      <c r="S71" s="107" cm="1">
        <f t="array" ref="S71">_xlfn.IFS(E71="Heavy", 'vehicle E calcs'!$T$21,E71="Cars/vans",'vehicle E calcs'!$S$21)*O71</f>
        <v>24.362584419881831</v>
      </c>
      <c r="T71" s="109">
        <v>0.27</v>
      </c>
      <c r="U71" s="23">
        <f t="shared" si="23"/>
        <v>6.5778977933680949</v>
      </c>
      <c r="V71" s="23">
        <f t="shared" si="24"/>
        <v>7.4813956334511467</v>
      </c>
      <c r="W71" s="106">
        <f t="shared" si="36"/>
        <v>168</v>
      </c>
      <c r="X71" s="23">
        <f t="shared" si="25"/>
        <v>4.0929141825401478</v>
      </c>
      <c r="Y71" s="96">
        <f t="shared" si="37"/>
        <v>0</v>
      </c>
      <c r="Z71" s="23">
        <f t="shared" si="27"/>
        <v>0</v>
      </c>
      <c r="AA71" s="107">
        <f t="shared" si="28"/>
        <v>45.118941646051852</v>
      </c>
      <c r="AB71" s="23">
        <f t="shared" si="29"/>
        <v>6.8591734112289249</v>
      </c>
      <c r="AD71" s="107">
        <f t="shared" si="30"/>
        <v>7.2648115953448</v>
      </c>
      <c r="AE71" s="23">
        <f t="shared" si="31"/>
        <v>0</v>
      </c>
      <c r="AF71" s="108">
        <f t="shared" si="32"/>
        <v>0.2165840381063478</v>
      </c>
      <c r="AH71" s="104">
        <f t="shared" si="34"/>
        <v>0.33411348924683465</v>
      </c>
      <c r="AJ71" s="104">
        <f t="shared" si="35"/>
        <v>34.970545207835364</v>
      </c>
      <c r="AK71" s="23">
        <f t="shared" si="33"/>
        <v>6.8591734112289249</v>
      </c>
    </row>
    <row r="72" spans="1:37" x14ac:dyDescent="0.35">
      <c r="A72" s="96">
        <v>10</v>
      </c>
      <c r="B72" s="118" t="s">
        <v>58</v>
      </c>
      <c r="C72" s="23" t="s">
        <v>139</v>
      </c>
      <c r="D72" s="23" t="s">
        <v>171</v>
      </c>
      <c r="E72" s="23" t="s">
        <v>188</v>
      </c>
      <c r="F72" s="23" t="s">
        <v>83</v>
      </c>
      <c r="G72" s="167">
        <f>'time-factors'!E$36*'time-factors'!B60</f>
        <v>0.44548465232911288</v>
      </c>
      <c r="H72" s="166">
        <f>'time-factors'!M60</f>
        <v>582</v>
      </c>
      <c r="I72" s="96" t="s">
        <v>98</v>
      </c>
      <c r="J72" s="96">
        <f>'time-factors'!R$43</f>
        <v>10</v>
      </c>
      <c r="K72" s="170">
        <f>'time-factors'!L$43</f>
        <v>0.05</v>
      </c>
      <c r="L72" s="173">
        <f t="shared" si="19"/>
        <v>75.371662629895781</v>
      </c>
      <c r="M72" s="170">
        <v>0</v>
      </c>
      <c r="N72" s="96">
        <f t="shared" si="20"/>
        <v>0</v>
      </c>
      <c r="O72" s="167" cm="1">
        <f t="array" ref="O72">IFERROR(_xlfn.IFS(E72="Heavy", 'vehicle E calcs'!$H$33,E72="Cars/vans",'vehicle E calcs'!$H$32),"")</f>
        <v>7.1233383316924828</v>
      </c>
      <c r="P72" s="106">
        <v>200</v>
      </c>
      <c r="Q72" s="108">
        <f t="shared" si="21"/>
        <v>1.4246676663384965</v>
      </c>
      <c r="R72" s="107">
        <f t="shared" si="22"/>
        <v>76.796330296234274</v>
      </c>
      <c r="S72" s="107" cm="1">
        <f t="array" ref="S72">_xlfn.IFS(E72="Heavy", 'vehicle E calcs'!$T$21,E72="Cars/vans",'vehicle E calcs'!$S$21)*O72</f>
        <v>24.362584419881831</v>
      </c>
      <c r="T72" s="109">
        <v>0.27</v>
      </c>
      <c r="U72" s="23">
        <f t="shared" si="23"/>
        <v>6.5778977933680949</v>
      </c>
      <c r="V72" s="23">
        <f t="shared" si="24"/>
        <v>11.674904765723349</v>
      </c>
      <c r="W72" s="106">
        <f t="shared" si="36"/>
        <v>168</v>
      </c>
      <c r="X72" s="23">
        <f t="shared" si="25"/>
        <v>4.0929141825401478</v>
      </c>
      <c r="Y72" s="96">
        <f t="shared" si="37"/>
        <v>0</v>
      </c>
      <c r="Z72" s="23">
        <f t="shared" si="27"/>
        <v>0</v>
      </c>
      <c r="AA72" s="107">
        <f t="shared" si="28"/>
        <v>72.703416113694132</v>
      </c>
      <c r="AB72" s="23">
        <f t="shared" si="29"/>
        <v>11.052682543501128</v>
      </c>
      <c r="AD72" s="107">
        <f t="shared" si="30"/>
        <v>11.458320727617002</v>
      </c>
      <c r="AE72" s="23">
        <f t="shared" si="31"/>
        <v>0</v>
      </c>
      <c r="AF72" s="108">
        <f t="shared" si="32"/>
        <v>0.2165840381063478</v>
      </c>
      <c r="AH72" s="104">
        <f t="shared" si="34"/>
        <v>0.44548465232911288</v>
      </c>
      <c r="AJ72" s="104">
        <f t="shared" si="35"/>
        <v>35.416029860164478</v>
      </c>
      <c r="AK72" s="23">
        <f t="shared" si="33"/>
        <v>11.052682543501128</v>
      </c>
    </row>
    <row r="73" spans="1:37" x14ac:dyDescent="0.35">
      <c r="A73" s="96">
        <v>14</v>
      </c>
      <c r="B73" s="118" t="s">
        <v>152</v>
      </c>
      <c r="C73" s="23" t="s">
        <v>139</v>
      </c>
      <c r="D73" s="23" t="s">
        <v>171</v>
      </c>
      <c r="E73" s="23" t="s">
        <v>188</v>
      </c>
      <c r="F73" s="23" t="s">
        <v>83</v>
      </c>
      <c r="G73" s="167">
        <f>'time-factors'!E$36*'time-factors'!B64</f>
        <v>0.28956502401392337</v>
      </c>
      <c r="H73" s="166">
        <f>'time-factors'!M64</f>
        <v>582</v>
      </c>
      <c r="I73" s="96" t="s">
        <v>98</v>
      </c>
      <c r="J73" s="96">
        <f>'time-factors'!R$43</f>
        <v>10</v>
      </c>
      <c r="K73" s="170">
        <f>'time-factors'!L$43</f>
        <v>0.05</v>
      </c>
      <c r="L73" s="173">
        <f t="shared" si="19"/>
        <v>75.371662629895781</v>
      </c>
      <c r="M73" s="170">
        <v>0</v>
      </c>
      <c r="N73" s="96">
        <f t="shared" si="20"/>
        <v>0</v>
      </c>
      <c r="O73" s="167" cm="1">
        <f t="array" ref="O73">IFERROR(_xlfn.IFS(E73="Heavy", 'vehicle E calcs'!$H$33,E73="Cars/vans",'vehicle E calcs'!$H$32),"")</f>
        <v>7.1233383316924828</v>
      </c>
      <c r="P73" s="106">
        <v>200</v>
      </c>
      <c r="Q73" s="108">
        <f t="shared" si="21"/>
        <v>1.4246676663384965</v>
      </c>
      <c r="R73" s="107">
        <f t="shared" si="22"/>
        <v>76.796330296234274</v>
      </c>
      <c r="S73" s="107" cm="1">
        <f t="array" ref="S73">_xlfn.IFS(E73="Heavy", 'vehicle E calcs'!$T$21,E73="Cars/vans",'vehicle E calcs'!$S$21)*O73</f>
        <v>24.362584419881831</v>
      </c>
      <c r="T73" s="109">
        <v>0.27</v>
      </c>
      <c r="U73" s="23">
        <f t="shared" si="23"/>
        <v>6.5778977933680949</v>
      </c>
      <c r="V73" s="23">
        <f t="shared" si="24"/>
        <v>11.674904765723349</v>
      </c>
      <c r="W73" s="106">
        <f t="shared" si="36"/>
        <v>168</v>
      </c>
      <c r="X73" s="23">
        <f t="shared" si="25"/>
        <v>4.0929141825401478</v>
      </c>
      <c r="Y73" s="96">
        <f t="shared" si="37"/>
        <v>0</v>
      </c>
      <c r="Z73" s="23">
        <f t="shared" si="27"/>
        <v>0</v>
      </c>
      <c r="AA73" s="107">
        <f t="shared" si="28"/>
        <v>72.703416113694132</v>
      </c>
      <c r="AB73" s="23">
        <f t="shared" si="29"/>
        <v>11.052682543501128</v>
      </c>
      <c r="AD73" s="107">
        <f t="shared" si="30"/>
        <v>11.458320727617002</v>
      </c>
      <c r="AE73" s="23">
        <f t="shared" si="31"/>
        <v>0</v>
      </c>
      <c r="AF73" s="108">
        <f t="shared" si="32"/>
        <v>0.2165840381063478</v>
      </c>
      <c r="AH73" s="104">
        <f t="shared" si="34"/>
        <v>0.28956502401392337</v>
      </c>
      <c r="AJ73" s="104">
        <f t="shared" si="35"/>
        <v>35.705594884178403</v>
      </c>
      <c r="AK73" s="23">
        <f t="shared" si="33"/>
        <v>11.052682543501128</v>
      </c>
    </row>
    <row r="74" spans="1:37" x14ac:dyDescent="0.35">
      <c r="A74" s="96"/>
      <c r="B74" s="122"/>
      <c r="C74" s="24"/>
      <c r="D74" s="24"/>
      <c r="E74" s="24"/>
      <c r="F74" s="131" t="s">
        <v>50</v>
      </c>
      <c r="G74" s="179">
        <f>SUM(G49:G73)</f>
        <v>35.705594884178403</v>
      </c>
      <c r="H74" s="96"/>
      <c r="I74" s="96"/>
      <c r="J74" s="96"/>
      <c r="K74" s="96"/>
      <c r="L74" s="96"/>
      <c r="M74" s="96"/>
      <c r="N74" s="96"/>
      <c r="O74" s="96"/>
    </row>
    <row r="75" spans="1:37" x14ac:dyDescent="0.35">
      <c r="A75" s="96"/>
      <c r="B75" s="122"/>
      <c r="C75" s="24"/>
      <c r="D75" s="24"/>
      <c r="E75" s="24"/>
      <c r="F75" s="24"/>
      <c r="G75" s="96"/>
      <c r="H75" s="96"/>
      <c r="I75" s="96"/>
      <c r="J75" s="96"/>
      <c r="K75" s="96"/>
      <c r="L75" s="96"/>
      <c r="M75" s="96"/>
      <c r="N75" s="96"/>
      <c r="O75" s="96"/>
    </row>
    <row r="76" spans="1:37" x14ac:dyDescent="0.35">
      <c r="A76" s="96"/>
      <c r="B76" s="123"/>
      <c r="C76" s="125"/>
      <c r="F76" s="24"/>
      <c r="G76" s="96"/>
      <c r="H76" s="96"/>
      <c r="I76" s="96"/>
      <c r="J76" s="96"/>
      <c r="K76" s="96"/>
      <c r="L76" s="96"/>
      <c r="M76" s="96"/>
      <c r="N76" s="96"/>
      <c r="O76" s="96"/>
    </row>
    <row r="77" spans="1:37" x14ac:dyDescent="0.35">
      <c r="A77" s="96"/>
      <c r="B77" s="123"/>
      <c r="C77" s="125"/>
      <c r="G77" s="96"/>
      <c r="H77" s="96"/>
      <c r="I77" s="96"/>
      <c r="J77" s="96"/>
      <c r="K77" s="96"/>
      <c r="L77" s="96"/>
      <c r="M77" s="96"/>
      <c r="N77" s="96"/>
      <c r="O77" s="96"/>
    </row>
    <row r="78" spans="1:37" x14ac:dyDescent="0.35">
      <c r="A78" s="96"/>
      <c r="B78" s="96"/>
      <c r="C78" s="96"/>
      <c r="G78" s="96"/>
      <c r="H78" s="96"/>
      <c r="I78" s="96"/>
      <c r="J78" s="96"/>
      <c r="K78" s="96"/>
      <c r="L78" s="96"/>
      <c r="M78" s="96"/>
      <c r="N78" s="96"/>
      <c r="O78" s="96"/>
    </row>
    <row r="79" spans="1:37" x14ac:dyDescent="0.35">
      <c r="A79" s="96"/>
      <c r="B79" s="96"/>
      <c r="C79" s="96"/>
      <c r="G79" s="96"/>
      <c r="H79" s="96"/>
      <c r="I79" s="96"/>
      <c r="J79" s="96"/>
      <c r="K79" s="96"/>
      <c r="L79" s="96"/>
      <c r="M79" s="96"/>
      <c r="N79" s="96"/>
      <c r="O79" s="96"/>
    </row>
    <row r="80" spans="1:37" x14ac:dyDescent="0.35">
      <c r="A80" s="96"/>
      <c r="G80" s="96"/>
      <c r="H80" s="96"/>
      <c r="I80" s="96"/>
      <c r="J80" s="96"/>
      <c r="K80" s="96"/>
      <c r="L80" s="96"/>
      <c r="M80" s="96"/>
      <c r="N80" s="96"/>
      <c r="O80" s="96"/>
    </row>
    <row r="81" spans="1:37" x14ac:dyDescent="0.35">
      <c r="A81" s="96"/>
      <c r="G81" s="96"/>
      <c r="H81" s="96"/>
      <c r="I81" s="96"/>
      <c r="J81" s="96"/>
      <c r="K81" s="96"/>
      <c r="L81" s="96"/>
      <c r="M81" s="96"/>
      <c r="N81" s="96"/>
      <c r="O81" s="96"/>
    </row>
    <row r="82" spans="1:37" x14ac:dyDescent="0.35">
      <c r="A82" s="96"/>
      <c r="G82" s="96"/>
      <c r="H82" s="96"/>
      <c r="I82" s="96"/>
      <c r="J82" s="96"/>
      <c r="K82" s="96"/>
      <c r="L82" s="96"/>
      <c r="M82" s="96"/>
      <c r="N82" s="96"/>
      <c r="O82" s="96"/>
    </row>
    <row r="83" spans="1:37" x14ac:dyDescent="0.35">
      <c r="A83" s="96"/>
      <c r="G83" s="96"/>
      <c r="H83" s="96"/>
      <c r="I83" s="96"/>
      <c r="J83" s="96"/>
      <c r="K83" s="96"/>
      <c r="L83" s="96"/>
      <c r="M83" s="96"/>
      <c r="N83" s="96"/>
      <c r="O83" s="96"/>
    </row>
    <row r="84" spans="1:37" x14ac:dyDescent="0.35">
      <c r="A84" s="96"/>
      <c r="G84" s="96"/>
      <c r="H84" s="96"/>
      <c r="I84" s="96"/>
      <c r="J84" s="96"/>
      <c r="K84" s="96"/>
      <c r="L84" s="96"/>
      <c r="M84" s="96"/>
      <c r="N84" s="96"/>
      <c r="O84" s="96"/>
    </row>
    <row r="85" spans="1:37" x14ac:dyDescent="0.35">
      <c r="A85" s="96"/>
      <c r="G85" s="96"/>
      <c r="H85" s="96"/>
      <c r="I85" s="96"/>
      <c r="J85" s="96"/>
      <c r="K85" s="96"/>
      <c r="L85" s="96"/>
      <c r="M85" s="96"/>
      <c r="N85" s="96"/>
      <c r="O85" s="96"/>
    </row>
    <row r="86" spans="1:37" x14ac:dyDescent="0.35">
      <c r="A86" s="96"/>
      <c r="G86" s="96"/>
      <c r="H86" s="96"/>
      <c r="I86" s="96"/>
      <c r="J86" s="96"/>
      <c r="K86" s="96"/>
      <c r="L86" s="96"/>
      <c r="M86" s="96"/>
      <c r="N86" s="96"/>
      <c r="O86" s="96"/>
    </row>
    <row r="87" spans="1:37" x14ac:dyDescent="0.35">
      <c r="A87" s="96"/>
      <c r="G87" s="96"/>
      <c r="H87" s="96"/>
      <c r="I87" s="96"/>
      <c r="J87" s="96"/>
      <c r="K87" s="96"/>
      <c r="L87" s="96"/>
      <c r="M87" s="96"/>
      <c r="N87" s="96"/>
      <c r="O87" s="96"/>
    </row>
    <row r="88" spans="1:37" x14ac:dyDescent="0.35">
      <c r="A88" s="96"/>
      <c r="G88" s="96"/>
      <c r="H88" s="96"/>
      <c r="I88" s="96"/>
      <c r="J88" s="96"/>
      <c r="K88" s="96"/>
      <c r="L88" s="96"/>
      <c r="M88" s="96"/>
      <c r="N88" s="96"/>
      <c r="O88" s="96"/>
    </row>
    <row r="89" spans="1:37" x14ac:dyDescent="0.35">
      <c r="A89" s="96"/>
      <c r="G89" s="96"/>
      <c r="H89" s="96"/>
      <c r="I89" s="96"/>
      <c r="J89" s="96"/>
      <c r="K89" s="96"/>
      <c r="L89" s="96"/>
      <c r="M89" s="96"/>
      <c r="N89" s="96"/>
      <c r="O89" s="96"/>
    </row>
    <row r="90" spans="1:37" x14ac:dyDescent="0.35">
      <c r="A90" s="132"/>
      <c r="G90" s="96"/>
      <c r="H90" s="96"/>
      <c r="I90" s="96"/>
      <c r="J90" s="96"/>
      <c r="K90" s="96"/>
      <c r="L90" s="96"/>
      <c r="M90" s="96"/>
      <c r="N90" s="96"/>
      <c r="O90" s="96"/>
    </row>
    <row r="91" spans="1:37" ht="21" x14ac:dyDescent="0.5">
      <c r="B91" s="134" t="s">
        <v>255</v>
      </c>
      <c r="C91" s="136">
        <f>C46</f>
        <v>2035</v>
      </c>
      <c r="G91" s="96"/>
      <c r="H91" s="96"/>
      <c r="I91" s="96"/>
      <c r="J91" s="96"/>
      <c r="K91" s="96"/>
      <c r="L91" s="96"/>
      <c r="M91" s="96"/>
      <c r="N91" s="96"/>
      <c r="O91" s="96"/>
      <c r="W91" s="23" t="s">
        <v>202</v>
      </c>
      <c r="AB91" s="95"/>
    </row>
    <row r="92" spans="1:37" x14ac:dyDescent="0.35">
      <c r="G92" s="96"/>
      <c r="H92" s="96"/>
      <c r="I92" s="96"/>
      <c r="J92" s="96"/>
      <c r="K92" s="96"/>
      <c r="L92" s="96"/>
      <c r="M92" s="96"/>
      <c r="N92" s="96"/>
      <c r="O92" s="96"/>
      <c r="T92" s="99" t="s">
        <v>138</v>
      </c>
      <c r="W92" s="99">
        <v>1.7</v>
      </c>
      <c r="X92" s="23" t="s">
        <v>174</v>
      </c>
      <c r="Z92" s="100">
        <v>0</v>
      </c>
      <c r="AA92" s="23" t="s">
        <v>175</v>
      </c>
      <c r="AC92" s="101">
        <v>0</v>
      </c>
    </row>
    <row r="93" spans="1:37" ht="72.5" x14ac:dyDescent="0.35">
      <c r="B93" s="102" t="s">
        <v>173</v>
      </c>
      <c r="C93" s="103" t="s">
        <v>95</v>
      </c>
      <c r="D93" s="103" t="s">
        <v>172</v>
      </c>
      <c r="E93" s="103" t="s">
        <v>231</v>
      </c>
      <c r="F93" s="103" t="s">
        <v>96</v>
      </c>
      <c r="G93" s="176" t="s">
        <v>205</v>
      </c>
      <c r="H93" s="176" t="s">
        <v>99</v>
      </c>
      <c r="I93" s="176" t="s">
        <v>97</v>
      </c>
      <c r="J93" s="176" t="s">
        <v>100</v>
      </c>
      <c r="K93" s="176" t="s">
        <v>101</v>
      </c>
      <c r="L93" s="176" t="s">
        <v>102</v>
      </c>
      <c r="M93" s="176" t="s">
        <v>129</v>
      </c>
      <c r="N93" s="176" t="s">
        <v>130</v>
      </c>
      <c r="O93" s="176" t="s">
        <v>132</v>
      </c>
      <c r="P93" s="103" t="s">
        <v>133</v>
      </c>
      <c r="Q93" s="103" t="s">
        <v>131</v>
      </c>
      <c r="R93" s="117" t="s">
        <v>136</v>
      </c>
      <c r="S93" s="103" t="s">
        <v>135</v>
      </c>
      <c r="T93" s="103" t="s">
        <v>134</v>
      </c>
      <c r="U93" s="103" t="s">
        <v>103</v>
      </c>
      <c r="V93" s="117" t="s">
        <v>108</v>
      </c>
      <c r="W93" s="103" t="s">
        <v>199</v>
      </c>
      <c r="X93" s="103" t="s">
        <v>104</v>
      </c>
      <c r="Y93" s="103" t="s">
        <v>105</v>
      </c>
      <c r="Z93" s="103" t="s">
        <v>106</v>
      </c>
      <c r="AA93" s="103" t="s">
        <v>137</v>
      </c>
      <c r="AB93" s="117" t="s">
        <v>107</v>
      </c>
      <c r="AD93" s="103" t="s">
        <v>167</v>
      </c>
      <c r="AE93" s="103" t="s">
        <v>168</v>
      </c>
      <c r="AF93" s="103" t="s">
        <v>169</v>
      </c>
      <c r="AJ93" s="103" t="s">
        <v>177</v>
      </c>
      <c r="AK93" s="103" t="s">
        <v>176</v>
      </c>
    </row>
    <row r="94" spans="1:37" x14ac:dyDescent="0.35">
      <c r="A94" s="23">
        <v>20</v>
      </c>
      <c r="B94" s="120" t="s">
        <v>162</v>
      </c>
      <c r="C94" s="111" t="s">
        <v>157</v>
      </c>
      <c r="D94" s="111" t="s">
        <v>170</v>
      </c>
      <c r="E94" s="111"/>
      <c r="F94" s="111" t="s">
        <v>158</v>
      </c>
      <c r="G94" s="167">
        <f>'time-factors'!E$37*'time-factors'!B70</f>
        <v>0.70400068671706317</v>
      </c>
      <c r="H94" s="166">
        <f>'time-factors'!M70</f>
        <v>0.11249999999999999</v>
      </c>
      <c r="I94" s="168" t="s">
        <v>166</v>
      </c>
      <c r="J94" s="96">
        <f>'time-factors'!R$46</f>
        <v>20</v>
      </c>
      <c r="K94" s="170">
        <f>'time-factors'!L$46</f>
        <v>0.05</v>
      </c>
      <c r="L94" s="172">
        <f t="shared" ref="L94:L118" si="38">PMT(K94,J94,-H94)</f>
        <v>9.0272910589527713E-3</v>
      </c>
      <c r="M94" s="171">
        <v>0.02</v>
      </c>
      <c r="N94" s="168">
        <f t="shared" ref="N94:N118" si="39">M94*H94</f>
        <v>2.2499999999999998E-3</v>
      </c>
      <c r="O94" s="168">
        <v>1.5</v>
      </c>
      <c r="P94" s="111">
        <v>200</v>
      </c>
      <c r="Q94" s="115">
        <f t="shared" ref="Q94:Q118" si="40">P94*O94*0.001</f>
        <v>0.3</v>
      </c>
      <c r="R94" s="114">
        <f t="shared" ref="R94:R118" si="41">L94+N94+Q94</f>
        <v>0.31127729105895274</v>
      </c>
      <c r="S94" s="114">
        <f>2*O94</f>
        <v>3</v>
      </c>
      <c r="T94" s="114">
        <v>0.1</v>
      </c>
      <c r="U94" s="111">
        <f t="shared" ref="U94:U118" si="42">T94*S94</f>
        <v>0.30000000000000004</v>
      </c>
      <c r="V94" s="111">
        <f t="shared" ref="V94:V118" si="43">R94/U94</f>
        <v>1.0375909701965089</v>
      </c>
      <c r="W94" s="111">
        <v>200</v>
      </c>
      <c r="X94" s="111">
        <f t="shared" ref="X94:X118" si="44">W94*S94*0.001</f>
        <v>0.6</v>
      </c>
      <c r="Y94" s="111">
        <f t="shared" ref="Y94:Y100" si="45">$AC$2</f>
        <v>0</v>
      </c>
      <c r="Z94" s="111">
        <f t="shared" ref="Z94:Z118" si="46">Y94*U94</f>
        <v>0</v>
      </c>
      <c r="AA94" s="114">
        <f t="shared" ref="AA94:AA118" si="47">R94-X94-Z94</f>
        <v>-0.28872270894104723</v>
      </c>
      <c r="AB94" s="111">
        <f t="shared" ref="AB94:AB118" si="48">AA94/U94</f>
        <v>-0.96240902980349063</v>
      </c>
      <c r="AC94" s="111"/>
      <c r="AD94" s="107">
        <f t="shared" ref="AD94:AD118" si="49">L94/U94</f>
        <v>3.0090970196509234E-2</v>
      </c>
      <c r="AE94" s="23">
        <f t="shared" ref="AE94:AE118" si="50">N94/U94</f>
        <v>7.499999999999998E-3</v>
      </c>
      <c r="AF94" s="108">
        <f t="shared" ref="AF94:AF118" si="51">Q94/U94</f>
        <v>0.99999999999999978</v>
      </c>
      <c r="AH94" s="104">
        <f>G94</f>
        <v>0.70400068671706317</v>
      </c>
      <c r="AJ94" s="104">
        <f>AH94</f>
        <v>0.70400068671706317</v>
      </c>
      <c r="AK94" s="23">
        <f t="shared" ref="AK94:AK118" si="52">AB94</f>
        <v>-0.96240902980349063</v>
      </c>
    </row>
    <row r="95" spans="1:37" x14ac:dyDescent="0.35">
      <c r="A95" s="23">
        <v>21</v>
      </c>
      <c r="B95" s="120" t="s">
        <v>160</v>
      </c>
      <c r="C95" s="48" t="s">
        <v>163</v>
      </c>
      <c r="D95" s="111" t="s">
        <v>170</v>
      </c>
      <c r="E95" s="111"/>
      <c r="F95" s="48" t="s">
        <v>158</v>
      </c>
      <c r="G95" s="167">
        <f>'time-factors'!E$37*'time-factors'!B71</f>
        <v>1.2906679256479492</v>
      </c>
      <c r="H95" s="166">
        <f>'time-factors'!M71</f>
        <v>0.1875</v>
      </c>
      <c r="I95" s="168" t="s">
        <v>166</v>
      </c>
      <c r="J95" s="96">
        <f>'time-factors'!R$46</f>
        <v>20</v>
      </c>
      <c r="K95" s="170">
        <f>'time-factors'!L$46</f>
        <v>0.05</v>
      </c>
      <c r="L95" s="172">
        <f t="shared" si="38"/>
        <v>1.5045485098254622E-2</v>
      </c>
      <c r="M95" s="171">
        <v>0.02</v>
      </c>
      <c r="N95" s="168">
        <f t="shared" si="39"/>
        <v>3.7499999999999999E-3</v>
      </c>
      <c r="O95" s="168">
        <v>4.4000000000000004</v>
      </c>
      <c r="P95" s="111">
        <v>200</v>
      </c>
      <c r="Q95" s="115">
        <f t="shared" si="40"/>
        <v>0.88000000000000012</v>
      </c>
      <c r="R95" s="114">
        <f t="shared" si="41"/>
        <v>0.89879548509825469</v>
      </c>
      <c r="S95" s="114">
        <f>1.2*O95</f>
        <v>5.28</v>
      </c>
      <c r="T95" s="114">
        <v>0.1</v>
      </c>
      <c r="U95" s="111">
        <f t="shared" si="42"/>
        <v>0.52800000000000002</v>
      </c>
      <c r="V95" s="111">
        <f t="shared" si="43"/>
        <v>1.702264176322452</v>
      </c>
      <c r="W95" s="111">
        <v>200</v>
      </c>
      <c r="X95" s="111">
        <f t="shared" si="44"/>
        <v>1.056</v>
      </c>
      <c r="Y95" s="111">
        <f t="shared" si="45"/>
        <v>0</v>
      </c>
      <c r="Z95" s="111">
        <f t="shared" si="46"/>
        <v>0</v>
      </c>
      <c r="AA95" s="114">
        <f t="shared" si="47"/>
        <v>-0.15720451490174536</v>
      </c>
      <c r="AB95" s="111">
        <f t="shared" si="48"/>
        <v>-0.29773582367754803</v>
      </c>
      <c r="AC95" s="111"/>
      <c r="AD95" s="107">
        <f t="shared" si="49"/>
        <v>2.8495236928512541E-2</v>
      </c>
      <c r="AE95" s="23">
        <f t="shared" si="50"/>
        <v>7.102272727272727E-3</v>
      </c>
      <c r="AF95" s="108">
        <f t="shared" si="51"/>
        <v>1.6666666666666667</v>
      </c>
      <c r="AH95" s="104">
        <f t="shared" ref="AH95:AH118" si="53">G95</f>
        <v>1.2906679256479492</v>
      </c>
      <c r="AJ95" s="104">
        <f>AJ94+AH95</f>
        <v>1.9946686123650124</v>
      </c>
      <c r="AK95" s="23">
        <f t="shared" si="52"/>
        <v>-0.29773582367754803</v>
      </c>
    </row>
    <row r="96" spans="1:37" ht="29" x14ac:dyDescent="0.35">
      <c r="A96" s="23">
        <v>22</v>
      </c>
      <c r="B96" s="120" t="s">
        <v>161</v>
      </c>
      <c r="C96" s="48" t="s">
        <v>163</v>
      </c>
      <c r="D96" s="111" t="s">
        <v>170</v>
      </c>
      <c r="E96" s="111"/>
      <c r="F96" s="48" t="s">
        <v>158</v>
      </c>
      <c r="G96" s="167">
        <f>'time-factors'!E$37*'time-factors'!B72</f>
        <v>0.70400068671706317</v>
      </c>
      <c r="H96" s="166">
        <f>'time-factors'!M72</f>
        <v>0.375</v>
      </c>
      <c r="I96" s="168" t="s">
        <v>166</v>
      </c>
      <c r="J96" s="96">
        <f>'time-factors'!R$46</f>
        <v>20</v>
      </c>
      <c r="K96" s="170">
        <f>'time-factors'!L$46</f>
        <v>0.05</v>
      </c>
      <c r="L96" s="172">
        <f t="shared" si="38"/>
        <v>3.0090970196509245E-2</v>
      </c>
      <c r="M96" s="171">
        <v>0.02</v>
      </c>
      <c r="N96" s="168">
        <f t="shared" si="39"/>
        <v>7.4999999999999997E-3</v>
      </c>
      <c r="O96" s="168">
        <v>4.4000000000000004</v>
      </c>
      <c r="P96" s="111">
        <v>200</v>
      </c>
      <c r="Q96" s="115">
        <f t="shared" si="40"/>
        <v>0.88000000000000012</v>
      </c>
      <c r="R96" s="114">
        <f t="shared" si="41"/>
        <v>0.91759097019650937</v>
      </c>
      <c r="S96" s="114">
        <f>1.2*O96</f>
        <v>5.28</v>
      </c>
      <c r="T96" s="114">
        <v>0.1</v>
      </c>
      <c r="U96" s="111">
        <f t="shared" si="42"/>
        <v>0.52800000000000002</v>
      </c>
      <c r="V96" s="111">
        <f t="shared" si="43"/>
        <v>1.7378616859782374</v>
      </c>
      <c r="W96" s="111">
        <v>200</v>
      </c>
      <c r="X96" s="111">
        <f t="shared" si="44"/>
        <v>1.056</v>
      </c>
      <c r="Y96" s="111">
        <f t="shared" si="45"/>
        <v>0</v>
      </c>
      <c r="Z96" s="111">
        <f t="shared" si="46"/>
        <v>0</v>
      </c>
      <c r="AA96" s="114">
        <f t="shared" si="47"/>
        <v>-0.13840902980349068</v>
      </c>
      <c r="AB96" s="111">
        <f t="shared" si="48"/>
        <v>-0.26213831402176263</v>
      </c>
      <c r="AC96" s="111"/>
      <c r="AD96" s="107">
        <f t="shared" si="49"/>
        <v>5.6990473857025083E-2</v>
      </c>
      <c r="AE96" s="23">
        <f t="shared" si="50"/>
        <v>1.4204545454545454E-2</v>
      </c>
      <c r="AF96" s="108">
        <f t="shared" si="51"/>
        <v>1.6666666666666667</v>
      </c>
      <c r="AH96" s="104">
        <f t="shared" si="53"/>
        <v>0.70400068671706317</v>
      </c>
      <c r="AJ96" s="104">
        <f t="shared" ref="AJ96:AJ118" si="54">AJ95+AH96</f>
        <v>2.6986692990820753</v>
      </c>
      <c r="AK96" s="23">
        <f t="shared" si="52"/>
        <v>-0.26213831402176263</v>
      </c>
    </row>
    <row r="97" spans="1:37" x14ac:dyDescent="0.35">
      <c r="A97" s="23">
        <v>24</v>
      </c>
      <c r="B97" s="120" t="s">
        <v>165</v>
      </c>
      <c r="C97" s="120" t="s">
        <v>165</v>
      </c>
      <c r="D97" s="111" t="s">
        <v>170</v>
      </c>
      <c r="E97" s="111"/>
      <c r="F97" s="48" t="s">
        <v>158</v>
      </c>
      <c r="G97" s="167">
        <f>'time-factors'!E$37*'time-factors'!B74</f>
        <v>0.4693337911447088</v>
      </c>
      <c r="H97" s="166">
        <f>'time-factors'!M74</f>
        <v>0.375</v>
      </c>
      <c r="I97" s="168" t="s">
        <v>166</v>
      </c>
      <c r="J97" s="96">
        <f>'time-factors'!R$46</f>
        <v>20</v>
      </c>
      <c r="K97" s="170">
        <f>'time-factors'!L$46</f>
        <v>0.05</v>
      </c>
      <c r="L97" s="172">
        <f t="shared" si="38"/>
        <v>3.0090970196509245E-2</v>
      </c>
      <c r="M97" s="171">
        <v>0.02</v>
      </c>
      <c r="N97" s="168">
        <f t="shared" si="39"/>
        <v>7.4999999999999997E-3</v>
      </c>
      <c r="O97" s="168">
        <v>4.4000000000000004</v>
      </c>
      <c r="P97" s="111">
        <v>200</v>
      </c>
      <c r="Q97" s="115">
        <f t="shared" si="40"/>
        <v>0.88000000000000012</v>
      </c>
      <c r="R97" s="114">
        <f t="shared" si="41"/>
        <v>0.91759097019650937</v>
      </c>
      <c r="S97" s="114">
        <f>1.2*O97</f>
        <v>5.28</v>
      </c>
      <c r="T97" s="114">
        <v>0.1</v>
      </c>
      <c r="U97" s="111">
        <f t="shared" si="42"/>
        <v>0.52800000000000002</v>
      </c>
      <c r="V97" s="111">
        <f t="shared" si="43"/>
        <v>1.7378616859782374</v>
      </c>
      <c r="W97" s="111">
        <v>200</v>
      </c>
      <c r="X97" s="111">
        <f t="shared" si="44"/>
        <v>1.056</v>
      </c>
      <c r="Y97" s="111">
        <f t="shared" si="45"/>
        <v>0</v>
      </c>
      <c r="Z97" s="111">
        <f t="shared" si="46"/>
        <v>0</v>
      </c>
      <c r="AA97" s="114">
        <f t="shared" si="47"/>
        <v>-0.13840902980349068</v>
      </c>
      <c r="AB97" s="111">
        <f t="shared" si="48"/>
        <v>-0.26213831402176263</v>
      </c>
      <c r="AC97" s="111"/>
      <c r="AD97" s="107">
        <f t="shared" si="49"/>
        <v>5.6990473857025083E-2</v>
      </c>
      <c r="AE97" s="23">
        <f t="shared" si="50"/>
        <v>1.4204545454545454E-2</v>
      </c>
      <c r="AF97" s="108">
        <f t="shared" si="51"/>
        <v>1.6666666666666667</v>
      </c>
      <c r="AH97" s="104">
        <f t="shared" si="53"/>
        <v>0.4693337911447088</v>
      </c>
      <c r="AJ97" s="104">
        <f t="shared" si="54"/>
        <v>3.1680030902267839</v>
      </c>
      <c r="AK97" s="23">
        <f t="shared" si="52"/>
        <v>-0.26213831402176263</v>
      </c>
    </row>
    <row r="98" spans="1:37" x14ac:dyDescent="0.35">
      <c r="A98" s="23">
        <v>23</v>
      </c>
      <c r="B98" s="120" t="s">
        <v>164</v>
      </c>
      <c r="C98" s="48" t="s">
        <v>163</v>
      </c>
      <c r="D98" s="111" t="s">
        <v>170</v>
      </c>
      <c r="E98" s="111"/>
      <c r="F98" s="48" t="s">
        <v>158</v>
      </c>
      <c r="G98" s="167">
        <f>'time-factors'!E$37*'time-factors'!B73</f>
        <v>1.173334477861772</v>
      </c>
      <c r="H98" s="166">
        <f>'time-factors'!M73</f>
        <v>0.75</v>
      </c>
      <c r="I98" s="168" t="s">
        <v>166</v>
      </c>
      <c r="J98" s="96">
        <f>'time-factors'!R$46</f>
        <v>20</v>
      </c>
      <c r="K98" s="170">
        <f>'time-factors'!L$46</f>
        <v>0.05</v>
      </c>
      <c r="L98" s="172">
        <f t="shared" si="38"/>
        <v>6.0181940393018489E-2</v>
      </c>
      <c r="M98" s="171">
        <v>0.02</v>
      </c>
      <c r="N98" s="168">
        <f t="shared" si="39"/>
        <v>1.4999999999999999E-2</v>
      </c>
      <c r="O98" s="168">
        <v>4.4000000000000004</v>
      </c>
      <c r="P98" s="111">
        <v>200</v>
      </c>
      <c r="Q98" s="115">
        <f t="shared" si="40"/>
        <v>0.88000000000000012</v>
      </c>
      <c r="R98" s="114">
        <f t="shared" si="41"/>
        <v>0.95518194039301862</v>
      </c>
      <c r="S98" s="114">
        <f>1.2*O98</f>
        <v>5.28</v>
      </c>
      <c r="T98" s="114">
        <v>0.1</v>
      </c>
      <c r="U98" s="111">
        <f t="shared" si="42"/>
        <v>0.52800000000000002</v>
      </c>
      <c r="V98" s="111">
        <f t="shared" si="43"/>
        <v>1.8090567052898079</v>
      </c>
      <c r="W98" s="111">
        <v>200</v>
      </c>
      <c r="X98" s="111">
        <f t="shared" si="44"/>
        <v>1.056</v>
      </c>
      <c r="Y98" s="111">
        <f t="shared" si="45"/>
        <v>0</v>
      </c>
      <c r="Z98" s="111">
        <f t="shared" si="46"/>
        <v>0</v>
      </c>
      <c r="AA98" s="114">
        <f t="shared" si="47"/>
        <v>-0.10081805960698142</v>
      </c>
      <c r="AB98" s="111">
        <f t="shared" si="48"/>
        <v>-0.19094329471019209</v>
      </c>
      <c r="AC98" s="111"/>
      <c r="AD98" s="107">
        <f t="shared" si="49"/>
        <v>0.11398094771405017</v>
      </c>
      <c r="AE98" s="23">
        <f t="shared" si="50"/>
        <v>2.8409090909090908E-2</v>
      </c>
      <c r="AF98" s="108">
        <f t="shared" si="51"/>
        <v>1.6666666666666667</v>
      </c>
      <c r="AH98" s="104">
        <f t="shared" si="53"/>
        <v>1.173334477861772</v>
      </c>
      <c r="AJ98" s="104">
        <f t="shared" si="54"/>
        <v>4.341337568088556</v>
      </c>
      <c r="AK98" s="23">
        <f t="shared" si="52"/>
        <v>-0.19094329471019209</v>
      </c>
    </row>
    <row r="99" spans="1:37" x14ac:dyDescent="0.35">
      <c r="A99" s="23">
        <v>19</v>
      </c>
      <c r="B99" s="120" t="s">
        <v>140</v>
      </c>
      <c r="C99" s="111" t="s">
        <v>157</v>
      </c>
      <c r="D99" s="111" t="s">
        <v>170</v>
      </c>
      <c r="E99" s="111"/>
      <c r="F99" s="111" t="s">
        <v>159</v>
      </c>
      <c r="G99" s="167">
        <f>'time-factors'!E$37*'time-factors'!B69</f>
        <v>1.466668097327215</v>
      </c>
      <c r="H99" s="166">
        <f>'time-factors'!M69</f>
        <v>1.5</v>
      </c>
      <c r="I99" s="168" t="s">
        <v>166</v>
      </c>
      <c r="J99" s="96">
        <f>'time-factors'!R$45</f>
        <v>15</v>
      </c>
      <c r="K99" s="170">
        <f>'time-factors'!L$45</f>
        <v>0.05</v>
      </c>
      <c r="L99" s="172">
        <f t="shared" si="38"/>
        <v>0.14451343141386655</v>
      </c>
      <c r="M99" s="171">
        <v>0</v>
      </c>
      <c r="N99" s="168">
        <f t="shared" si="39"/>
        <v>0</v>
      </c>
      <c r="O99" s="168">
        <v>2.63</v>
      </c>
      <c r="P99" s="111">
        <v>200</v>
      </c>
      <c r="Q99" s="115">
        <f t="shared" si="40"/>
        <v>0.52600000000000002</v>
      </c>
      <c r="R99" s="114">
        <f t="shared" si="41"/>
        <v>0.67051343141386655</v>
      </c>
      <c r="S99" s="114">
        <f>3.5*O99</f>
        <v>9.2050000000000001</v>
      </c>
      <c r="T99" s="114">
        <v>0.18</v>
      </c>
      <c r="U99" s="111">
        <f t="shared" si="42"/>
        <v>1.6569</v>
      </c>
      <c r="V99" s="111">
        <f t="shared" si="43"/>
        <v>0.40467948060466324</v>
      </c>
      <c r="W99" s="116">
        <v>103</v>
      </c>
      <c r="X99" s="111">
        <f t="shared" si="44"/>
        <v>0.94811500000000004</v>
      </c>
      <c r="Y99" s="111">
        <f t="shared" si="45"/>
        <v>0</v>
      </c>
      <c r="Z99" s="111">
        <f t="shared" si="46"/>
        <v>0</v>
      </c>
      <c r="AA99" s="114">
        <f t="shared" si="47"/>
        <v>-0.2776015685861335</v>
      </c>
      <c r="AB99" s="111">
        <f t="shared" si="48"/>
        <v>-0.167542741617559</v>
      </c>
      <c r="AC99" s="111"/>
      <c r="AD99" s="107">
        <f t="shared" si="49"/>
        <v>8.7219163144345788E-2</v>
      </c>
      <c r="AE99" s="23">
        <f t="shared" si="50"/>
        <v>0</v>
      </c>
      <c r="AF99" s="108">
        <f t="shared" si="51"/>
        <v>0.31746031746031744</v>
      </c>
      <c r="AH99" s="104">
        <f t="shared" si="53"/>
        <v>1.466668097327215</v>
      </c>
      <c r="AJ99" s="104">
        <f t="shared" si="54"/>
        <v>5.808005665415771</v>
      </c>
      <c r="AK99" s="23">
        <f t="shared" si="52"/>
        <v>-0.167542741617559</v>
      </c>
    </row>
    <row r="100" spans="1:37" ht="29" x14ac:dyDescent="0.35">
      <c r="A100" s="23">
        <v>25</v>
      </c>
      <c r="B100" s="121" t="s">
        <v>204</v>
      </c>
      <c r="C100" s="24" t="s">
        <v>41</v>
      </c>
      <c r="D100" s="24" t="s">
        <v>198</v>
      </c>
      <c r="E100" s="24"/>
      <c r="F100" s="24" t="s">
        <v>203</v>
      </c>
      <c r="G100" s="167">
        <f>'time-factors'!E$37*'time-factors'!B75</f>
        <v>1.466668097327215</v>
      </c>
      <c r="H100" s="166">
        <f>'time-factors'!M75</f>
        <v>3.0749999999999997</v>
      </c>
      <c r="I100" s="53" t="s">
        <v>166</v>
      </c>
      <c r="J100" s="168">
        <f>'time-factors'!R$47</f>
        <v>10</v>
      </c>
      <c r="K100" s="171">
        <f>'time-factors'!L$47</f>
        <v>0.05</v>
      </c>
      <c r="L100" s="55">
        <f t="shared" si="38"/>
        <v>0.3982265680187792</v>
      </c>
      <c r="M100" s="54">
        <v>0</v>
      </c>
      <c r="N100" s="53">
        <f t="shared" si="39"/>
        <v>0</v>
      </c>
      <c r="O100" s="53">
        <v>2.2000000000000002</v>
      </c>
      <c r="P100" s="53">
        <v>200</v>
      </c>
      <c r="Q100" s="56">
        <f t="shared" si="40"/>
        <v>0.44000000000000006</v>
      </c>
      <c r="R100" s="55">
        <f t="shared" si="41"/>
        <v>0.83822656801877926</v>
      </c>
      <c r="S100" s="59">
        <f>2*O100</f>
        <v>4.4000000000000004</v>
      </c>
      <c r="T100" s="59">
        <v>0.27</v>
      </c>
      <c r="U100" s="53">
        <f t="shared" si="42"/>
        <v>1.1880000000000002</v>
      </c>
      <c r="V100" s="53">
        <f t="shared" si="43"/>
        <v>0.7055779192077265</v>
      </c>
      <c r="W100" s="53">
        <v>200</v>
      </c>
      <c r="X100" s="57">
        <f t="shared" si="44"/>
        <v>0.88000000000000012</v>
      </c>
      <c r="Y100" s="53">
        <f t="shared" si="45"/>
        <v>0</v>
      </c>
      <c r="Z100" s="53">
        <f t="shared" si="46"/>
        <v>0</v>
      </c>
      <c r="AA100" s="55">
        <f t="shared" si="47"/>
        <v>-4.1773431981220854E-2</v>
      </c>
      <c r="AB100" s="53">
        <f t="shared" si="48"/>
        <v>-3.5162821533014185E-2</v>
      </c>
      <c r="AC100" s="53"/>
      <c r="AD100" s="107">
        <f t="shared" si="49"/>
        <v>0.33520754883735621</v>
      </c>
      <c r="AE100" s="23">
        <f t="shared" si="50"/>
        <v>0</v>
      </c>
      <c r="AF100" s="108">
        <f t="shared" si="51"/>
        <v>0.37037037037037035</v>
      </c>
      <c r="AH100" s="104">
        <f t="shared" si="53"/>
        <v>1.466668097327215</v>
      </c>
      <c r="AJ100" s="104">
        <f t="shared" si="54"/>
        <v>7.274673762742986</v>
      </c>
      <c r="AK100" s="23">
        <f t="shared" si="52"/>
        <v>-3.5162821533014185E-2</v>
      </c>
    </row>
    <row r="101" spans="1:37" x14ac:dyDescent="0.35">
      <c r="A101" s="23">
        <v>12</v>
      </c>
      <c r="B101" s="118" t="s">
        <v>151</v>
      </c>
      <c r="C101" s="23" t="s">
        <v>139</v>
      </c>
      <c r="D101" s="23" t="s">
        <v>171</v>
      </c>
      <c r="E101" s="23" t="s">
        <v>128</v>
      </c>
      <c r="F101" s="23" t="s">
        <v>83</v>
      </c>
      <c r="G101" s="167">
        <f>'time-factors'!E$37*'time-factors'!B62</f>
        <v>0.1173334477861772</v>
      </c>
      <c r="H101" s="166">
        <f>'time-factors'!M62</f>
        <v>33.75</v>
      </c>
      <c r="I101" s="96" t="s">
        <v>98</v>
      </c>
      <c r="J101" s="96">
        <f>'time-factors'!R$43</f>
        <v>10</v>
      </c>
      <c r="K101" s="170">
        <f>'time-factors'!L$43</f>
        <v>0.05</v>
      </c>
      <c r="L101" s="173">
        <f t="shared" si="38"/>
        <v>4.3707794050841624</v>
      </c>
      <c r="M101" s="170">
        <v>0</v>
      </c>
      <c r="N101" s="96">
        <f t="shared" si="39"/>
        <v>0</v>
      </c>
      <c r="O101" s="167" cm="1">
        <f t="array" ref="O101">IFERROR(_xlfn.IFS(E101="Heavy", 'vehicle E calcs'!$H$33,E101="Cars/vans",'vehicle E calcs'!$H$32),"")</f>
        <v>6.3768270755398833</v>
      </c>
      <c r="P101" s="106">
        <v>200</v>
      </c>
      <c r="Q101" s="108">
        <f t="shared" si="40"/>
        <v>1.2753654151079765</v>
      </c>
      <c r="R101" s="107">
        <f t="shared" si="41"/>
        <v>5.6461448201921387</v>
      </c>
      <c r="S101" s="107" cm="1">
        <f t="array" ref="S101">_xlfn.IFS(E101="Heavy", 'vehicle E calcs'!$T$21,E101="Cars/vans",'vehicle E calcs'!$S$21)*O101</f>
        <v>23.354986057632608</v>
      </c>
      <c r="T101" s="109">
        <v>0.27</v>
      </c>
      <c r="U101" s="23">
        <f t="shared" si="42"/>
        <v>6.3058462355608045</v>
      </c>
      <c r="V101" s="23">
        <f t="shared" si="43"/>
        <v>0.89538257186666148</v>
      </c>
      <c r="W101" s="106">
        <f t="shared" ref="W101:W118" si="55">W$2*105</f>
        <v>168</v>
      </c>
      <c r="X101" s="23">
        <f t="shared" si="44"/>
        <v>3.9236376576822782</v>
      </c>
      <c r="Y101" s="96">
        <f t="shared" ref="Y101:Y118" si="56">$Z$2</f>
        <v>0</v>
      </c>
      <c r="Z101" s="23">
        <f t="shared" si="46"/>
        <v>0</v>
      </c>
      <c r="AA101" s="107">
        <f t="shared" si="47"/>
        <v>1.7225071625098605</v>
      </c>
      <c r="AB101" s="23">
        <f t="shared" si="48"/>
        <v>0.27316034964443925</v>
      </c>
      <c r="AD101" s="107">
        <f t="shared" si="49"/>
        <v>0.69313130098793974</v>
      </c>
      <c r="AE101" s="23">
        <f t="shared" si="50"/>
        <v>0</v>
      </c>
      <c r="AF101" s="108">
        <f t="shared" si="51"/>
        <v>0.20225127087872183</v>
      </c>
      <c r="AH101" s="104">
        <f t="shared" si="53"/>
        <v>0.1173334477861772</v>
      </c>
      <c r="AJ101" s="104">
        <f t="shared" si="54"/>
        <v>7.3920072105291634</v>
      </c>
      <c r="AK101" s="23">
        <f t="shared" si="52"/>
        <v>0.27316034964443925</v>
      </c>
    </row>
    <row r="102" spans="1:37" x14ac:dyDescent="0.35">
      <c r="A102" s="23">
        <v>16</v>
      </c>
      <c r="B102" s="118" t="s">
        <v>154</v>
      </c>
      <c r="C102" s="23" t="s">
        <v>139</v>
      </c>
      <c r="D102" s="23" t="s">
        <v>171</v>
      </c>
      <c r="E102" s="23" t="s">
        <v>128</v>
      </c>
      <c r="F102" s="23" t="s">
        <v>83</v>
      </c>
      <c r="G102" s="167">
        <f>'time-factors'!E$37*'time-factors'!B66</f>
        <v>0.1173334477861772</v>
      </c>
      <c r="H102" s="166">
        <f>'time-factors'!M66</f>
        <v>33.75</v>
      </c>
      <c r="I102" s="96" t="s">
        <v>98</v>
      </c>
      <c r="J102" s="96">
        <f>'time-factors'!R$43</f>
        <v>10</v>
      </c>
      <c r="K102" s="170">
        <f>'time-factors'!L$43</f>
        <v>0.05</v>
      </c>
      <c r="L102" s="173">
        <f t="shared" si="38"/>
        <v>4.3707794050841624</v>
      </c>
      <c r="M102" s="170">
        <v>0</v>
      </c>
      <c r="N102" s="96">
        <f t="shared" si="39"/>
        <v>0</v>
      </c>
      <c r="O102" s="167" cm="1">
        <f t="array" ref="O102">IFERROR(_xlfn.IFS(E102="Heavy", 'vehicle E calcs'!$H$33,E102="Cars/vans",'vehicle E calcs'!$H$32),"")</f>
        <v>6.3768270755398833</v>
      </c>
      <c r="P102" s="106">
        <v>200</v>
      </c>
      <c r="Q102" s="108">
        <f t="shared" si="40"/>
        <v>1.2753654151079765</v>
      </c>
      <c r="R102" s="107">
        <f t="shared" si="41"/>
        <v>5.6461448201921387</v>
      </c>
      <c r="S102" s="107" cm="1">
        <f t="array" ref="S102">_xlfn.IFS(E102="Heavy", 'vehicle E calcs'!$T$21,E102="Cars/vans",'vehicle E calcs'!$S$21)*O102</f>
        <v>23.354986057632608</v>
      </c>
      <c r="T102" s="109">
        <v>0.27</v>
      </c>
      <c r="U102" s="23">
        <f t="shared" si="42"/>
        <v>6.3058462355608045</v>
      </c>
      <c r="V102" s="23">
        <f t="shared" si="43"/>
        <v>0.89538257186666148</v>
      </c>
      <c r="W102" s="106">
        <f t="shared" si="55"/>
        <v>168</v>
      </c>
      <c r="X102" s="23">
        <f t="shared" si="44"/>
        <v>3.9236376576822782</v>
      </c>
      <c r="Y102" s="96">
        <f t="shared" si="56"/>
        <v>0</v>
      </c>
      <c r="Z102" s="23">
        <f t="shared" si="46"/>
        <v>0</v>
      </c>
      <c r="AA102" s="107">
        <f t="shared" si="47"/>
        <v>1.7225071625098605</v>
      </c>
      <c r="AB102" s="23">
        <f t="shared" si="48"/>
        <v>0.27316034964443925</v>
      </c>
      <c r="AD102" s="107">
        <f t="shared" si="49"/>
        <v>0.69313130098793974</v>
      </c>
      <c r="AE102" s="23">
        <f t="shared" si="50"/>
        <v>0</v>
      </c>
      <c r="AF102" s="108">
        <f t="shared" si="51"/>
        <v>0.20225127087872183</v>
      </c>
      <c r="AH102" s="104">
        <f t="shared" si="53"/>
        <v>0.1173334477861772</v>
      </c>
      <c r="AJ102" s="104">
        <f t="shared" si="54"/>
        <v>7.5093406583153408</v>
      </c>
      <c r="AK102" s="23">
        <f t="shared" si="52"/>
        <v>0.27316034964443925</v>
      </c>
    </row>
    <row r="103" spans="1:37" ht="45.5" x14ac:dyDescent="0.35">
      <c r="A103" s="23">
        <v>13</v>
      </c>
      <c r="B103" s="118" t="s">
        <v>232</v>
      </c>
      <c r="C103" s="23" t="s">
        <v>139</v>
      </c>
      <c r="D103" s="23" t="s">
        <v>171</v>
      </c>
      <c r="E103" s="23" t="s">
        <v>188</v>
      </c>
      <c r="F103" s="23" t="s">
        <v>83</v>
      </c>
      <c r="G103" s="167">
        <f>'time-factors'!E$37*'time-factors'!B63</f>
        <v>0.12906679256479492</v>
      </c>
      <c r="H103" s="166">
        <f>'time-factors'!M63</f>
        <v>58.125</v>
      </c>
      <c r="I103" s="96" t="s">
        <v>98</v>
      </c>
      <c r="J103" s="96">
        <f>'time-factors'!R$43</f>
        <v>10</v>
      </c>
      <c r="K103" s="170">
        <f>'time-factors'!L$43</f>
        <v>0.05</v>
      </c>
      <c r="L103" s="173">
        <f t="shared" si="38"/>
        <v>7.527453419867169</v>
      </c>
      <c r="M103" s="170">
        <v>0</v>
      </c>
      <c r="N103" s="96">
        <f t="shared" si="39"/>
        <v>0</v>
      </c>
      <c r="O103" s="167" cm="1">
        <f t="array" ref="O103">IFERROR(_xlfn.IFS(E103="Heavy", 'vehicle E calcs'!$H$33,E103="Cars/vans",'vehicle E calcs'!$H$32),"")</f>
        <v>7.1233383316924828</v>
      </c>
      <c r="P103" s="106">
        <v>200</v>
      </c>
      <c r="Q103" s="108">
        <f t="shared" si="40"/>
        <v>1.4246676663384965</v>
      </c>
      <c r="R103" s="107">
        <f t="shared" si="41"/>
        <v>8.9521210862056648</v>
      </c>
      <c r="S103" s="107" cm="1">
        <f t="array" ref="S103">_xlfn.IFS(E103="Heavy", 'vehicle E calcs'!$T$21,E103="Cars/vans",'vehicle E calcs'!$S$21)*O103</f>
        <v>24.362584419881831</v>
      </c>
      <c r="T103" s="109">
        <v>0.27</v>
      </c>
      <c r="U103" s="23">
        <f t="shared" si="42"/>
        <v>6.5778977933680949</v>
      </c>
      <c r="V103" s="23">
        <f t="shared" si="43"/>
        <v>1.3609395231454169</v>
      </c>
      <c r="W103" s="106">
        <f t="shared" si="55"/>
        <v>168</v>
      </c>
      <c r="X103" s="23">
        <f t="shared" si="44"/>
        <v>4.0929141825401478</v>
      </c>
      <c r="Y103" s="96">
        <f t="shared" si="56"/>
        <v>0</v>
      </c>
      <c r="Z103" s="23">
        <f t="shared" si="46"/>
        <v>0</v>
      </c>
      <c r="AA103" s="107">
        <f t="shared" si="47"/>
        <v>4.859206903665517</v>
      </c>
      <c r="AB103" s="23">
        <f t="shared" si="48"/>
        <v>0.73871730092319465</v>
      </c>
      <c r="AD103" s="107">
        <f t="shared" si="49"/>
        <v>1.1443554850390691</v>
      </c>
      <c r="AE103" s="23">
        <f t="shared" si="50"/>
        <v>0</v>
      </c>
      <c r="AF103" s="108">
        <f t="shared" si="51"/>
        <v>0.2165840381063478</v>
      </c>
      <c r="AH103" s="104">
        <f t="shared" si="53"/>
        <v>0.12906679256479492</v>
      </c>
      <c r="AJ103" s="104">
        <f t="shared" si="54"/>
        <v>7.6384074508801358</v>
      </c>
      <c r="AK103" s="23">
        <f t="shared" si="52"/>
        <v>0.73871730092319465</v>
      </c>
    </row>
    <row r="104" spans="1:37" x14ac:dyDescent="0.35">
      <c r="A104" s="23">
        <v>11</v>
      </c>
      <c r="B104" s="118" t="s">
        <v>150</v>
      </c>
      <c r="C104" s="23" t="s">
        <v>139</v>
      </c>
      <c r="D104" s="23" t="s">
        <v>171</v>
      </c>
      <c r="E104" s="23" t="s">
        <v>128</v>
      </c>
      <c r="F104" s="23" t="s">
        <v>83</v>
      </c>
      <c r="G104" s="167">
        <f>'time-factors'!E$37*'time-factors'!B61</f>
        <v>5.86667238930886E-2</v>
      </c>
      <c r="H104" s="166">
        <f>'time-factors'!M61</f>
        <v>58.125</v>
      </c>
      <c r="I104" s="96" t="s">
        <v>98</v>
      </c>
      <c r="J104" s="96">
        <f>'time-factors'!R$43</f>
        <v>10</v>
      </c>
      <c r="K104" s="170">
        <f>'time-factors'!L$43</f>
        <v>0.05</v>
      </c>
      <c r="L104" s="173">
        <f t="shared" si="38"/>
        <v>7.527453419867169</v>
      </c>
      <c r="M104" s="170">
        <v>0</v>
      </c>
      <c r="N104" s="96">
        <f t="shared" si="39"/>
        <v>0</v>
      </c>
      <c r="O104" s="167" cm="1">
        <f t="array" ref="O104">IFERROR(_xlfn.IFS(E104="Heavy", 'vehicle E calcs'!$H$33,E104="Cars/vans",'vehicle E calcs'!$H$32),"")</f>
        <v>6.3768270755398833</v>
      </c>
      <c r="P104" s="106">
        <v>200</v>
      </c>
      <c r="Q104" s="108">
        <f t="shared" si="40"/>
        <v>1.2753654151079765</v>
      </c>
      <c r="R104" s="107">
        <f t="shared" si="41"/>
        <v>8.8028188349751453</v>
      </c>
      <c r="S104" s="107" cm="1">
        <f t="array" ref="S104">_xlfn.IFS(E104="Heavy", 'vehicle E calcs'!$T$21,E104="Cars/vans",'vehicle E calcs'!$S$21)*O104</f>
        <v>23.354986057632608</v>
      </c>
      <c r="T104" s="109">
        <v>0.27</v>
      </c>
      <c r="U104" s="23">
        <f t="shared" si="42"/>
        <v>6.3058462355608045</v>
      </c>
      <c r="V104" s="23">
        <f t="shared" si="43"/>
        <v>1.3959774003579513</v>
      </c>
      <c r="W104" s="106">
        <f t="shared" si="55"/>
        <v>168</v>
      </c>
      <c r="X104" s="23">
        <f t="shared" si="44"/>
        <v>3.9236376576822782</v>
      </c>
      <c r="Y104" s="96">
        <f t="shared" si="56"/>
        <v>0</v>
      </c>
      <c r="Z104" s="23">
        <f t="shared" si="46"/>
        <v>0</v>
      </c>
      <c r="AA104" s="107">
        <f t="shared" si="47"/>
        <v>4.8791811772928675</v>
      </c>
      <c r="AB104" s="23">
        <f t="shared" si="48"/>
        <v>0.77375517813572914</v>
      </c>
      <c r="AD104" s="107">
        <f t="shared" si="49"/>
        <v>1.1937261294792296</v>
      </c>
      <c r="AE104" s="23">
        <f t="shared" si="50"/>
        <v>0</v>
      </c>
      <c r="AF104" s="108">
        <f t="shared" si="51"/>
        <v>0.20225127087872183</v>
      </c>
      <c r="AH104" s="104">
        <f t="shared" si="53"/>
        <v>5.86667238930886E-2</v>
      </c>
      <c r="AJ104" s="104">
        <f t="shared" si="54"/>
        <v>7.6970741747732241</v>
      </c>
      <c r="AK104" s="23">
        <f t="shared" si="52"/>
        <v>0.77375517813572914</v>
      </c>
    </row>
    <row r="105" spans="1:37" x14ac:dyDescent="0.35">
      <c r="A105" s="23">
        <v>6</v>
      </c>
      <c r="B105" s="118" t="s">
        <v>146</v>
      </c>
      <c r="C105" s="23" t="s">
        <v>139</v>
      </c>
      <c r="D105" s="23" t="s">
        <v>171</v>
      </c>
      <c r="E105" s="23" t="s">
        <v>188</v>
      </c>
      <c r="F105" s="23" t="s">
        <v>83</v>
      </c>
      <c r="G105" s="167">
        <f>'time-factors'!E$37*'time-factors'!B56</f>
        <v>0.17013349928995694</v>
      </c>
      <c r="H105" s="166">
        <f>'time-factors'!M56</f>
        <v>111.48396000000001</v>
      </c>
      <c r="I105" s="96" t="s">
        <v>98</v>
      </c>
      <c r="J105" s="96">
        <f>'time-factors'!R$43</f>
        <v>10</v>
      </c>
      <c r="K105" s="170">
        <f>'time-factors'!L$43</f>
        <v>0.05</v>
      </c>
      <c r="L105" s="173">
        <f t="shared" si="38"/>
        <v>14.437682855265974</v>
      </c>
      <c r="M105" s="170">
        <v>0</v>
      </c>
      <c r="N105" s="96">
        <f t="shared" si="39"/>
        <v>0</v>
      </c>
      <c r="O105" s="167" cm="1">
        <f t="array" ref="O105">IFERROR(_xlfn.IFS(E105="Heavy", 'vehicle E calcs'!$H$33,E105="Cars/vans",'vehicle E calcs'!$H$32),"")</f>
        <v>7.1233383316924828</v>
      </c>
      <c r="P105" s="106">
        <v>200</v>
      </c>
      <c r="Q105" s="108">
        <f t="shared" si="40"/>
        <v>1.4246676663384965</v>
      </c>
      <c r="R105" s="107">
        <f t="shared" si="41"/>
        <v>15.862350521604471</v>
      </c>
      <c r="S105" s="107" cm="1">
        <f t="array" ref="S105">_xlfn.IFS(E105="Heavy", 'vehicle E calcs'!$T$21,E105="Cars/vans",'vehicle E calcs'!$S$21)*O105</f>
        <v>24.362584419881831</v>
      </c>
      <c r="T105" s="109">
        <v>0.27</v>
      </c>
      <c r="U105" s="23">
        <f t="shared" si="42"/>
        <v>6.5778977933680949</v>
      </c>
      <c r="V105" s="23">
        <f t="shared" si="43"/>
        <v>2.4114619928569061</v>
      </c>
      <c r="W105" s="106">
        <f t="shared" si="55"/>
        <v>168</v>
      </c>
      <c r="X105" s="23">
        <f t="shared" si="44"/>
        <v>4.0929141825401478</v>
      </c>
      <c r="Y105" s="96">
        <f t="shared" si="56"/>
        <v>0</v>
      </c>
      <c r="Z105" s="23">
        <f t="shared" si="46"/>
        <v>0</v>
      </c>
      <c r="AA105" s="107">
        <f t="shared" si="47"/>
        <v>11.769436339064324</v>
      </c>
      <c r="AB105" s="23">
        <f t="shared" si="48"/>
        <v>1.7892397706346841</v>
      </c>
      <c r="AD105" s="107">
        <f t="shared" si="49"/>
        <v>2.1948779547505581</v>
      </c>
      <c r="AE105" s="23">
        <f t="shared" si="50"/>
        <v>0</v>
      </c>
      <c r="AF105" s="108">
        <f t="shared" si="51"/>
        <v>0.2165840381063478</v>
      </c>
      <c r="AH105" s="104">
        <f t="shared" si="53"/>
        <v>0.17013349928995694</v>
      </c>
      <c r="AJ105" s="104">
        <f t="shared" si="54"/>
        <v>7.8672076740631809</v>
      </c>
      <c r="AK105" s="23">
        <f t="shared" si="52"/>
        <v>1.7892397706346841</v>
      </c>
    </row>
    <row r="106" spans="1:37" x14ac:dyDescent="0.35">
      <c r="A106" s="23">
        <v>1</v>
      </c>
      <c r="B106" s="118" t="s">
        <v>141</v>
      </c>
      <c r="C106" s="23" t="s">
        <v>139</v>
      </c>
      <c r="D106" s="23" t="s">
        <v>171</v>
      </c>
      <c r="E106" s="23" t="s">
        <v>128</v>
      </c>
      <c r="F106" s="23" t="s">
        <v>83</v>
      </c>
      <c r="G106" s="167">
        <f>'time-factors'!E$37*'time-factors'!B51</f>
        <v>0.20533353362581011</v>
      </c>
      <c r="H106" s="166">
        <f>'time-factors'!M51</f>
        <v>149.308875</v>
      </c>
      <c r="I106" s="96" t="s">
        <v>98</v>
      </c>
      <c r="J106" s="96">
        <f>'time-factors'!R$43</f>
        <v>10</v>
      </c>
      <c r="K106" s="170">
        <f>'time-factors'!L$43</f>
        <v>0.05</v>
      </c>
      <c r="L106" s="173">
        <f t="shared" si="38"/>
        <v>19.336182395445498</v>
      </c>
      <c r="M106" s="170">
        <v>0</v>
      </c>
      <c r="N106" s="96">
        <f t="shared" si="39"/>
        <v>0</v>
      </c>
      <c r="O106" s="167" cm="1">
        <f t="array" ref="O106">IFERROR(_xlfn.IFS(E106="Heavy", 'vehicle E calcs'!$H$33,E106="Cars/vans",'vehicle E calcs'!$H$32),"")</f>
        <v>6.3768270755398833</v>
      </c>
      <c r="P106" s="106">
        <v>200</v>
      </c>
      <c r="Q106" s="108">
        <f t="shared" si="40"/>
        <v>1.2753654151079765</v>
      </c>
      <c r="R106" s="107">
        <f t="shared" si="41"/>
        <v>20.611547810553475</v>
      </c>
      <c r="S106" s="107" cm="1">
        <f t="array" ref="S106">_xlfn.IFS(E106="Heavy", 'vehicle E calcs'!$T$21,E106="Cars/vans",'vehicle E calcs'!$S$21)*O106</f>
        <v>23.354986057632608</v>
      </c>
      <c r="T106" s="109">
        <v>0.27</v>
      </c>
      <c r="U106" s="23">
        <f t="shared" si="42"/>
        <v>6.3058462355608045</v>
      </c>
      <c r="V106" s="23">
        <f t="shared" si="43"/>
        <v>3.2686410420726673</v>
      </c>
      <c r="W106" s="106">
        <f t="shared" si="55"/>
        <v>168</v>
      </c>
      <c r="X106" s="23">
        <f t="shared" si="44"/>
        <v>3.9236376576822782</v>
      </c>
      <c r="Y106" s="96">
        <f t="shared" si="56"/>
        <v>0</v>
      </c>
      <c r="Z106" s="23">
        <f t="shared" si="46"/>
        <v>0</v>
      </c>
      <c r="AA106" s="107">
        <f t="shared" si="47"/>
        <v>16.687910152871197</v>
      </c>
      <c r="AB106" s="23">
        <f t="shared" si="48"/>
        <v>2.6464188198504455</v>
      </c>
      <c r="AD106" s="107">
        <f t="shared" si="49"/>
        <v>3.0663897711939456</v>
      </c>
      <c r="AE106" s="23">
        <f t="shared" si="50"/>
        <v>0</v>
      </c>
      <c r="AF106" s="108">
        <f t="shared" si="51"/>
        <v>0.20225127087872183</v>
      </c>
      <c r="AH106" s="104">
        <f t="shared" si="53"/>
        <v>0.20533353362581011</v>
      </c>
      <c r="AJ106" s="104">
        <f t="shared" si="54"/>
        <v>8.0725412076889906</v>
      </c>
      <c r="AK106" s="23">
        <f t="shared" si="52"/>
        <v>2.6464188198504455</v>
      </c>
    </row>
    <row r="107" spans="1:37" x14ac:dyDescent="0.35">
      <c r="A107" s="23">
        <v>4</v>
      </c>
      <c r="B107" s="118" t="s">
        <v>144</v>
      </c>
      <c r="C107" s="23" t="s">
        <v>139</v>
      </c>
      <c r="D107" s="23" t="s">
        <v>171</v>
      </c>
      <c r="E107" s="23" t="s">
        <v>188</v>
      </c>
      <c r="F107" s="23" t="s">
        <v>83</v>
      </c>
      <c r="G107" s="167">
        <f>'time-factors'!E$37*'time-factors'!B54</f>
        <v>8.8000085839632897E-2</v>
      </c>
      <c r="H107" s="166">
        <f>'time-factors'!M54</f>
        <v>216</v>
      </c>
      <c r="I107" s="96" t="s">
        <v>98</v>
      </c>
      <c r="J107" s="96">
        <f>'time-factors'!R$43</f>
        <v>10</v>
      </c>
      <c r="K107" s="170">
        <f>'time-factors'!L$43</f>
        <v>0.05</v>
      </c>
      <c r="L107" s="173">
        <f t="shared" si="38"/>
        <v>27.97298819253864</v>
      </c>
      <c r="M107" s="170">
        <v>0</v>
      </c>
      <c r="N107" s="96">
        <f t="shared" si="39"/>
        <v>0</v>
      </c>
      <c r="O107" s="167" cm="1">
        <f t="array" ref="O107">IFERROR(_xlfn.IFS(E107="Heavy", 'vehicle E calcs'!$H$33,E107="Cars/vans",'vehicle E calcs'!$H$32),"")</f>
        <v>7.1233383316924828</v>
      </c>
      <c r="P107" s="106">
        <v>200</v>
      </c>
      <c r="Q107" s="108">
        <f t="shared" si="40"/>
        <v>1.4246676663384965</v>
      </c>
      <c r="R107" s="107">
        <f t="shared" si="41"/>
        <v>29.397655858877137</v>
      </c>
      <c r="S107" s="107" cm="1">
        <f t="array" ref="S107">_xlfn.IFS(E107="Heavy", 'vehicle E calcs'!$T$21,E107="Cars/vans",'vehicle E calcs'!$S$21)*O107</f>
        <v>24.362584419881831</v>
      </c>
      <c r="T107" s="109">
        <v>0.27</v>
      </c>
      <c r="U107" s="23">
        <f t="shared" si="42"/>
        <v>6.5778977933680949</v>
      </c>
      <c r="V107" s="23">
        <f t="shared" si="43"/>
        <v>4.4691566792837918</v>
      </c>
      <c r="W107" s="106">
        <f t="shared" si="55"/>
        <v>168</v>
      </c>
      <c r="X107" s="23">
        <f t="shared" si="44"/>
        <v>4.0929141825401478</v>
      </c>
      <c r="Y107" s="96">
        <f t="shared" si="56"/>
        <v>0</v>
      </c>
      <c r="Z107" s="23">
        <f t="shared" si="46"/>
        <v>0</v>
      </c>
      <c r="AA107" s="107">
        <f t="shared" si="47"/>
        <v>25.304741676336988</v>
      </c>
      <c r="AB107" s="23">
        <f t="shared" si="48"/>
        <v>3.8469344570615696</v>
      </c>
      <c r="AD107" s="107">
        <f t="shared" si="49"/>
        <v>4.2525726411774443</v>
      </c>
      <c r="AE107" s="23">
        <f t="shared" si="50"/>
        <v>0</v>
      </c>
      <c r="AF107" s="108">
        <f t="shared" si="51"/>
        <v>0.2165840381063478</v>
      </c>
      <c r="AH107" s="104">
        <f t="shared" si="53"/>
        <v>8.8000085839632897E-2</v>
      </c>
      <c r="AJ107" s="104">
        <f t="shared" si="54"/>
        <v>8.1605412935286239</v>
      </c>
      <c r="AK107" s="23">
        <f t="shared" si="52"/>
        <v>3.8469344570615696</v>
      </c>
    </row>
    <row r="108" spans="1:37" ht="29" x14ac:dyDescent="0.35">
      <c r="A108" s="23">
        <v>7</v>
      </c>
      <c r="B108" s="118" t="s">
        <v>147</v>
      </c>
      <c r="C108" s="23" t="s">
        <v>139</v>
      </c>
      <c r="D108" s="23" t="s">
        <v>171</v>
      </c>
      <c r="E108" s="23" t="s">
        <v>188</v>
      </c>
      <c r="F108" s="23" t="s">
        <v>83</v>
      </c>
      <c r="G108" s="167">
        <f>'time-factors'!E$37*'time-factors'!B57</f>
        <v>0.1466668097327215</v>
      </c>
      <c r="H108" s="166">
        <f>'time-factors'!M57</f>
        <v>216</v>
      </c>
      <c r="I108" s="96" t="s">
        <v>98</v>
      </c>
      <c r="J108" s="96">
        <f>'time-factors'!R$43</f>
        <v>10</v>
      </c>
      <c r="K108" s="170">
        <f>'time-factors'!L$43</f>
        <v>0.05</v>
      </c>
      <c r="L108" s="173">
        <f t="shared" si="38"/>
        <v>27.97298819253864</v>
      </c>
      <c r="M108" s="170">
        <v>0</v>
      </c>
      <c r="N108" s="96">
        <f t="shared" si="39"/>
        <v>0</v>
      </c>
      <c r="O108" s="167" cm="1">
        <f t="array" ref="O108">IFERROR(_xlfn.IFS(E108="Heavy", 'vehicle E calcs'!$H$33,E108="Cars/vans",'vehicle E calcs'!$H$32),"")</f>
        <v>7.1233383316924828</v>
      </c>
      <c r="P108" s="106">
        <v>200</v>
      </c>
      <c r="Q108" s="108">
        <f t="shared" si="40"/>
        <v>1.4246676663384965</v>
      </c>
      <c r="R108" s="107">
        <f t="shared" si="41"/>
        <v>29.397655858877137</v>
      </c>
      <c r="S108" s="107" cm="1">
        <f t="array" ref="S108">_xlfn.IFS(E108="Heavy", 'vehicle E calcs'!$T$21,E108="Cars/vans",'vehicle E calcs'!$S$21)*O108</f>
        <v>24.362584419881831</v>
      </c>
      <c r="T108" s="109">
        <v>0.27</v>
      </c>
      <c r="U108" s="23">
        <f t="shared" si="42"/>
        <v>6.5778977933680949</v>
      </c>
      <c r="V108" s="23">
        <f t="shared" si="43"/>
        <v>4.4691566792837918</v>
      </c>
      <c r="W108" s="106">
        <f t="shared" si="55"/>
        <v>168</v>
      </c>
      <c r="X108" s="23">
        <f t="shared" si="44"/>
        <v>4.0929141825401478</v>
      </c>
      <c r="Y108" s="96">
        <f t="shared" si="56"/>
        <v>0</v>
      </c>
      <c r="Z108" s="23">
        <f t="shared" si="46"/>
        <v>0</v>
      </c>
      <c r="AA108" s="107">
        <f t="shared" si="47"/>
        <v>25.304741676336988</v>
      </c>
      <c r="AB108" s="23">
        <f t="shared" si="48"/>
        <v>3.8469344570615696</v>
      </c>
      <c r="AD108" s="107">
        <f t="shared" si="49"/>
        <v>4.2525726411774443</v>
      </c>
      <c r="AE108" s="23">
        <f t="shared" si="50"/>
        <v>0</v>
      </c>
      <c r="AF108" s="108">
        <f t="shared" si="51"/>
        <v>0.2165840381063478</v>
      </c>
      <c r="AH108" s="104">
        <f t="shared" si="53"/>
        <v>0.1466668097327215</v>
      </c>
      <c r="AJ108" s="104">
        <f t="shared" si="54"/>
        <v>8.3072081032613454</v>
      </c>
      <c r="AK108" s="23">
        <f t="shared" si="52"/>
        <v>3.8469344570615696</v>
      </c>
    </row>
    <row r="109" spans="1:37" x14ac:dyDescent="0.35">
      <c r="A109" s="23">
        <v>9</v>
      </c>
      <c r="B109" s="118" t="s">
        <v>149</v>
      </c>
      <c r="C109" s="23" t="s">
        <v>139</v>
      </c>
      <c r="D109" s="23" t="s">
        <v>171</v>
      </c>
      <c r="E109" s="23" t="s">
        <v>188</v>
      </c>
      <c r="F109" s="23" t="s">
        <v>83</v>
      </c>
      <c r="G109" s="167">
        <f>'time-factors'!E$37*'time-factors'!B59</f>
        <v>5.86667238930886E-2</v>
      </c>
      <c r="H109" s="166">
        <f>'time-factors'!M59</f>
        <v>216</v>
      </c>
      <c r="I109" s="96" t="s">
        <v>98</v>
      </c>
      <c r="J109" s="96">
        <f>'time-factors'!R$43</f>
        <v>10</v>
      </c>
      <c r="K109" s="170">
        <f>'time-factors'!L$43</f>
        <v>0.05</v>
      </c>
      <c r="L109" s="173">
        <f t="shared" si="38"/>
        <v>27.97298819253864</v>
      </c>
      <c r="M109" s="170">
        <v>0</v>
      </c>
      <c r="N109" s="96">
        <f t="shared" si="39"/>
        <v>0</v>
      </c>
      <c r="O109" s="167" cm="1">
        <f t="array" ref="O109">IFERROR(_xlfn.IFS(E109="Heavy", 'vehicle E calcs'!$H$33,E109="Cars/vans",'vehicle E calcs'!$H$32),"")</f>
        <v>7.1233383316924828</v>
      </c>
      <c r="P109" s="106">
        <v>200</v>
      </c>
      <c r="Q109" s="108">
        <f t="shared" si="40"/>
        <v>1.4246676663384965</v>
      </c>
      <c r="R109" s="107">
        <f t="shared" si="41"/>
        <v>29.397655858877137</v>
      </c>
      <c r="S109" s="107" cm="1">
        <f t="array" ref="S109">_xlfn.IFS(E109="Heavy", 'vehicle E calcs'!$T$21,E109="Cars/vans",'vehicle E calcs'!$S$21)*O109</f>
        <v>24.362584419881831</v>
      </c>
      <c r="T109" s="109">
        <v>0.27</v>
      </c>
      <c r="U109" s="23">
        <f t="shared" si="42"/>
        <v>6.5778977933680949</v>
      </c>
      <c r="V109" s="23">
        <f t="shared" si="43"/>
        <v>4.4691566792837918</v>
      </c>
      <c r="W109" s="106">
        <f t="shared" si="55"/>
        <v>168</v>
      </c>
      <c r="X109" s="23">
        <f t="shared" si="44"/>
        <v>4.0929141825401478</v>
      </c>
      <c r="Y109" s="96">
        <f t="shared" si="56"/>
        <v>0</v>
      </c>
      <c r="Z109" s="23">
        <f t="shared" si="46"/>
        <v>0</v>
      </c>
      <c r="AA109" s="107">
        <f t="shared" si="47"/>
        <v>25.304741676336988</v>
      </c>
      <c r="AB109" s="23">
        <f t="shared" si="48"/>
        <v>3.8469344570615696</v>
      </c>
      <c r="AD109" s="107">
        <f t="shared" si="49"/>
        <v>4.2525726411774443</v>
      </c>
      <c r="AE109" s="23">
        <f t="shared" si="50"/>
        <v>0</v>
      </c>
      <c r="AF109" s="108">
        <f t="shared" si="51"/>
        <v>0.2165840381063478</v>
      </c>
      <c r="AH109" s="104">
        <f t="shared" si="53"/>
        <v>5.86667238930886E-2</v>
      </c>
      <c r="AJ109" s="104">
        <f t="shared" si="54"/>
        <v>8.3658748271544336</v>
      </c>
      <c r="AK109" s="23">
        <f t="shared" si="52"/>
        <v>3.8469344570615696</v>
      </c>
    </row>
    <row r="110" spans="1:37" x14ac:dyDescent="0.35">
      <c r="A110" s="23">
        <v>15</v>
      </c>
      <c r="B110" s="118" t="s">
        <v>153</v>
      </c>
      <c r="C110" s="23" t="s">
        <v>139</v>
      </c>
      <c r="D110" s="23" t="s">
        <v>171</v>
      </c>
      <c r="E110" s="23" t="s">
        <v>188</v>
      </c>
      <c r="F110" s="23" t="s">
        <v>83</v>
      </c>
      <c r="G110" s="167">
        <f>'time-factors'!E$37*'time-factors'!B65</f>
        <v>9.3866758228941763E-2</v>
      </c>
      <c r="H110" s="166">
        <f>'time-factors'!M65</f>
        <v>216</v>
      </c>
      <c r="I110" s="96" t="s">
        <v>98</v>
      </c>
      <c r="J110" s="96">
        <f>'time-factors'!R$43</f>
        <v>10</v>
      </c>
      <c r="K110" s="170">
        <f>'time-factors'!L$43</f>
        <v>0.05</v>
      </c>
      <c r="L110" s="173">
        <f t="shared" si="38"/>
        <v>27.97298819253864</v>
      </c>
      <c r="M110" s="170">
        <v>0</v>
      </c>
      <c r="N110" s="96">
        <f t="shared" si="39"/>
        <v>0</v>
      </c>
      <c r="O110" s="167" cm="1">
        <f t="array" ref="O110">IFERROR(_xlfn.IFS(E110="Heavy", 'vehicle E calcs'!$H$33,E110="Cars/vans",'vehicle E calcs'!$H$32),"")</f>
        <v>7.1233383316924828</v>
      </c>
      <c r="P110" s="106">
        <v>200</v>
      </c>
      <c r="Q110" s="108">
        <f t="shared" si="40"/>
        <v>1.4246676663384965</v>
      </c>
      <c r="R110" s="107">
        <f t="shared" si="41"/>
        <v>29.397655858877137</v>
      </c>
      <c r="S110" s="107" cm="1">
        <f t="array" ref="S110">_xlfn.IFS(E110="Heavy", 'vehicle E calcs'!$T$21,E110="Cars/vans",'vehicle E calcs'!$S$21)*O110</f>
        <v>24.362584419881831</v>
      </c>
      <c r="T110" s="109">
        <v>0.27</v>
      </c>
      <c r="U110" s="23">
        <f t="shared" si="42"/>
        <v>6.5778977933680949</v>
      </c>
      <c r="V110" s="23">
        <f t="shared" si="43"/>
        <v>4.4691566792837918</v>
      </c>
      <c r="W110" s="106">
        <f t="shared" si="55"/>
        <v>168</v>
      </c>
      <c r="X110" s="23">
        <f t="shared" si="44"/>
        <v>4.0929141825401478</v>
      </c>
      <c r="Y110" s="96">
        <f t="shared" si="56"/>
        <v>0</v>
      </c>
      <c r="Z110" s="23">
        <f t="shared" si="46"/>
        <v>0</v>
      </c>
      <c r="AA110" s="107">
        <f t="shared" si="47"/>
        <v>25.304741676336988</v>
      </c>
      <c r="AB110" s="23">
        <f t="shared" si="48"/>
        <v>3.8469344570615696</v>
      </c>
      <c r="AD110" s="107">
        <f t="shared" si="49"/>
        <v>4.2525726411774443</v>
      </c>
      <c r="AE110" s="23">
        <f t="shared" si="50"/>
        <v>0</v>
      </c>
      <c r="AF110" s="108">
        <f t="shared" si="51"/>
        <v>0.2165840381063478</v>
      </c>
      <c r="AH110" s="104">
        <f t="shared" si="53"/>
        <v>9.3866758228941763E-2</v>
      </c>
      <c r="AJ110" s="104">
        <f t="shared" si="54"/>
        <v>8.4597415853833748</v>
      </c>
      <c r="AK110" s="23">
        <f t="shared" si="52"/>
        <v>3.8469344570615696</v>
      </c>
    </row>
    <row r="111" spans="1:37" x14ac:dyDescent="0.35">
      <c r="A111" s="23">
        <v>3</v>
      </c>
      <c r="B111" s="118" t="s">
        <v>143</v>
      </c>
      <c r="C111" s="23" t="s">
        <v>139</v>
      </c>
      <c r="D111" s="23" t="s">
        <v>171</v>
      </c>
      <c r="E111" s="23" t="s">
        <v>188</v>
      </c>
      <c r="F111" s="23" t="s">
        <v>83</v>
      </c>
      <c r="G111" s="167">
        <f>'time-factors'!E$37*'time-factors'!B53</f>
        <v>0.12906679256479492</v>
      </c>
      <c r="H111" s="166">
        <f>'time-factors'!M53</f>
        <v>228.435</v>
      </c>
      <c r="I111" s="96" t="s">
        <v>98</v>
      </c>
      <c r="J111" s="96">
        <f>'time-factors'!R$43</f>
        <v>10</v>
      </c>
      <c r="K111" s="170">
        <f>'time-factors'!L$43</f>
        <v>0.05</v>
      </c>
      <c r="L111" s="173">
        <f t="shared" si="38"/>
        <v>29.583377582234093</v>
      </c>
      <c r="M111" s="170">
        <v>0</v>
      </c>
      <c r="N111" s="96">
        <f t="shared" si="39"/>
        <v>0</v>
      </c>
      <c r="O111" s="167" cm="1">
        <f t="array" ref="O111">IFERROR(_xlfn.IFS(E111="Heavy", 'vehicle E calcs'!$H$33,E111="Cars/vans",'vehicle E calcs'!$H$32),"")</f>
        <v>7.1233383316924828</v>
      </c>
      <c r="P111" s="106">
        <v>200</v>
      </c>
      <c r="Q111" s="108">
        <f t="shared" si="40"/>
        <v>1.4246676663384965</v>
      </c>
      <c r="R111" s="107">
        <f t="shared" si="41"/>
        <v>31.008045248572589</v>
      </c>
      <c r="S111" s="107" cm="1">
        <f t="array" ref="S111">_xlfn.IFS(E111="Heavy", 'vehicle E calcs'!$T$21,E111="Cars/vans",'vehicle E calcs'!$S$21)*O111</f>
        <v>24.362584419881831</v>
      </c>
      <c r="T111" s="109">
        <v>0.27</v>
      </c>
      <c r="U111" s="23">
        <f t="shared" si="42"/>
        <v>6.5778977933680949</v>
      </c>
      <c r="V111" s="23">
        <f t="shared" si="43"/>
        <v>4.7139749236960204</v>
      </c>
      <c r="W111" s="106">
        <f t="shared" si="55"/>
        <v>168</v>
      </c>
      <c r="X111" s="23">
        <f t="shared" si="44"/>
        <v>4.0929141825401478</v>
      </c>
      <c r="Y111" s="96">
        <f t="shared" si="56"/>
        <v>0</v>
      </c>
      <c r="Z111" s="23">
        <f t="shared" si="46"/>
        <v>0</v>
      </c>
      <c r="AA111" s="107">
        <f t="shared" si="47"/>
        <v>26.915131066032441</v>
      </c>
      <c r="AB111" s="23">
        <f t="shared" si="48"/>
        <v>4.0917527014737987</v>
      </c>
      <c r="AD111" s="107">
        <f t="shared" si="49"/>
        <v>4.4973908855896729</v>
      </c>
      <c r="AE111" s="23">
        <f t="shared" si="50"/>
        <v>0</v>
      </c>
      <c r="AF111" s="108">
        <f t="shared" si="51"/>
        <v>0.2165840381063478</v>
      </c>
      <c r="AH111" s="104">
        <f t="shared" si="53"/>
        <v>0.12906679256479492</v>
      </c>
      <c r="AJ111" s="104">
        <f t="shared" si="54"/>
        <v>8.588808377948169</v>
      </c>
      <c r="AK111" s="23">
        <f t="shared" si="52"/>
        <v>4.0917527014737987</v>
      </c>
    </row>
    <row r="112" spans="1:37" x14ac:dyDescent="0.35">
      <c r="A112" s="23">
        <v>17</v>
      </c>
      <c r="B112" s="118" t="s">
        <v>143</v>
      </c>
      <c r="C112" s="23" t="s">
        <v>156</v>
      </c>
      <c r="D112" s="23" t="s">
        <v>171</v>
      </c>
      <c r="E112" s="23" t="s">
        <v>188</v>
      </c>
      <c r="F112" s="23" t="s">
        <v>83</v>
      </c>
      <c r="G112" s="167">
        <f>'time-factors'!E$37*'time-factors'!B67</f>
        <v>0.1173334477861772</v>
      </c>
      <c r="H112" s="166">
        <f>'time-factors'!M67</f>
        <v>231</v>
      </c>
      <c r="I112" s="96" t="s">
        <v>98</v>
      </c>
      <c r="J112" s="96">
        <f>'time-factors'!R$44</f>
        <v>10</v>
      </c>
      <c r="K112" s="170">
        <f>'time-factors'!L$44</f>
        <v>0.05</v>
      </c>
      <c r="L112" s="173">
        <f t="shared" si="38"/>
        <v>29.915556817020491</v>
      </c>
      <c r="M112" s="170">
        <v>0</v>
      </c>
      <c r="N112" s="96">
        <f t="shared" si="39"/>
        <v>0</v>
      </c>
      <c r="O112" s="167" cm="1">
        <f t="array" ref="O112">IFERROR(_xlfn.IFS(E112="Heavy", 'vehicle E calcs'!$H$33,E112="Cars/vans",'vehicle E calcs'!$H$32),"")</f>
        <v>7.1233383316924828</v>
      </c>
      <c r="P112" s="106">
        <v>300</v>
      </c>
      <c r="Q112" s="108">
        <f t="shared" si="40"/>
        <v>2.1370014995077451</v>
      </c>
      <c r="R112" s="107">
        <f t="shared" si="41"/>
        <v>32.052558316528234</v>
      </c>
      <c r="S112" s="107" cm="1">
        <f t="array" ref="S112">_xlfn.IFS(E112="Heavy", 'vehicle E calcs'!$T$21,E112="Cars/vans",'vehicle E calcs'!$S$21)*O112</f>
        <v>24.362584419881831</v>
      </c>
      <c r="T112" s="109">
        <v>0.27</v>
      </c>
      <c r="U112" s="23">
        <f t="shared" si="42"/>
        <v>6.5778977933680949</v>
      </c>
      <c r="V112" s="23">
        <f t="shared" si="43"/>
        <v>4.8727662428631771</v>
      </c>
      <c r="W112" s="106">
        <f t="shared" si="55"/>
        <v>168</v>
      </c>
      <c r="X112" s="23">
        <f t="shared" si="44"/>
        <v>4.0929141825401478</v>
      </c>
      <c r="Y112" s="96">
        <f t="shared" si="56"/>
        <v>0</v>
      </c>
      <c r="Z112" s="23">
        <f t="shared" si="46"/>
        <v>0</v>
      </c>
      <c r="AA112" s="107">
        <f t="shared" si="47"/>
        <v>27.959644133988085</v>
      </c>
      <c r="AB112" s="23">
        <f t="shared" si="48"/>
        <v>4.2505440206409544</v>
      </c>
      <c r="AD112" s="107">
        <f t="shared" si="49"/>
        <v>4.5478901857036558</v>
      </c>
      <c r="AE112" s="23">
        <f t="shared" si="50"/>
        <v>0</v>
      </c>
      <c r="AF112" s="108">
        <f t="shared" si="51"/>
        <v>0.32487605715952173</v>
      </c>
      <c r="AH112" s="104">
        <f t="shared" si="53"/>
        <v>0.1173334477861772</v>
      </c>
      <c r="AJ112" s="104">
        <f t="shared" si="54"/>
        <v>8.7061418257343455</v>
      </c>
      <c r="AK112" s="23">
        <f t="shared" si="52"/>
        <v>4.2505440206409544</v>
      </c>
    </row>
    <row r="113" spans="1:37" x14ac:dyDescent="0.35">
      <c r="A113" s="23">
        <v>18</v>
      </c>
      <c r="B113" s="119" t="s">
        <v>148</v>
      </c>
      <c r="C113" s="23" t="s">
        <v>156</v>
      </c>
      <c r="D113" s="23" t="s">
        <v>171</v>
      </c>
      <c r="E113" s="23" t="s">
        <v>188</v>
      </c>
      <c r="F113" s="23" t="s">
        <v>83</v>
      </c>
      <c r="G113" s="167">
        <f>'time-factors'!E$37*'time-factors'!B68</f>
        <v>0.1173334477861772</v>
      </c>
      <c r="H113" s="166">
        <f>'time-factors'!M68</f>
        <v>231</v>
      </c>
      <c r="I113" s="96" t="s">
        <v>98</v>
      </c>
      <c r="J113" s="96">
        <f>'time-factors'!R$44</f>
        <v>10</v>
      </c>
      <c r="K113" s="170">
        <f>'time-factors'!L$44</f>
        <v>0.05</v>
      </c>
      <c r="L113" s="173">
        <f t="shared" si="38"/>
        <v>29.915556817020491</v>
      </c>
      <c r="M113" s="170">
        <v>0</v>
      </c>
      <c r="N113" s="96">
        <f t="shared" si="39"/>
        <v>0</v>
      </c>
      <c r="O113" s="167" cm="1">
        <f t="array" ref="O113">IFERROR(_xlfn.IFS(E113="Heavy", 'vehicle E calcs'!$H$33,E113="Cars/vans",'vehicle E calcs'!$H$32),"")</f>
        <v>7.1233383316924828</v>
      </c>
      <c r="P113" s="106">
        <v>300</v>
      </c>
      <c r="Q113" s="108">
        <f t="shared" si="40"/>
        <v>2.1370014995077451</v>
      </c>
      <c r="R113" s="107">
        <f t="shared" si="41"/>
        <v>32.052558316528234</v>
      </c>
      <c r="S113" s="107" cm="1">
        <f t="array" ref="S113">_xlfn.IFS(E113="Heavy", 'vehicle E calcs'!$T$21,E113="Cars/vans",'vehicle E calcs'!$S$21)*O113</f>
        <v>24.362584419881831</v>
      </c>
      <c r="T113" s="109">
        <v>0.27</v>
      </c>
      <c r="U113" s="23">
        <f t="shared" si="42"/>
        <v>6.5778977933680949</v>
      </c>
      <c r="V113" s="23">
        <f t="shared" si="43"/>
        <v>4.8727662428631771</v>
      </c>
      <c r="W113" s="106">
        <f t="shared" si="55"/>
        <v>168</v>
      </c>
      <c r="X113" s="23">
        <f t="shared" si="44"/>
        <v>4.0929141825401478</v>
      </c>
      <c r="Y113" s="96">
        <f t="shared" si="56"/>
        <v>0</v>
      </c>
      <c r="Z113" s="23">
        <f t="shared" si="46"/>
        <v>0</v>
      </c>
      <c r="AA113" s="107">
        <f t="shared" si="47"/>
        <v>27.959644133988085</v>
      </c>
      <c r="AB113" s="23">
        <f t="shared" si="48"/>
        <v>4.2505440206409544</v>
      </c>
      <c r="AD113" s="107">
        <f t="shared" si="49"/>
        <v>4.5478901857036558</v>
      </c>
      <c r="AE113" s="23">
        <f t="shared" si="50"/>
        <v>0</v>
      </c>
      <c r="AF113" s="108">
        <f t="shared" si="51"/>
        <v>0.32487605715952173</v>
      </c>
      <c r="AH113" s="104">
        <f t="shared" si="53"/>
        <v>0.1173334477861772</v>
      </c>
      <c r="AJ113" s="104">
        <f t="shared" si="54"/>
        <v>8.823475273520522</v>
      </c>
      <c r="AK113" s="23">
        <f t="shared" si="52"/>
        <v>4.2505440206409544</v>
      </c>
    </row>
    <row r="114" spans="1:37" x14ac:dyDescent="0.35">
      <c r="A114" s="23">
        <v>2</v>
      </c>
      <c r="B114" s="118" t="s">
        <v>142</v>
      </c>
      <c r="C114" s="23" t="s">
        <v>139</v>
      </c>
      <c r="D114" s="23" t="s">
        <v>171</v>
      </c>
      <c r="E114" s="23" t="s">
        <v>128</v>
      </c>
      <c r="F114" s="23" t="s">
        <v>83</v>
      </c>
      <c r="G114" s="167">
        <f>'time-factors'!E$37*'time-factors'!B52</f>
        <v>0.17600017167926579</v>
      </c>
      <c r="H114" s="166">
        <f>'time-factors'!M52</f>
        <v>228.435</v>
      </c>
      <c r="I114" s="96" t="s">
        <v>98</v>
      </c>
      <c r="J114" s="96">
        <f>'time-factors'!R$43</f>
        <v>10</v>
      </c>
      <c r="K114" s="170">
        <f>'time-factors'!L$43</f>
        <v>0.05</v>
      </c>
      <c r="L114" s="173">
        <f t="shared" si="38"/>
        <v>29.583377582234093</v>
      </c>
      <c r="M114" s="170">
        <v>0</v>
      </c>
      <c r="N114" s="96">
        <f t="shared" si="39"/>
        <v>0</v>
      </c>
      <c r="O114" s="167" cm="1">
        <f t="array" ref="O114">IFERROR(_xlfn.IFS(E114="Heavy", 'vehicle E calcs'!$H$33,E114="Cars/vans",'vehicle E calcs'!$H$32),"")</f>
        <v>6.3768270755398833</v>
      </c>
      <c r="P114" s="106">
        <v>200</v>
      </c>
      <c r="Q114" s="108">
        <f t="shared" si="40"/>
        <v>1.2753654151079765</v>
      </c>
      <c r="R114" s="107">
        <f t="shared" si="41"/>
        <v>30.85874299734207</v>
      </c>
      <c r="S114" s="107" cm="1">
        <f t="array" ref="S114">_xlfn.IFS(E114="Heavy", 'vehicle E calcs'!$T$21,E114="Cars/vans",'vehicle E calcs'!$S$21)*O114</f>
        <v>23.354986057632608</v>
      </c>
      <c r="T114" s="109">
        <v>0.27</v>
      </c>
      <c r="U114" s="23">
        <f t="shared" si="42"/>
        <v>6.3058462355608045</v>
      </c>
      <c r="V114" s="23">
        <f t="shared" si="43"/>
        <v>4.8936719743210926</v>
      </c>
      <c r="W114" s="106">
        <f t="shared" si="55"/>
        <v>168</v>
      </c>
      <c r="X114" s="23">
        <f t="shared" si="44"/>
        <v>3.9236376576822782</v>
      </c>
      <c r="Y114" s="96">
        <f t="shared" si="56"/>
        <v>0</v>
      </c>
      <c r="Z114" s="23">
        <f t="shared" si="46"/>
        <v>0</v>
      </c>
      <c r="AA114" s="107">
        <f t="shared" si="47"/>
        <v>26.935105339659792</v>
      </c>
      <c r="AB114" s="23">
        <f t="shared" si="48"/>
        <v>4.2714497520988699</v>
      </c>
      <c r="AD114" s="107">
        <f t="shared" si="49"/>
        <v>4.6914207034423701</v>
      </c>
      <c r="AE114" s="23">
        <f t="shared" si="50"/>
        <v>0</v>
      </c>
      <c r="AF114" s="108">
        <f t="shared" si="51"/>
        <v>0.20225127087872183</v>
      </c>
      <c r="AH114" s="104">
        <f t="shared" si="53"/>
        <v>0.17600017167926579</v>
      </c>
      <c r="AJ114" s="104">
        <f t="shared" si="54"/>
        <v>8.9994754451997885</v>
      </c>
      <c r="AK114" s="23">
        <f t="shared" si="52"/>
        <v>4.2714497520988699</v>
      </c>
    </row>
    <row r="115" spans="1:37" x14ac:dyDescent="0.35">
      <c r="A115" s="23">
        <v>5</v>
      </c>
      <c r="B115" s="118" t="s">
        <v>145</v>
      </c>
      <c r="C115" s="23" t="s">
        <v>139</v>
      </c>
      <c r="D115" s="23" t="s">
        <v>171</v>
      </c>
      <c r="E115" s="23" t="s">
        <v>188</v>
      </c>
      <c r="F115" s="23" t="s">
        <v>83</v>
      </c>
      <c r="G115" s="167">
        <f>'time-factors'!E$37*'time-factors'!B55</f>
        <v>0.12320012017548607</v>
      </c>
      <c r="H115" s="166">
        <f>'time-factors'!M55</f>
        <v>369</v>
      </c>
      <c r="I115" s="96" t="s">
        <v>98</v>
      </c>
      <c r="J115" s="96">
        <f>'time-factors'!R$43</f>
        <v>10</v>
      </c>
      <c r="K115" s="170">
        <f>'time-factors'!L$43</f>
        <v>0.05</v>
      </c>
      <c r="L115" s="173">
        <f t="shared" si="38"/>
        <v>47.787188162253507</v>
      </c>
      <c r="M115" s="170">
        <v>0</v>
      </c>
      <c r="N115" s="96">
        <f t="shared" si="39"/>
        <v>0</v>
      </c>
      <c r="O115" s="167" cm="1">
        <f t="array" ref="O115">IFERROR(_xlfn.IFS(E115="Heavy", 'vehicle E calcs'!$H$33,E115="Cars/vans",'vehicle E calcs'!$H$32),"")</f>
        <v>7.1233383316924828</v>
      </c>
      <c r="P115" s="106">
        <v>200</v>
      </c>
      <c r="Q115" s="108">
        <f t="shared" si="40"/>
        <v>1.4246676663384965</v>
      </c>
      <c r="R115" s="107">
        <f t="shared" si="41"/>
        <v>49.211855828592</v>
      </c>
      <c r="S115" s="107" cm="1">
        <f t="array" ref="S115">_xlfn.IFS(E115="Heavy", 'vehicle E calcs'!$T$21,E115="Cars/vans",'vehicle E calcs'!$S$21)*O115</f>
        <v>24.362584419881831</v>
      </c>
      <c r="T115" s="109">
        <v>0.27</v>
      </c>
      <c r="U115" s="23">
        <f t="shared" si="42"/>
        <v>6.5778977933680949</v>
      </c>
      <c r="V115" s="23">
        <f t="shared" si="43"/>
        <v>7.4813956334511467</v>
      </c>
      <c r="W115" s="106">
        <f t="shared" si="55"/>
        <v>168</v>
      </c>
      <c r="X115" s="23">
        <f t="shared" si="44"/>
        <v>4.0929141825401478</v>
      </c>
      <c r="Y115" s="96">
        <f t="shared" si="56"/>
        <v>0</v>
      </c>
      <c r="Z115" s="23">
        <f t="shared" si="46"/>
        <v>0</v>
      </c>
      <c r="AA115" s="107">
        <f t="shared" si="47"/>
        <v>45.118941646051852</v>
      </c>
      <c r="AB115" s="23">
        <f t="shared" si="48"/>
        <v>6.8591734112289249</v>
      </c>
      <c r="AD115" s="107">
        <f t="shared" si="49"/>
        <v>7.2648115953448</v>
      </c>
      <c r="AE115" s="23">
        <f t="shared" si="50"/>
        <v>0</v>
      </c>
      <c r="AF115" s="108">
        <f t="shared" si="51"/>
        <v>0.2165840381063478</v>
      </c>
      <c r="AH115" s="104">
        <f t="shared" si="53"/>
        <v>0.12320012017548607</v>
      </c>
      <c r="AJ115" s="104">
        <f t="shared" si="54"/>
        <v>9.1226755653752747</v>
      </c>
      <c r="AK115" s="23">
        <f t="shared" si="52"/>
        <v>6.8591734112289249</v>
      </c>
    </row>
    <row r="116" spans="1:37" x14ac:dyDescent="0.35">
      <c r="A116" s="23">
        <v>8</v>
      </c>
      <c r="B116" s="119" t="s">
        <v>148</v>
      </c>
      <c r="C116" s="23" t="s">
        <v>139</v>
      </c>
      <c r="D116" s="23" t="s">
        <v>171</v>
      </c>
      <c r="E116" s="23" t="s">
        <v>188</v>
      </c>
      <c r="F116" s="23" t="s">
        <v>83</v>
      </c>
      <c r="G116" s="167">
        <f>'time-factors'!E$37*'time-factors'!B58</f>
        <v>8.8000085839632897E-2</v>
      </c>
      <c r="H116" s="166">
        <f>'time-factors'!M58</f>
        <v>369</v>
      </c>
      <c r="I116" s="96" t="s">
        <v>98</v>
      </c>
      <c r="J116" s="96">
        <f>'time-factors'!R$43</f>
        <v>10</v>
      </c>
      <c r="K116" s="170">
        <f>'time-factors'!L$43</f>
        <v>0.05</v>
      </c>
      <c r="L116" s="173">
        <f t="shared" si="38"/>
        <v>47.787188162253507</v>
      </c>
      <c r="M116" s="170">
        <v>0</v>
      </c>
      <c r="N116" s="96">
        <f t="shared" si="39"/>
        <v>0</v>
      </c>
      <c r="O116" s="167" cm="1">
        <f t="array" ref="O116">IFERROR(_xlfn.IFS(E116="Heavy", 'vehicle E calcs'!$H$33,E116="Cars/vans",'vehicle E calcs'!$H$32),"")</f>
        <v>7.1233383316924828</v>
      </c>
      <c r="P116" s="106">
        <v>200</v>
      </c>
      <c r="Q116" s="108">
        <f t="shared" si="40"/>
        <v>1.4246676663384965</v>
      </c>
      <c r="R116" s="107">
        <f t="shared" si="41"/>
        <v>49.211855828592</v>
      </c>
      <c r="S116" s="107" cm="1">
        <f t="array" ref="S116">_xlfn.IFS(E116="Heavy", 'vehicle E calcs'!$T$21,E116="Cars/vans",'vehicle E calcs'!$S$21)*O116</f>
        <v>24.362584419881831</v>
      </c>
      <c r="T116" s="109">
        <v>0.27</v>
      </c>
      <c r="U116" s="23">
        <f t="shared" si="42"/>
        <v>6.5778977933680949</v>
      </c>
      <c r="V116" s="23">
        <f t="shared" si="43"/>
        <v>7.4813956334511467</v>
      </c>
      <c r="W116" s="106">
        <f t="shared" si="55"/>
        <v>168</v>
      </c>
      <c r="X116" s="23">
        <f t="shared" si="44"/>
        <v>4.0929141825401478</v>
      </c>
      <c r="Y116" s="96">
        <f t="shared" si="56"/>
        <v>0</v>
      </c>
      <c r="Z116" s="23">
        <f t="shared" si="46"/>
        <v>0</v>
      </c>
      <c r="AA116" s="107">
        <f t="shared" si="47"/>
        <v>45.118941646051852</v>
      </c>
      <c r="AB116" s="23">
        <f t="shared" si="48"/>
        <v>6.8591734112289249</v>
      </c>
      <c r="AD116" s="107">
        <f t="shared" si="49"/>
        <v>7.2648115953448</v>
      </c>
      <c r="AE116" s="23">
        <f t="shared" si="50"/>
        <v>0</v>
      </c>
      <c r="AF116" s="108">
        <f t="shared" si="51"/>
        <v>0.2165840381063478</v>
      </c>
      <c r="AH116" s="104">
        <f t="shared" si="53"/>
        <v>8.8000085839632897E-2</v>
      </c>
      <c r="AJ116" s="104">
        <f t="shared" si="54"/>
        <v>9.2106756512149079</v>
      </c>
      <c r="AK116" s="23">
        <f t="shared" si="52"/>
        <v>6.8591734112289249</v>
      </c>
    </row>
    <row r="117" spans="1:37" x14ac:dyDescent="0.35">
      <c r="A117" s="23">
        <v>10</v>
      </c>
      <c r="B117" s="118" t="s">
        <v>58</v>
      </c>
      <c r="C117" s="23" t="s">
        <v>139</v>
      </c>
      <c r="D117" s="23" t="s">
        <v>171</v>
      </c>
      <c r="E117" s="23" t="s">
        <v>188</v>
      </c>
      <c r="F117" s="23" t="s">
        <v>83</v>
      </c>
      <c r="G117" s="167">
        <f>'time-factors'!E$37*'time-factors'!B60</f>
        <v>0.1173334477861772</v>
      </c>
      <c r="H117" s="166">
        <f>'time-factors'!M60</f>
        <v>582</v>
      </c>
      <c r="I117" s="96" t="s">
        <v>98</v>
      </c>
      <c r="J117" s="96">
        <f>'time-factors'!R$43</f>
        <v>10</v>
      </c>
      <c r="K117" s="170">
        <f>'time-factors'!L$43</f>
        <v>0.05</v>
      </c>
      <c r="L117" s="173">
        <f t="shared" si="38"/>
        <v>75.371662629895781</v>
      </c>
      <c r="M117" s="170">
        <v>0</v>
      </c>
      <c r="N117" s="96">
        <f t="shared" si="39"/>
        <v>0</v>
      </c>
      <c r="O117" s="167" cm="1">
        <f t="array" ref="O117">IFERROR(_xlfn.IFS(E117="Heavy", 'vehicle E calcs'!$H$33,E117="Cars/vans",'vehicle E calcs'!$H$32),"")</f>
        <v>7.1233383316924828</v>
      </c>
      <c r="P117" s="106">
        <v>200</v>
      </c>
      <c r="Q117" s="108">
        <f t="shared" si="40"/>
        <v>1.4246676663384965</v>
      </c>
      <c r="R117" s="107">
        <f t="shared" si="41"/>
        <v>76.796330296234274</v>
      </c>
      <c r="S117" s="107" cm="1">
        <f t="array" ref="S117">_xlfn.IFS(E117="Heavy", 'vehicle E calcs'!$T$21,E117="Cars/vans",'vehicle E calcs'!$S$21)*O117</f>
        <v>24.362584419881831</v>
      </c>
      <c r="T117" s="109">
        <v>0.27</v>
      </c>
      <c r="U117" s="23">
        <f t="shared" si="42"/>
        <v>6.5778977933680949</v>
      </c>
      <c r="V117" s="23">
        <f t="shared" si="43"/>
        <v>11.674904765723349</v>
      </c>
      <c r="W117" s="106">
        <f t="shared" si="55"/>
        <v>168</v>
      </c>
      <c r="X117" s="23">
        <f t="shared" si="44"/>
        <v>4.0929141825401478</v>
      </c>
      <c r="Y117" s="96">
        <f t="shared" si="56"/>
        <v>0</v>
      </c>
      <c r="Z117" s="23">
        <f t="shared" si="46"/>
        <v>0</v>
      </c>
      <c r="AA117" s="107">
        <f t="shared" si="47"/>
        <v>72.703416113694132</v>
      </c>
      <c r="AB117" s="23">
        <f t="shared" si="48"/>
        <v>11.052682543501128</v>
      </c>
      <c r="AD117" s="107">
        <f t="shared" si="49"/>
        <v>11.458320727617002</v>
      </c>
      <c r="AE117" s="23">
        <f t="shared" si="50"/>
        <v>0</v>
      </c>
      <c r="AF117" s="108">
        <f t="shared" si="51"/>
        <v>0.2165840381063478</v>
      </c>
      <c r="AH117" s="104">
        <f t="shared" si="53"/>
        <v>0.1173334477861772</v>
      </c>
      <c r="AJ117" s="104">
        <f t="shared" si="54"/>
        <v>9.3280090990010844</v>
      </c>
      <c r="AK117" s="23">
        <f t="shared" si="52"/>
        <v>11.052682543501128</v>
      </c>
    </row>
    <row r="118" spans="1:37" x14ac:dyDescent="0.35">
      <c r="A118" s="23">
        <v>14</v>
      </c>
      <c r="B118" s="118" t="s">
        <v>152</v>
      </c>
      <c r="C118" s="23" t="s">
        <v>139</v>
      </c>
      <c r="D118" s="23" t="s">
        <v>171</v>
      </c>
      <c r="E118" s="23" t="s">
        <v>188</v>
      </c>
      <c r="F118" s="23" t="s">
        <v>83</v>
      </c>
      <c r="G118" s="167">
        <f>'time-factors'!E$37*'time-factors'!B64</f>
        <v>7.6266741061015178E-2</v>
      </c>
      <c r="H118" s="166">
        <f>'time-factors'!M64</f>
        <v>582</v>
      </c>
      <c r="I118" s="96" t="s">
        <v>98</v>
      </c>
      <c r="J118" s="96">
        <f>'time-factors'!R$43</f>
        <v>10</v>
      </c>
      <c r="K118" s="170">
        <f>'time-factors'!L$43</f>
        <v>0.05</v>
      </c>
      <c r="L118" s="173">
        <f t="shared" si="38"/>
        <v>75.371662629895781</v>
      </c>
      <c r="M118" s="170">
        <v>0</v>
      </c>
      <c r="N118" s="96">
        <f t="shared" si="39"/>
        <v>0</v>
      </c>
      <c r="O118" s="167" cm="1">
        <f t="array" ref="O118">IFERROR(_xlfn.IFS(E118="Heavy", 'vehicle E calcs'!$H$33,E118="Cars/vans",'vehicle E calcs'!$H$32),"")</f>
        <v>7.1233383316924828</v>
      </c>
      <c r="P118" s="106">
        <v>200</v>
      </c>
      <c r="Q118" s="108">
        <f t="shared" si="40"/>
        <v>1.4246676663384965</v>
      </c>
      <c r="R118" s="107">
        <f t="shared" si="41"/>
        <v>76.796330296234274</v>
      </c>
      <c r="S118" s="107" cm="1">
        <f t="array" ref="S118">_xlfn.IFS(E118="Heavy", 'vehicle E calcs'!$T$21,E118="Cars/vans",'vehicle E calcs'!$S$21)*O118</f>
        <v>24.362584419881831</v>
      </c>
      <c r="T118" s="109">
        <v>0.27</v>
      </c>
      <c r="U118" s="23">
        <f t="shared" si="42"/>
        <v>6.5778977933680949</v>
      </c>
      <c r="V118" s="23">
        <f t="shared" si="43"/>
        <v>11.674904765723349</v>
      </c>
      <c r="W118" s="106">
        <f t="shared" si="55"/>
        <v>168</v>
      </c>
      <c r="X118" s="23">
        <f t="shared" si="44"/>
        <v>4.0929141825401478</v>
      </c>
      <c r="Y118" s="96">
        <f t="shared" si="56"/>
        <v>0</v>
      </c>
      <c r="Z118" s="23">
        <f t="shared" si="46"/>
        <v>0</v>
      </c>
      <c r="AA118" s="107">
        <f t="shared" si="47"/>
        <v>72.703416113694132</v>
      </c>
      <c r="AB118" s="23">
        <f t="shared" si="48"/>
        <v>11.052682543501128</v>
      </c>
      <c r="AD118" s="107">
        <f t="shared" si="49"/>
        <v>11.458320727617002</v>
      </c>
      <c r="AE118" s="23">
        <f t="shared" si="50"/>
        <v>0</v>
      </c>
      <c r="AF118" s="108">
        <f t="shared" si="51"/>
        <v>0.2165840381063478</v>
      </c>
      <c r="AH118" s="104">
        <f t="shared" si="53"/>
        <v>7.6266741061015178E-2</v>
      </c>
      <c r="AJ118" s="104">
        <f t="shared" si="54"/>
        <v>9.4042758400621</v>
      </c>
      <c r="AK118" s="23">
        <f t="shared" si="52"/>
        <v>11.052682543501128</v>
      </c>
    </row>
    <row r="119" spans="1:37" x14ac:dyDescent="0.35">
      <c r="B119" s="122"/>
      <c r="C119" s="24"/>
      <c r="D119" s="24"/>
      <c r="E119" s="24"/>
      <c r="F119" s="131" t="s">
        <v>50</v>
      </c>
      <c r="G119" s="179">
        <f>SUM(G94:G118)</f>
        <v>9.4042758400621</v>
      </c>
      <c r="H119" s="96"/>
      <c r="I119" s="96"/>
      <c r="J119" s="96"/>
      <c r="K119" s="96"/>
      <c r="L119" s="96"/>
      <c r="M119" s="96"/>
      <c r="N119" s="96"/>
      <c r="O119" s="96"/>
    </row>
    <row r="120" spans="1:37" x14ac:dyDescent="0.35">
      <c r="B120" s="122"/>
      <c r="C120" s="24"/>
      <c r="D120" s="24"/>
      <c r="E120" s="24"/>
      <c r="F120" s="24"/>
      <c r="G120" s="96"/>
      <c r="H120" s="96"/>
      <c r="I120" s="96"/>
      <c r="J120" s="96"/>
      <c r="K120" s="96"/>
      <c r="L120" s="96"/>
      <c r="M120" s="96"/>
      <c r="N120" s="96"/>
      <c r="O120" s="96"/>
    </row>
    <row r="121" spans="1:37" x14ac:dyDescent="0.35">
      <c r="B121" s="123"/>
      <c r="C121" s="125"/>
      <c r="F121" s="24"/>
      <c r="G121" s="96"/>
      <c r="H121" s="96"/>
      <c r="I121" s="96"/>
      <c r="J121" s="96"/>
      <c r="K121" s="96"/>
      <c r="L121" s="96"/>
      <c r="M121" s="96"/>
      <c r="N121" s="96"/>
      <c r="O121" s="96"/>
    </row>
    <row r="122" spans="1:37" x14ac:dyDescent="0.35">
      <c r="B122" s="123"/>
      <c r="C122" s="125"/>
      <c r="G122" s="96"/>
      <c r="H122" s="96"/>
      <c r="I122" s="96"/>
      <c r="J122" s="96"/>
      <c r="K122" s="96"/>
      <c r="L122" s="96"/>
      <c r="M122" s="96"/>
      <c r="N122" s="96"/>
      <c r="O122" s="96"/>
    </row>
    <row r="123" spans="1:37" x14ac:dyDescent="0.35">
      <c r="B123" s="96"/>
      <c r="C123" s="96"/>
      <c r="G123" s="96"/>
      <c r="H123" s="96"/>
      <c r="I123" s="96"/>
      <c r="J123" s="96"/>
      <c r="K123" s="96"/>
      <c r="L123" s="96"/>
      <c r="M123" s="96"/>
      <c r="N123" s="96"/>
      <c r="O123" s="96"/>
    </row>
    <row r="124" spans="1:37" x14ac:dyDescent="0.35">
      <c r="B124" s="96"/>
      <c r="C124" s="96"/>
      <c r="G124" s="96"/>
      <c r="H124" s="96"/>
      <c r="I124" s="96"/>
      <c r="J124" s="96"/>
      <c r="K124" s="96"/>
      <c r="L124" s="96"/>
      <c r="M124" s="96"/>
      <c r="N124" s="96"/>
      <c r="O124" s="96"/>
    </row>
    <row r="125" spans="1:37" x14ac:dyDescent="0.35">
      <c r="G125" s="96"/>
      <c r="H125" s="96"/>
      <c r="I125" s="96"/>
      <c r="J125" s="96"/>
      <c r="K125" s="96"/>
      <c r="L125" s="96"/>
      <c r="M125" s="96"/>
      <c r="N125" s="96"/>
      <c r="O125" s="96"/>
    </row>
    <row r="126" spans="1:37" x14ac:dyDescent="0.35">
      <c r="G126" s="96"/>
      <c r="H126" s="96"/>
      <c r="I126" s="96"/>
      <c r="J126" s="96"/>
      <c r="K126" s="96"/>
      <c r="L126" s="96"/>
      <c r="M126" s="96"/>
      <c r="N126" s="96"/>
      <c r="O126" s="96"/>
    </row>
    <row r="127" spans="1:37" x14ac:dyDescent="0.35">
      <c r="G127" s="96"/>
      <c r="H127" s="96"/>
      <c r="I127" s="96"/>
      <c r="J127" s="96"/>
      <c r="K127" s="96"/>
      <c r="L127" s="96"/>
      <c r="M127" s="96"/>
      <c r="N127" s="96"/>
      <c r="O127" s="96"/>
    </row>
    <row r="128" spans="1:37" x14ac:dyDescent="0.35">
      <c r="G128" s="96"/>
      <c r="H128" s="96"/>
      <c r="I128" s="96"/>
      <c r="J128" s="96"/>
      <c r="K128" s="96"/>
      <c r="L128" s="96"/>
      <c r="M128" s="96"/>
      <c r="N128" s="96"/>
      <c r="O128" s="96"/>
    </row>
    <row r="129" spans="1:37" x14ac:dyDescent="0.35">
      <c r="G129" s="96"/>
      <c r="H129" s="96"/>
      <c r="I129" s="96"/>
      <c r="J129" s="96"/>
      <c r="K129" s="96"/>
      <c r="L129" s="96"/>
      <c r="M129" s="96"/>
      <c r="N129" s="96"/>
      <c r="O129" s="96"/>
    </row>
    <row r="130" spans="1:37" x14ac:dyDescent="0.35">
      <c r="G130" s="96"/>
      <c r="H130" s="96"/>
      <c r="I130" s="96"/>
      <c r="J130" s="96"/>
      <c r="K130" s="96"/>
      <c r="L130" s="96"/>
      <c r="M130" s="96"/>
      <c r="N130" s="96"/>
      <c r="O130" s="96"/>
    </row>
    <row r="131" spans="1:37" x14ac:dyDescent="0.35">
      <c r="G131" s="96"/>
      <c r="H131" s="96"/>
      <c r="I131" s="96"/>
      <c r="J131" s="96"/>
      <c r="K131" s="96"/>
      <c r="L131" s="96"/>
      <c r="M131" s="96"/>
      <c r="N131" s="96"/>
      <c r="O131" s="96"/>
    </row>
    <row r="132" spans="1:37" x14ac:dyDescent="0.35">
      <c r="G132" s="96"/>
      <c r="H132" s="96"/>
      <c r="I132" s="96"/>
      <c r="J132" s="96"/>
      <c r="K132" s="96"/>
      <c r="L132" s="96"/>
      <c r="M132" s="96"/>
      <c r="N132" s="96"/>
      <c r="O132" s="96"/>
    </row>
    <row r="133" spans="1:37" x14ac:dyDescent="0.35">
      <c r="G133" s="96"/>
      <c r="H133" s="96"/>
      <c r="I133" s="96"/>
      <c r="J133" s="96"/>
      <c r="K133" s="96"/>
      <c r="L133" s="96"/>
      <c r="M133" s="96"/>
      <c r="N133" s="96"/>
      <c r="O133" s="96"/>
    </row>
    <row r="134" spans="1:37" x14ac:dyDescent="0.35">
      <c r="G134" s="96"/>
      <c r="H134" s="96"/>
      <c r="I134" s="96"/>
      <c r="J134" s="96"/>
      <c r="K134" s="96"/>
      <c r="L134" s="96"/>
      <c r="M134" s="96"/>
      <c r="N134" s="96"/>
      <c r="O134" s="96"/>
    </row>
    <row r="135" spans="1:37" x14ac:dyDescent="0.35">
      <c r="A135" s="132"/>
      <c r="B135" s="132"/>
      <c r="C135" s="132"/>
      <c r="D135" s="132"/>
      <c r="E135" s="132"/>
      <c r="F135" s="132"/>
      <c r="G135" s="96"/>
      <c r="H135" s="96"/>
      <c r="I135" s="96"/>
      <c r="J135" s="96"/>
      <c r="K135" s="96"/>
      <c r="L135" s="96"/>
      <c r="M135" s="96"/>
      <c r="N135" s="96"/>
      <c r="O135" s="96"/>
      <c r="P135" s="132"/>
      <c r="Q135" s="132"/>
      <c r="R135" s="132"/>
      <c r="S135" s="132"/>
      <c r="T135" s="132"/>
      <c r="U135" s="132"/>
      <c r="V135" s="132"/>
      <c r="W135" s="132"/>
      <c r="X135" s="132"/>
      <c r="Y135" s="132"/>
      <c r="Z135" s="132"/>
      <c r="AA135" s="132"/>
      <c r="AB135" s="132"/>
      <c r="AC135" s="132"/>
      <c r="AD135" s="132"/>
      <c r="AE135" s="132"/>
      <c r="AF135" s="132"/>
      <c r="AG135" s="132"/>
      <c r="AH135" s="132"/>
      <c r="AI135" s="132"/>
      <c r="AJ135" s="132"/>
      <c r="AK135" s="132"/>
    </row>
    <row r="136" spans="1:37" ht="21" x14ac:dyDescent="0.5">
      <c r="B136" s="134" t="s">
        <v>280</v>
      </c>
      <c r="C136" s="136">
        <f>C91</f>
        <v>2035</v>
      </c>
      <c r="G136" s="96"/>
      <c r="H136" s="96"/>
      <c r="I136" s="96"/>
      <c r="J136" s="96"/>
      <c r="K136" s="96"/>
      <c r="L136" s="96"/>
      <c r="M136" s="96"/>
      <c r="N136" s="96"/>
      <c r="O136" s="96"/>
      <c r="W136" s="23" t="s">
        <v>202</v>
      </c>
      <c r="AB136" s="95"/>
    </row>
    <row r="137" spans="1:37" x14ac:dyDescent="0.35">
      <c r="G137" s="96"/>
      <c r="H137" s="96"/>
      <c r="I137" s="96"/>
      <c r="J137" s="96"/>
      <c r="K137" s="96"/>
      <c r="L137" s="96"/>
      <c r="M137" s="96"/>
      <c r="N137" s="96"/>
      <c r="O137" s="96"/>
      <c r="T137" s="99" t="s">
        <v>138</v>
      </c>
      <c r="W137" s="99">
        <v>1.7</v>
      </c>
      <c r="X137" s="23" t="s">
        <v>174</v>
      </c>
      <c r="Z137" s="100">
        <v>0</v>
      </c>
      <c r="AA137" s="23" t="s">
        <v>175</v>
      </c>
      <c r="AC137" s="101">
        <v>0</v>
      </c>
    </row>
    <row r="138" spans="1:37" ht="72.5" x14ac:dyDescent="0.35">
      <c r="B138" s="102" t="s">
        <v>173</v>
      </c>
      <c r="C138" s="103" t="s">
        <v>95</v>
      </c>
      <c r="D138" s="103" t="s">
        <v>172</v>
      </c>
      <c r="E138" s="103" t="s">
        <v>231</v>
      </c>
      <c r="F138" s="103" t="s">
        <v>96</v>
      </c>
      <c r="G138" s="176" t="s">
        <v>205</v>
      </c>
      <c r="H138" s="176" t="s">
        <v>99</v>
      </c>
      <c r="I138" s="176" t="s">
        <v>97</v>
      </c>
      <c r="J138" s="176" t="s">
        <v>100</v>
      </c>
      <c r="K138" s="176" t="s">
        <v>101</v>
      </c>
      <c r="L138" s="176" t="s">
        <v>102</v>
      </c>
      <c r="M138" s="176" t="s">
        <v>129</v>
      </c>
      <c r="N138" s="176" t="s">
        <v>130</v>
      </c>
      <c r="O138" s="176" t="s">
        <v>132</v>
      </c>
      <c r="P138" s="103" t="s">
        <v>133</v>
      </c>
      <c r="Q138" s="103" t="s">
        <v>131</v>
      </c>
      <c r="R138" s="117" t="s">
        <v>136</v>
      </c>
      <c r="S138" s="103" t="s">
        <v>135</v>
      </c>
      <c r="T138" s="103" t="s">
        <v>134</v>
      </c>
      <c r="U138" s="103" t="s">
        <v>103</v>
      </c>
      <c r="V138" s="117" t="s">
        <v>108</v>
      </c>
      <c r="W138" s="103" t="s">
        <v>199</v>
      </c>
      <c r="X138" s="103" t="s">
        <v>104</v>
      </c>
      <c r="Y138" s="103" t="s">
        <v>105</v>
      </c>
      <c r="Z138" s="103" t="s">
        <v>106</v>
      </c>
      <c r="AA138" s="103" t="s">
        <v>137</v>
      </c>
      <c r="AB138" s="117" t="s">
        <v>107</v>
      </c>
      <c r="AD138" s="103" t="s">
        <v>167</v>
      </c>
      <c r="AE138" s="103" t="s">
        <v>168</v>
      </c>
      <c r="AF138" s="103" t="s">
        <v>169</v>
      </c>
      <c r="AJ138" s="103" t="s">
        <v>177</v>
      </c>
      <c r="AK138" s="103" t="s">
        <v>176</v>
      </c>
    </row>
    <row r="139" spans="1:37" x14ac:dyDescent="0.35">
      <c r="A139" s="23">
        <v>20</v>
      </c>
      <c r="B139" s="120" t="s">
        <v>162</v>
      </c>
      <c r="C139" s="111" t="s">
        <v>157</v>
      </c>
      <c r="D139" s="111" t="s">
        <v>170</v>
      </c>
      <c r="E139" s="111"/>
      <c r="F139" s="111" t="s">
        <v>158</v>
      </c>
      <c r="G139" s="167">
        <f>'time-factors'!E$38*'time-factors'!B70</f>
        <v>1.0490566037735849E-2</v>
      </c>
      <c r="H139" s="166">
        <f>'time-factors'!M70</f>
        <v>0.11249999999999999</v>
      </c>
      <c r="I139" s="168" t="s">
        <v>166</v>
      </c>
      <c r="J139" s="96">
        <f>'time-factors'!R$46</f>
        <v>20</v>
      </c>
      <c r="K139" s="170">
        <f>'time-factors'!L$46</f>
        <v>0.05</v>
      </c>
      <c r="L139" s="172">
        <f t="shared" ref="L139:L163" si="57">PMT(K139,J139,-H139)</f>
        <v>9.0272910589527713E-3</v>
      </c>
      <c r="M139" s="171">
        <v>0.02</v>
      </c>
      <c r="N139" s="168">
        <f t="shared" ref="N139:N163" si="58">M139*H139</f>
        <v>2.2499999999999998E-3</v>
      </c>
      <c r="O139" s="168">
        <v>1.5</v>
      </c>
      <c r="P139" s="111">
        <v>200</v>
      </c>
      <c r="Q139" s="115">
        <f t="shared" ref="Q139:Q163" si="59">P139*O139*0.001</f>
        <v>0.3</v>
      </c>
      <c r="R139" s="114">
        <f t="shared" ref="R139:R163" si="60">L139+N139+Q139</f>
        <v>0.31127729105895274</v>
      </c>
      <c r="S139" s="114">
        <f>2*O139</f>
        <v>3</v>
      </c>
      <c r="T139" s="114">
        <v>0.1</v>
      </c>
      <c r="U139" s="111">
        <f t="shared" ref="U139:U163" si="61">T139*S139</f>
        <v>0.30000000000000004</v>
      </c>
      <c r="V139" s="111">
        <f t="shared" ref="V139:V163" si="62">R139/U139</f>
        <v>1.0375909701965089</v>
      </c>
      <c r="W139" s="111">
        <v>200</v>
      </c>
      <c r="X139" s="111">
        <f t="shared" ref="X139:X163" si="63">W139*S139*0.001</f>
        <v>0.6</v>
      </c>
      <c r="Y139" s="111">
        <f t="shared" ref="Y139:Y145" si="64">$AC$2</f>
        <v>0</v>
      </c>
      <c r="Z139" s="111">
        <f t="shared" ref="Z139:Z163" si="65">Y139*U139</f>
        <v>0</v>
      </c>
      <c r="AA139" s="114">
        <f t="shared" ref="AA139:AA163" si="66">R139-X139-Z139</f>
        <v>-0.28872270894104723</v>
      </c>
      <c r="AB139" s="111">
        <f t="shared" ref="AB139:AB163" si="67">AA139/U139</f>
        <v>-0.96240902980349063</v>
      </c>
      <c r="AC139" s="111"/>
      <c r="AD139" s="107">
        <f t="shared" ref="AD139:AD163" si="68">L139/U139</f>
        <v>3.0090970196509234E-2</v>
      </c>
      <c r="AE139" s="23">
        <f t="shared" ref="AE139:AE163" si="69">N139/U139</f>
        <v>7.499999999999998E-3</v>
      </c>
      <c r="AF139" s="108">
        <f t="shared" ref="AF139:AF163" si="70">Q139/U139</f>
        <v>0.99999999999999978</v>
      </c>
      <c r="AH139" s="104">
        <f>G139</f>
        <v>1.0490566037735849E-2</v>
      </c>
      <c r="AJ139" s="104">
        <f>AH139</f>
        <v>1.0490566037735849E-2</v>
      </c>
      <c r="AK139" s="23">
        <f t="shared" ref="AK139:AK163" si="71">AB139</f>
        <v>-0.96240902980349063</v>
      </c>
    </row>
    <row r="140" spans="1:37" x14ac:dyDescent="0.35">
      <c r="A140" s="23">
        <v>21</v>
      </c>
      <c r="B140" s="120" t="s">
        <v>160</v>
      </c>
      <c r="C140" s="48" t="s">
        <v>163</v>
      </c>
      <c r="D140" s="111" t="s">
        <v>170</v>
      </c>
      <c r="E140" s="111"/>
      <c r="F140" s="48" t="s">
        <v>158</v>
      </c>
      <c r="G140" s="167">
        <f>'time-factors'!E$38*'time-factors'!B71</f>
        <v>1.9232704402515722E-2</v>
      </c>
      <c r="H140" s="166">
        <f>'time-factors'!M71</f>
        <v>0.1875</v>
      </c>
      <c r="I140" s="168" t="s">
        <v>166</v>
      </c>
      <c r="J140" s="96">
        <f>'time-factors'!R$46</f>
        <v>20</v>
      </c>
      <c r="K140" s="170">
        <f>'time-factors'!L$46</f>
        <v>0.05</v>
      </c>
      <c r="L140" s="172">
        <f t="shared" si="57"/>
        <v>1.5045485098254622E-2</v>
      </c>
      <c r="M140" s="171">
        <v>0.02</v>
      </c>
      <c r="N140" s="168">
        <f t="shared" si="58"/>
        <v>3.7499999999999999E-3</v>
      </c>
      <c r="O140" s="168">
        <v>4.4000000000000004</v>
      </c>
      <c r="P140" s="111">
        <v>200</v>
      </c>
      <c r="Q140" s="115">
        <f t="shared" si="59"/>
        <v>0.88000000000000012</v>
      </c>
      <c r="R140" s="114">
        <f t="shared" si="60"/>
        <v>0.89879548509825469</v>
      </c>
      <c r="S140" s="114">
        <f>1.2*O140</f>
        <v>5.28</v>
      </c>
      <c r="T140" s="114">
        <v>0.1</v>
      </c>
      <c r="U140" s="111">
        <f t="shared" si="61"/>
        <v>0.52800000000000002</v>
      </c>
      <c r="V140" s="111">
        <f t="shared" si="62"/>
        <v>1.702264176322452</v>
      </c>
      <c r="W140" s="111">
        <v>200</v>
      </c>
      <c r="X140" s="111">
        <f t="shared" si="63"/>
        <v>1.056</v>
      </c>
      <c r="Y140" s="111">
        <f t="shared" si="64"/>
        <v>0</v>
      </c>
      <c r="Z140" s="111">
        <f t="shared" si="65"/>
        <v>0</v>
      </c>
      <c r="AA140" s="114">
        <f t="shared" si="66"/>
        <v>-0.15720451490174536</v>
      </c>
      <c r="AB140" s="111">
        <f t="shared" si="67"/>
        <v>-0.29773582367754803</v>
      </c>
      <c r="AC140" s="111"/>
      <c r="AD140" s="107">
        <f t="shared" si="68"/>
        <v>2.8495236928512541E-2</v>
      </c>
      <c r="AE140" s="23">
        <f t="shared" si="69"/>
        <v>7.102272727272727E-3</v>
      </c>
      <c r="AF140" s="108">
        <f t="shared" si="70"/>
        <v>1.6666666666666667</v>
      </c>
      <c r="AH140" s="104">
        <f t="shared" ref="AH140:AH163" si="72">G140</f>
        <v>1.9232704402515722E-2</v>
      </c>
      <c r="AJ140" s="104">
        <f>AJ139+AH140</f>
        <v>2.9723270440251571E-2</v>
      </c>
      <c r="AK140" s="23">
        <f t="shared" si="71"/>
        <v>-0.29773582367754803</v>
      </c>
    </row>
    <row r="141" spans="1:37" ht="29" x14ac:dyDescent="0.35">
      <c r="A141" s="23">
        <v>22</v>
      </c>
      <c r="B141" s="120" t="s">
        <v>161</v>
      </c>
      <c r="C141" s="48" t="s">
        <v>163</v>
      </c>
      <c r="D141" s="111" t="s">
        <v>170</v>
      </c>
      <c r="E141" s="111"/>
      <c r="F141" s="48" t="s">
        <v>158</v>
      </c>
      <c r="G141" s="167">
        <f>'time-factors'!E$38*'time-factors'!B72</f>
        <v>1.0490566037735849E-2</v>
      </c>
      <c r="H141" s="166">
        <f>'time-factors'!M72</f>
        <v>0.375</v>
      </c>
      <c r="I141" s="168" t="s">
        <v>166</v>
      </c>
      <c r="J141" s="96">
        <f>'time-factors'!R$46</f>
        <v>20</v>
      </c>
      <c r="K141" s="170">
        <f>'time-factors'!L$46</f>
        <v>0.05</v>
      </c>
      <c r="L141" s="172">
        <f t="shared" si="57"/>
        <v>3.0090970196509245E-2</v>
      </c>
      <c r="M141" s="171">
        <v>0.02</v>
      </c>
      <c r="N141" s="168">
        <f t="shared" si="58"/>
        <v>7.4999999999999997E-3</v>
      </c>
      <c r="O141" s="168">
        <v>4.4000000000000004</v>
      </c>
      <c r="P141" s="111">
        <v>200</v>
      </c>
      <c r="Q141" s="115">
        <f t="shared" si="59"/>
        <v>0.88000000000000012</v>
      </c>
      <c r="R141" s="114">
        <f t="shared" si="60"/>
        <v>0.91759097019650937</v>
      </c>
      <c r="S141" s="114">
        <f>1.2*O141</f>
        <v>5.28</v>
      </c>
      <c r="T141" s="114">
        <v>0.1</v>
      </c>
      <c r="U141" s="111">
        <f t="shared" si="61"/>
        <v>0.52800000000000002</v>
      </c>
      <c r="V141" s="111">
        <f t="shared" si="62"/>
        <v>1.7378616859782374</v>
      </c>
      <c r="W141" s="111">
        <v>200</v>
      </c>
      <c r="X141" s="111">
        <f t="shared" si="63"/>
        <v>1.056</v>
      </c>
      <c r="Y141" s="111">
        <f t="shared" si="64"/>
        <v>0</v>
      </c>
      <c r="Z141" s="111">
        <f t="shared" si="65"/>
        <v>0</v>
      </c>
      <c r="AA141" s="114">
        <f t="shared" si="66"/>
        <v>-0.13840902980349068</v>
      </c>
      <c r="AB141" s="111">
        <f t="shared" si="67"/>
        <v>-0.26213831402176263</v>
      </c>
      <c r="AC141" s="111"/>
      <c r="AD141" s="107">
        <f t="shared" si="68"/>
        <v>5.6990473857025083E-2</v>
      </c>
      <c r="AE141" s="23">
        <f t="shared" si="69"/>
        <v>1.4204545454545454E-2</v>
      </c>
      <c r="AF141" s="108">
        <f t="shared" si="70"/>
        <v>1.6666666666666667</v>
      </c>
      <c r="AH141" s="104">
        <f t="shared" si="72"/>
        <v>1.0490566037735849E-2</v>
      </c>
      <c r="AJ141" s="104">
        <f t="shared" ref="AJ141:AJ163" si="73">AJ140+AH141</f>
        <v>4.0213836477987416E-2</v>
      </c>
      <c r="AK141" s="23">
        <f t="shared" si="71"/>
        <v>-0.26213831402176263</v>
      </c>
    </row>
    <row r="142" spans="1:37" x14ac:dyDescent="0.35">
      <c r="A142" s="23">
        <v>24</v>
      </c>
      <c r="B142" s="120" t="s">
        <v>165</v>
      </c>
      <c r="C142" s="120" t="s">
        <v>165</v>
      </c>
      <c r="D142" s="111" t="s">
        <v>170</v>
      </c>
      <c r="E142" s="111"/>
      <c r="F142" s="48" t="s">
        <v>158</v>
      </c>
      <c r="G142" s="167">
        <f>'time-factors'!E$38*'time-factors'!B74</f>
        <v>6.9937106918238987E-3</v>
      </c>
      <c r="H142" s="166">
        <f>'time-factors'!M74</f>
        <v>0.375</v>
      </c>
      <c r="I142" s="168" t="s">
        <v>166</v>
      </c>
      <c r="J142" s="96">
        <f>'time-factors'!R$46</f>
        <v>20</v>
      </c>
      <c r="K142" s="170">
        <f>'time-factors'!L$46</f>
        <v>0.05</v>
      </c>
      <c r="L142" s="172">
        <f t="shared" si="57"/>
        <v>3.0090970196509245E-2</v>
      </c>
      <c r="M142" s="171">
        <v>0.02</v>
      </c>
      <c r="N142" s="168">
        <f t="shared" si="58"/>
        <v>7.4999999999999997E-3</v>
      </c>
      <c r="O142" s="168">
        <v>4.4000000000000004</v>
      </c>
      <c r="P142" s="111">
        <v>200</v>
      </c>
      <c r="Q142" s="115">
        <f t="shared" si="59"/>
        <v>0.88000000000000012</v>
      </c>
      <c r="R142" s="114">
        <f t="shared" si="60"/>
        <v>0.91759097019650937</v>
      </c>
      <c r="S142" s="114">
        <f>1.2*O142</f>
        <v>5.28</v>
      </c>
      <c r="T142" s="114">
        <v>0.1</v>
      </c>
      <c r="U142" s="111">
        <f t="shared" si="61"/>
        <v>0.52800000000000002</v>
      </c>
      <c r="V142" s="111">
        <f t="shared" si="62"/>
        <v>1.7378616859782374</v>
      </c>
      <c r="W142" s="111">
        <v>200</v>
      </c>
      <c r="X142" s="111">
        <f t="shared" si="63"/>
        <v>1.056</v>
      </c>
      <c r="Y142" s="111">
        <f t="shared" si="64"/>
        <v>0</v>
      </c>
      <c r="Z142" s="111">
        <f t="shared" si="65"/>
        <v>0</v>
      </c>
      <c r="AA142" s="114">
        <f t="shared" si="66"/>
        <v>-0.13840902980349068</v>
      </c>
      <c r="AB142" s="111">
        <f t="shared" si="67"/>
        <v>-0.26213831402176263</v>
      </c>
      <c r="AC142" s="111"/>
      <c r="AD142" s="107">
        <f t="shared" si="68"/>
        <v>5.6990473857025083E-2</v>
      </c>
      <c r="AE142" s="23">
        <f t="shared" si="69"/>
        <v>1.4204545454545454E-2</v>
      </c>
      <c r="AF142" s="108">
        <f t="shared" si="70"/>
        <v>1.6666666666666667</v>
      </c>
      <c r="AH142" s="104">
        <f t="shared" si="72"/>
        <v>6.9937106918238987E-3</v>
      </c>
      <c r="AJ142" s="104">
        <f t="shared" si="73"/>
        <v>4.7207547169811313E-2</v>
      </c>
      <c r="AK142" s="23">
        <f t="shared" si="71"/>
        <v>-0.26213831402176263</v>
      </c>
    </row>
    <row r="143" spans="1:37" x14ac:dyDescent="0.35">
      <c r="A143" s="23">
        <v>23</v>
      </c>
      <c r="B143" s="120" t="s">
        <v>164</v>
      </c>
      <c r="C143" s="48" t="s">
        <v>163</v>
      </c>
      <c r="D143" s="111" t="s">
        <v>170</v>
      </c>
      <c r="E143" s="111"/>
      <c r="F143" s="48" t="s">
        <v>158</v>
      </c>
      <c r="G143" s="167">
        <f>'time-factors'!E$38*'time-factors'!B73</f>
        <v>1.7484276729559746E-2</v>
      </c>
      <c r="H143" s="166">
        <f>'time-factors'!M73</f>
        <v>0.75</v>
      </c>
      <c r="I143" s="168" t="s">
        <v>166</v>
      </c>
      <c r="J143" s="96">
        <f>'time-factors'!R$46</f>
        <v>20</v>
      </c>
      <c r="K143" s="170">
        <f>'time-factors'!L$46</f>
        <v>0.05</v>
      </c>
      <c r="L143" s="172">
        <f t="shared" si="57"/>
        <v>6.0181940393018489E-2</v>
      </c>
      <c r="M143" s="171">
        <v>0.02</v>
      </c>
      <c r="N143" s="168">
        <f t="shared" si="58"/>
        <v>1.4999999999999999E-2</v>
      </c>
      <c r="O143" s="168">
        <v>4.4000000000000004</v>
      </c>
      <c r="P143" s="111">
        <v>200</v>
      </c>
      <c r="Q143" s="115">
        <f t="shared" si="59"/>
        <v>0.88000000000000012</v>
      </c>
      <c r="R143" s="114">
        <f t="shared" si="60"/>
        <v>0.95518194039301862</v>
      </c>
      <c r="S143" s="114">
        <f>1.2*O143</f>
        <v>5.28</v>
      </c>
      <c r="T143" s="114">
        <v>0.1</v>
      </c>
      <c r="U143" s="111">
        <f t="shared" si="61"/>
        <v>0.52800000000000002</v>
      </c>
      <c r="V143" s="111">
        <f t="shared" si="62"/>
        <v>1.8090567052898079</v>
      </c>
      <c r="W143" s="111">
        <v>200</v>
      </c>
      <c r="X143" s="111">
        <f t="shared" si="63"/>
        <v>1.056</v>
      </c>
      <c r="Y143" s="111">
        <f t="shared" si="64"/>
        <v>0</v>
      </c>
      <c r="Z143" s="111">
        <f t="shared" si="65"/>
        <v>0</v>
      </c>
      <c r="AA143" s="114">
        <f t="shared" si="66"/>
        <v>-0.10081805960698142</v>
      </c>
      <c r="AB143" s="111">
        <f t="shared" si="67"/>
        <v>-0.19094329471019209</v>
      </c>
      <c r="AC143" s="111"/>
      <c r="AD143" s="107">
        <f t="shared" si="68"/>
        <v>0.11398094771405017</v>
      </c>
      <c r="AE143" s="23">
        <f t="shared" si="69"/>
        <v>2.8409090909090908E-2</v>
      </c>
      <c r="AF143" s="108">
        <f t="shared" si="70"/>
        <v>1.6666666666666667</v>
      </c>
      <c r="AH143" s="104">
        <f t="shared" si="72"/>
        <v>1.7484276729559746E-2</v>
      </c>
      <c r="AJ143" s="104">
        <f t="shared" si="73"/>
        <v>6.4691823899371059E-2</v>
      </c>
      <c r="AK143" s="23">
        <f t="shared" si="71"/>
        <v>-0.19094329471019209</v>
      </c>
    </row>
    <row r="144" spans="1:37" x14ac:dyDescent="0.35">
      <c r="A144" s="23">
        <v>19</v>
      </c>
      <c r="B144" s="120" t="s">
        <v>140</v>
      </c>
      <c r="C144" s="111" t="s">
        <v>157</v>
      </c>
      <c r="D144" s="111" t="s">
        <v>170</v>
      </c>
      <c r="E144" s="111"/>
      <c r="F144" s="111" t="s">
        <v>159</v>
      </c>
      <c r="G144" s="167">
        <f>'time-factors'!E$38*'time-factors'!B69</f>
        <v>2.1855345911949684E-2</v>
      </c>
      <c r="H144" s="166">
        <f>'time-factors'!M69</f>
        <v>1.5</v>
      </c>
      <c r="I144" s="168" t="s">
        <v>166</v>
      </c>
      <c r="J144" s="96">
        <f>'time-factors'!R$45</f>
        <v>15</v>
      </c>
      <c r="K144" s="170">
        <f>'time-factors'!L$45</f>
        <v>0.05</v>
      </c>
      <c r="L144" s="172">
        <f t="shared" si="57"/>
        <v>0.14451343141386655</v>
      </c>
      <c r="M144" s="171">
        <v>0</v>
      </c>
      <c r="N144" s="168">
        <f t="shared" si="58"/>
        <v>0</v>
      </c>
      <c r="O144" s="168">
        <v>2.63</v>
      </c>
      <c r="P144" s="111">
        <v>200</v>
      </c>
      <c r="Q144" s="115">
        <f t="shared" si="59"/>
        <v>0.52600000000000002</v>
      </c>
      <c r="R144" s="114">
        <f t="shared" si="60"/>
        <v>0.67051343141386655</v>
      </c>
      <c r="S144" s="114">
        <f>3.5*O144</f>
        <v>9.2050000000000001</v>
      </c>
      <c r="T144" s="114">
        <v>0.18</v>
      </c>
      <c r="U144" s="111">
        <f t="shared" si="61"/>
        <v>1.6569</v>
      </c>
      <c r="V144" s="111">
        <f t="shared" si="62"/>
        <v>0.40467948060466324</v>
      </c>
      <c r="W144" s="116">
        <v>103</v>
      </c>
      <c r="X144" s="111">
        <f t="shared" si="63"/>
        <v>0.94811500000000004</v>
      </c>
      <c r="Y144" s="111">
        <f t="shared" si="64"/>
        <v>0</v>
      </c>
      <c r="Z144" s="111">
        <f t="shared" si="65"/>
        <v>0</v>
      </c>
      <c r="AA144" s="114">
        <f t="shared" si="66"/>
        <v>-0.2776015685861335</v>
      </c>
      <c r="AB144" s="111">
        <f t="shared" si="67"/>
        <v>-0.167542741617559</v>
      </c>
      <c r="AC144" s="111"/>
      <c r="AD144" s="107">
        <f t="shared" si="68"/>
        <v>8.7219163144345788E-2</v>
      </c>
      <c r="AE144" s="23">
        <f t="shared" si="69"/>
        <v>0</v>
      </c>
      <c r="AF144" s="108">
        <f t="shared" si="70"/>
        <v>0.31746031746031744</v>
      </c>
      <c r="AH144" s="104">
        <f t="shared" si="72"/>
        <v>2.1855345911949684E-2</v>
      </c>
      <c r="AJ144" s="104">
        <f t="shared" si="73"/>
        <v>8.654716981132074E-2</v>
      </c>
      <c r="AK144" s="23">
        <f t="shared" si="71"/>
        <v>-0.167542741617559</v>
      </c>
    </row>
    <row r="145" spans="1:37" ht="29" x14ac:dyDescent="0.35">
      <c r="A145" s="23">
        <v>25</v>
      </c>
      <c r="B145" s="121" t="s">
        <v>204</v>
      </c>
      <c r="C145" s="24" t="s">
        <v>41</v>
      </c>
      <c r="D145" s="24" t="s">
        <v>198</v>
      </c>
      <c r="E145" s="24"/>
      <c r="F145" s="24" t="s">
        <v>203</v>
      </c>
      <c r="G145" s="167">
        <f>'time-factors'!E$38*'time-factors'!B75</f>
        <v>2.1855345911949684E-2</v>
      </c>
      <c r="H145" s="166">
        <f>'time-factors'!M75</f>
        <v>3.0749999999999997</v>
      </c>
      <c r="I145" s="53" t="s">
        <v>166</v>
      </c>
      <c r="J145" s="168">
        <f>'time-factors'!R$47</f>
        <v>10</v>
      </c>
      <c r="K145" s="171">
        <f>'time-factors'!L$47</f>
        <v>0.05</v>
      </c>
      <c r="L145" s="55">
        <f t="shared" si="57"/>
        <v>0.3982265680187792</v>
      </c>
      <c r="M145" s="54">
        <v>0</v>
      </c>
      <c r="N145" s="53">
        <f t="shared" si="58"/>
        <v>0</v>
      </c>
      <c r="O145" s="53">
        <v>2.2000000000000002</v>
      </c>
      <c r="P145" s="53">
        <v>200</v>
      </c>
      <c r="Q145" s="56">
        <f t="shared" si="59"/>
        <v>0.44000000000000006</v>
      </c>
      <c r="R145" s="55">
        <f t="shared" si="60"/>
        <v>0.83822656801877926</v>
      </c>
      <c r="S145" s="59">
        <f>2*O145</f>
        <v>4.4000000000000004</v>
      </c>
      <c r="T145" s="59">
        <v>0.27</v>
      </c>
      <c r="U145" s="53">
        <f t="shared" si="61"/>
        <v>1.1880000000000002</v>
      </c>
      <c r="V145" s="53">
        <f t="shared" si="62"/>
        <v>0.7055779192077265</v>
      </c>
      <c r="W145" s="53">
        <v>200</v>
      </c>
      <c r="X145" s="57">
        <f t="shared" si="63"/>
        <v>0.88000000000000012</v>
      </c>
      <c r="Y145" s="53">
        <f t="shared" si="64"/>
        <v>0</v>
      </c>
      <c r="Z145" s="53">
        <f t="shared" si="65"/>
        <v>0</v>
      </c>
      <c r="AA145" s="55">
        <f t="shared" si="66"/>
        <v>-4.1773431981220854E-2</v>
      </c>
      <c r="AB145" s="53">
        <f t="shared" si="67"/>
        <v>-3.5162821533014185E-2</v>
      </c>
      <c r="AC145" s="53"/>
      <c r="AD145" s="107">
        <f t="shared" si="68"/>
        <v>0.33520754883735621</v>
      </c>
      <c r="AE145" s="23">
        <f t="shared" si="69"/>
        <v>0</v>
      </c>
      <c r="AF145" s="108">
        <f t="shared" si="70"/>
        <v>0.37037037037037035</v>
      </c>
      <c r="AH145" s="104">
        <f t="shared" si="72"/>
        <v>2.1855345911949684E-2</v>
      </c>
      <c r="AJ145" s="104">
        <f t="shared" si="73"/>
        <v>0.10840251572327042</v>
      </c>
      <c r="AK145" s="23">
        <f t="shared" si="71"/>
        <v>-3.5162821533014185E-2</v>
      </c>
    </row>
    <row r="146" spans="1:37" x14ac:dyDescent="0.35">
      <c r="A146" s="23">
        <v>12</v>
      </c>
      <c r="B146" s="118" t="s">
        <v>151</v>
      </c>
      <c r="C146" s="23" t="s">
        <v>139</v>
      </c>
      <c r="D146" s="23" t="s">
        <v>171</v>
      </c>
      <c r="E146" s="23" t="s">
        <v>128</v>
      </c>
      <c r="F146" s="23" t="s">
        <v>83</v>
      </c>
      <c r="G146" s="167">
        <f>'time-factors'!E$38*'time-factors'!B62</f>
        <v>1.7484276729559747E-3</v>
      </c>
      <c r="H146" s="166">
        <f>'time-factors'!M62</f>
        <v>33.75</v>
      </c>
      <c r="I146" s="96" t="s">
        <v>98</v>
      </c>
      <c r="J146" s="96">
        <f>'time-factors'!R$43</f>
        <v>10</v>
      </c>
      <c r="K146" s="170">
        <f>'time-factors'!L$43</f>
        <v>0.05</v>
      </c>
      <c r="L146" s="173">
        <f t="shared" si="57"/>
        <v>4.3707794050841624</v>
      </c>
      <c r="M146" s="170">
        <v>0</v>
      </c>
      <c r="N146" s="96">
        <f t="shared" si="58"/>
        <v>0</v>
      </c>
      <c r="O146" s="167" cm="1">
        <f t="array" ref="O146">IFERROR(_xlfn.IFS(E146="Heavy", 'vehicle E calcs'!$H$33,E146="Cars/vans",'vehicle E calcs'!$H$32),"")</f>
        <v>6.3768270755398833</v>
      </c>
      <c r="P146" s="106">
        <v>200</v>
      </c>
      <c r="Q146" s="108">
        <f t="shared" si="59"/>
        <v>1.2753654151079765</v>
      </c>
      <c r="R146" s="107">
        <f t="shared" si="60"/>
        <v>5.6461448201921387</v>
      </c>
      <c r="S146" s="107" cm="1">
        <f t="array" ref="S146">_xlfn.IFS(E146="Heavy", 'vehicle E calcs'!$T$21,E146="Cars/vans",'vehicle E calcs'!$S$21)*O146</f>
        <v>23.354986057632608</v>
      </c>
      <c r="T146" s="109">
        <v>0.27</v>
      </c>
      <c r="U146" s="23">
        <f t="shared" si="61"/>
        <v>6.3058462355608045</v>
      </c>
      <c r="V146" s="23">
        <f t="shared" si="62"/>
        <v>0.89538257186666148</v>
      </c>
      <c r="W146" s="106">
        <f t="shared" ref="W146:W163" si="74">W$2*105</f>
        <v>168</v>
      </c>
      <c r="X146" s="23">
        <f t="shared" si="63"/>
        <v>3.9236376576822782</v>
      </c>
      <c r="Y146" s="96">
        <f t="shared" ref="Y146:Y163" si="75">$Z$2</f>
        <v>0</v>
      </c>
      <c r="Z146" s="23">
        <f t="shared" si="65"/>
        <v>0</v>
      </c>
      <c r="AA146" s="107">
        <f t="shared" si="66"/>
        <v>1.7225071625098605</v>
      </c>
      <c r="AB146" s="23">
        <f t="shared" si="67"/>
        <v>0.27316034964443925</v>
      </c>
      <c r="AD146" s="107">
        <f t="shared" si="68"/>
        <v>0.69313130098793974</v>
      </c>
      <c r="AE146" s="23">
        <f t="shared" si="69"/>
        <v>0</v>
      </c>
      <c r="AF146" s="108">
        <f t="shared" si="70"/>
        <v>0.20225127087872183</v>
      </c>
      <c r="AH146" s="104">
        <f t="shared" si="72"/>
        <v>1.7484276729559747E-3</v>
      </c>
      <c r="AJ146" s="104">
        <f t="shared" si="73"/>
        <v>0.1101509433962264</v>
      </c>
      <c r="AK146" s="23">
        <f t="shared" si="71"/>
        <v>0.27316034964443925</v>
      </c>
    </row>
    <row r="147" spans="1:37" x14ac:dyDescent="0.35">
      <c r="A147" s="23">
        <v>16</v>
      </c>
      <c r="B147" s="118" t="s">
        <v>154</v>
      </c>
      <c r="C147" s="23" t="s">
        <v>139</v>
      </c>
      <c r="D147" s="23" t="s">
        <v>171</v>
      </c>
      <c r="E147" s="23" t="s">
        <v>128</v>
      </c>
      <c r="F147" s="23" t="s">
        <v>83</v>
      </c>
      <c r="G147" s="167">
        <f>'time-factors'!E$38*'time-factors'!B66</f>
        <v>1.7484276729559747E-3</v>
      </c>
      <c r="H147" s="166">
        <f>'time-factors'!M66</f>
        <v>33.75</v>
      </c>
      <c r="I147" s="96" t="s">
        <v>98</v>
      </c>
      <c r="J147" s="96">
        <f>'time-factors'!R$43</f>
        <v>10</v>
      </c>
      <c r="K147" s="170">
        <f>'time-factors'!L$43</f>
        <v>0.05</v>
      </c>
      <c r="L147" s="173">
        <f t="shared" si="57"/>
        <v>4.3707794050841624</v>
      </c>
      <c r="M147" s="170">
        <v>0</v>
      </c>
      <c r="N147" s="96">
        <f t="shared" si="58"/>
        <v>0</v>
      </c>
      <c r="O147" s="167" cm="1">
        <f t="array" ref="O147">IFERROR(_xlfn.IFS(E147="Heavy", 'vehicle E calcs'!$H$33,E147="Cars/vans",'vehicle E calcs'!$H$32),"")</f>
        <v>6.3768270755398833</v>
      </c>
      <c r="P147" s="106">
        <v>200</v>
      </c>
      <c r="Q147" s="108">
        <f t="shared" si="59"/>
        <v>1.2753654151079765</v>
      </c>
      <c r="R147" s="107">
        <f t="shared" si="60"/>
        <v>5.6461448201921387</v>
      </c>
      <c r="S147" s="107" cm="1">
        <f t="array" ref="S147">_xlfn.IFS(E147="Heavy", 'vehicle E calcs'!$T$21,E147="Cars/vans",'vehicle E calcs'!$S$21)*O147</f>
        <v>23.354986057632608</v>
      </c>
      <c r="T147" s="109">
        <v>0.27</v>
      </c>
      <c r="U147" s="23">
        <f t="shared" si="61"/>
        <v>6.3058462355608045</v>
      </c>
      <c r="V147" s="23">
        <f t="shared" si="62"/>
        <v>0.89538257186666148</v>
      </c>
      <c r="W147" s="106">
        <f t="shared" si="74"/>
        <v>168</v>
      </c>
      <c r="X147" s="23">
        <f t="shared" si="63"/>
        <v>3.9236376576822782</v>
      </c>
      <c r="Y147" s="96">
        <f t="shared" si="75"/>
        <v>0</v>
      </c>
      <c r="Z147" s="23">
        <f t="shared" si="65"/>
        <v>0</v>
      </c>
      <c r="AA147" s="107">
        <f t="shared" si="66"/>
        <v>1.7225071625098605</v>
      </c>
      <c r="AB147" s="23">
        <f t="shared" si="67"/>
        <v>0.27316034964443925</v>
      </c>
      <c r="AD147" s="107">
        <f t="shared" si="68"/>
        <v>0.69313130098793974</v>
      </c>
      <c r="AE147" s="23">
        <f t="shared" si="69"/>
        <v>0</v>
      </c>
      <c r="AF147" s="108">
        <f t="shared" si="70"/>
        <v>0.20225127087872183</v>
      </c>
      <c r="AH147" s="104">
        <f t="shared" si="72"/>
        <v>1.7484276729559747E-3</v>
      </c>
      <c r="AJ147" s="104">
        <f t="shared" si="73"/>
        <v>0.11189937106918238</v>
      </c>
      <c r="AK147" s="23">
        <f t="shared" si="71"/>
        <v>0.27316034964443925</v>
      </c>
    </row>
    <row r="148" spans="1:37" ht="45.5" x14ac:dyDescent="0.35">
      <c r="A148" s="23">
        <v>13</v>
      </c>
      <c r="B148" s="118" t="s">
        <v>232</v>
      </c>
      <c r="C148" s="23" t="s">
        <v>139</v>
      </c>
      <c r="D148" s="23" t="s">
        <v>171</v>
      </c>
      <c r="E148" s="23" t="s">
        <v>188</v>
      </c>
      <c r="F148" s="23" t="s">
        <v>83</v>
      </c>
      <c r="G148" s="167">
        <f>'time-factors'!E$38*'time-factors'!B63</f>
        <v>1.9232704402515723E-3</v>
      </c>
      <c r="H148" s="166">
        <f>'time-factors'!M63</f>
        <v>58.125</v>
      </c>
      <c r="I148" s="96" t="s">
        <v>98</v>
      </c>
      <c r="J148" s="96">
        <f>'time-factors'!R$43</f>
        <v>10</v>
      </c>
      <c r="K148" s="170">
        <f>'time-factors'!L$43</f>
        <v>0.05</v>
      </c>
      <c r="L148" s="173">
        <f t="shared" si="57"/>
        <v>7.527453419867169</v>
      </c>
      <c r="M148" s="170">
        <v>0</v>
      </c>
      <c r="N148" s="96">
        <f t="shared" si="58"/>
        <v>0</v>
      </c>
      <c r="O148" s="167" cm="1">
        <f t="array" ref="O148">IFERROR(_xlfn.IFS(E148="Heavy", 'vehicle E calcs'!$H$33,E148="Cars/vans",'vehicle E calcs'!$H$32),"")</f>
        <v>7.1233383316924828</v>
      </c>
      <c r="P148" s="106">
        <v>200</v>
      </c>
      <c r="Q148" s="108">
        <f t="shared" si="59"/>
        <v>1.4246676663384965</v>
      </c>
      <c r="R148" s="107">
        <f t="shared" si="60"/>
        <v>8.9521210862056648</v>
      </c>
      <c r="S148" s="107" cm="1">
        <f t="array" ref="S148">_xlfn.IFS(E148="Heavy", 'vehicle E calcs'!$T$21,E148="Cars/vans",'vehicle E calcs'!$S$21)*O148</f>
        <v>24.362584419881831</v>
      </c>
      <c r="T148" s="109">
        <v>0.27</v>
      </c>
      <c r="U148" s="23">
        <f t="shared" si="61"/>
        <v>6.5778977933680949</v>
      </c>
      <c r="V148" s="23">
        <f t="shared" si="62"/>
        <v>1.3609395231454169</v>
      </c>
      <c r="W148" s="106">
        <f t="shared" si="74"/>
        <v>168</v>
      </c>
      <c r="X148" s="23">
        <f t="shared" si="63"/>
        <v>4.0929141825401478</v>
      </c>
      <c r="Y148" s="96">
        <f t="shared" si="75"/>
        <v>0</v>
      </c>
      <c r="Z148" s="23">
        <f t="shared" si="65"/>
        <v>0</v>
      </c>
      <c r="AA148" s="107">
        <f t="shared" si="66"/>
        <v>4.859206903665517</v>
      </c>
      <c r="AB148" s="23">
        <f t="shared" si="67"/>
        <v>0.73871730092319465</v>
      </c>
      <c r="AD148" s="107">
        <f t="shared" si="68"/>
        <v>1.1443554850390691</v>
      </c>
      <c r="AE148" s="23">
        <f t="shared" si="69"/>
        <v>0</v>
      </c>
      <c r="AF148" s="108">
        <f t="shared" si="70"/>
        <v>0.2165840381063478</v>
      </c>
      <c r="AH148" s="104">
        <f t="shared" si="72"/>
        <v>1.9232704402515723E-3</v>
      </c>
      <c r="AJ148" s="104">
        <f t="shared" si="73"/>
        <v>0.11382264150943396</v>
      </c>
      <c r="AK148" s="23">
        <f t="shared" si="71"/>
        <v>0.73871730092319465</v>
      </c>
    </row>
    <row r="149" spans="1:37" x14ac:dyDescent="0.35">
      <c r="A149" s="23">
        <v>11</v>
      </c>
      <c r="B149" s="118" t="s">
        <v>150</v>
      </c>
      <c r="C149" s="23" t="s">
        <v>139</v>
      </c>
      <c r="D149" s="23" t="s">
        <v>171</v>
      </c>
      <c r="E149" s="23" t="s">
        <v>128</v>
      </c>
      <c r="F149" s="23" t="s">
        <v>83</v>
      </c>
      <c r="G149" s="167">
        <f>'time-factors'!E$38*'time-factors'!B61</f>
        <v>8.7421383647798734E-4</v>
      </c>
      <c r="H149" s="166">
        <f>'time-factors'!M61</f>
        <v>58.125</v>
      </c>
      <c r="I149" s="96" t="s">
        <v>98</v>
      </c>
      <c r="J149" s="96">
        <f>'time-factors'!R$43</f>
        <v>10</v>
      </c>
      <c r="K149" s="170">
        <f>'time-factors'!L$43</f>
        <v>0.05</v>
      </c>
      <c r="L149" s="173">
        <f t="shared" si="57"/>
        <v>7.527453419867169</v>
      </c>
      <c r="M149" s="170">
        <v>0</v>
      </c>
      <c r="N149" s="96">
        <f t="shared" si="58"/>
        <v>0</v>
      </c>
      <c r="O149" s="167" cm="1">
        <f t="array" ref="O149">IFERROR(_xlfn.IFS(E149="Heavy", 'vehicle E calcs'!$H$33,E149="Cars/vans",'vehicle E calcs'!$H$32),"")</f>
        <v>6.3768270755398833</v>
      </c>
      <c r="P149" s="106">
        <v>200</v>
      </c>
      <c r="Q149" s="108">
        <f t="shared" si="59"/>
        <v>1.2753654151079765</v>
      </c>
      <c r="R149" s="107">
        <f t="shared" si="60"/>
        <v>8.8028188349751453</v>
      </c>
      <c r="S149" s="107" cm="1">
        <f t="array" ref="S149">_xlfn.IFS(E149="Heavy", 'vehicle E calcs'!$T$21,E149="Cars/vans",'vehicle E calcs'!$S$21)*O149</f>
        <v>23.354986057632608</v>
      </c>
      <c r="T149" s="109">
        <v>0.27</v>
      </c>
      <c r="U149" s="23">
        <f t="shared" si="61"/>
        <v>6.3058462355608045</v>
      </c>
      <c r="V149" s="23">
        <f t="shared" si="62"/>
        <v>1.3959774003579513</v>
      </c>
      <c r="W149" s="106">
        <f t="shared" si="74"/>
        <v>168</v>
      </c>
      <c r="X149" s="23">
        <f t="shared" si="63"/>
        <v>3.9236376576822782</v>
      </c>
      <c r="Y149" s="96">
        <f t="shared" si="75"/>
        <v>0</v>
      </c>
      <c r="Z149" s="23">
        <f t="shared" si="65"/>
        <v>0</v>
      </c>
      <c r="AA149" s="107">
        <f t="shared" si="66"/>
        <v>4.8791811772928675</v>
      </c>
      <c r="AB149" s="23">
        <f t="shared" si="67"/>
        <v>0.77375517813572914</v>
      </c>
      <c r="AD149" s="107">
        <f t="shared" si="68"/>
        <v>1.1937261294792296</v>
      </c>
      <c r="AE149" s="23">
        <f t="shared" si="69"/>
        <v>0</v>
      </c>
      <c r="AF149" s="108">
        <f t="shared" si="70"/>
        <v>0.20225127087872183</v>
      </c>
      <c r="AH149" s="104">
        <f t="shared" si="72"/>
        <v>8.7421383647798734E-4</v>
      </c>
      <c r="AJ149" s="104">
        <f t="shared" si="73"/>
        <v>0.11469685534591194</v>
      </c>
      <c r="AK149" s="23">
        <f t="shared" si="71"/>
        <v>0.77375517813572914</v>
      </c>
    </row>
    <row r="150" spans="1:37" x14ac:dyDescent="0.35">
      <c r="A150" s="23">
        <v>6</v>
      </c>
      <c r="B150" s="118" t="s">
        <v>146</v>
      </c>
      <c r="C150" s="23" t="s">
        <v>139</v>
      </c>
      <c r="D150" s="23" t="s">
        <v>171</v>
      </c>
      <c r="E150" s="23" t="s">
        <v>188</v>
      </c>
      <c r="F150" s="23" t="s">
        <v>83</v>
      </c>
      <c r="G150" s="167">
        <f>'time-factors'!E$38*'time-factors'!B56</f>
        <v>2.5352201257861631E-3</v>
      </c>
      <c r="H150" s="166">
        <f>'time-factors'!M56</f>
        <v>111.48396000000001</v>
      </c>
      <c r="I150" s="96" t="s">
        <v>98</v>
      </c>
      <c r="J150" s="96">
        <f>'time-factors'!R$43</f>
        <v>10</v>
      </c>
      <c r="K150" s="170">
        <f>'time-factors'!L$43</f>
        <v>0.05</v>
      </c>
      <c r="L150" s="173">
        <f t="shared" si="57"/>
        <v>14.437682855265974</v>
      </c>
      <c r="M150" s="170">
        <v>0</v>
      </c>
      <c r="N150" s="96">
        <f t="shared" si="58"/>
        <v>0</v>
      </c>
      <c r="O150" s="167" cm="1">
        <f t="array" ref="O150">IFERROR(_xlfn.IFS(E150="Heavy", 'vehicle E calcs'!$H$33,E150="Cars/vans",'vehicle E calcs'!$H$32),"")</f>
        <v>7.1233383316924828</v>
      </c>
      <c r="P150" s="106">
        <v>200</v>
      </c>
      <c r="Q150" s="108">
        <f t="shared" si="59"/>
        <v>1.4246676663384965</v>
      </c>
      <c r="R150" s="107">
        <f t="shared" si="60"/>
        <v>15.862350521604471</v>
      </c>
      <c r="S150" s="107" cm="1">
        <f t="array" ref="S150">_xlfn.IFS(E150="Heavy", 'vehicle E calcs'!$T$21,E150="Cars/vans",'vehicle E calcs'!$S$21)*O150</f>
        <v>24.362584419881831</v>
      </c>
      <c r="T150" s="109">
        <v>0.27</v>
      </c>
      <c r="U150" s="23">
        <f t="shared" si="61"/>
        <v>6.5778977933680949</v>
      </c>
      <c r="V150" s="23">
        <f t="shared" si="62"/>
        <v>2.4114619928569061</v>
      </c>
      <c r="W150" s="106">
        <f t="shared" si="74"/>
        <v>168</v>
      </c>
      <c r="X150" s="23">
        <f t="shared" si="63"/>
        <v>4.0929141825401478</v>
      </c>
      <c r="Y150" s="96">
        <f t="shared" si="75"/>
        <v>0</v>
      </c>
      <c r="Z150" s="23">
        <f t="shared" si="65"/>
        <v>0</v>
      </c>
      <c r="AA150" s="107">
        <f t="shared" si="66"/>
        <v>11.769436339064324</v>
      </c>
      <c r="AB150" s="23">
        <f t="shared" si="67"/>
        <v>1.7892397706346841</v>
      </c>
      <c r="AD150" s="107">
        <f t="shared" si="68"/>
        <v>2.1948779547505581</v>
      </c>
      <c r="AE150" s="23">
        <f t="shared" si="69"/>
        <v>0</v>
      </c>
      <c r="AF150" s="108">
        <f t="shared" si="70"/>
        <v>0.2165840381063478</v>
      </c>
      <c r="AH150" s="104">
        <f t="shared" si="72"/>
        <v>2.5352201257861631E-3</v>
      </c>
      <c r="AJ150" s="104">
        <f t="shared" si="73"/>
        <v>0.1172320754716981</v>
      </c>
      <c r="AK150" s="23">
        <f t="shared" si="71"/>
        <v>1.7892397706346841</v>
      </c>
    </row>
    <row r="151" spans="1:37" x14ac:dyDescent="0.35">
      <c r="A151" s="23">
        <v>1</v>
      </c>
      <c r="B151" s="118" t="s">
        <v>141</v>
      </c>
      <c r="C151" s="23" t="s">
        <v>139</v>
      </c>
      <c r="D151" s="23" t="s">
        <v>171</v>
      </c>
      <c r="E151" s="23" t="s">
        <v>128</v>
      </c>
      <c r="F151" s="23" t="s">
        <v>83</v>
      </c>
      <c r="G151" s="167">
        <f>'time-factors'!E$38*'time-factors'!B51</f>
        <v>3.0597484276729558E-3</v>
      </c>
      <c r="H151" s="166">
        <f>'time-factors'!M51</f>
        <v>149.308875</v>
      </c>
      <c r="I151" s="96" t="s">
        <v>98</v>
      </c>
      <c r="J151" s="96">
        <f>'time-factors'!R$43</f>
        <v>10</v>
      </c>
      <c r="K151" s="170">
        <f>'time-factors'!L$43</f>
        <v>0.05</v>
      </c>
      <c r="L151" s="173">
        <f t="shared" si="57"/>
        <v>19.336182395445498</v>
      </c>
      <c r="M151" s="170">
        <v>0</v>
      </c>
      <c r="N151" s="96">
        <f t="shared" si="58"/>
        <v>0</v>
      </c>
      <c r="O151" s="167" cm="1">
        <f t="array" ref="O151">IFERROR(_xlfn.IFS(E151="Heavy", 'vehicle E calcs'!$H$33,E151="Cars/vans",'vehicle E calcs'!$H$32),"")</f>
        <v>6.3768270755398833</v>
      </c>
      <c r="P151" s="106">
        <v>200</v>
      </c>
      <c r="Q151" s="108">
        <f t="shared" si="59"/>
        <v>1.2753654151079765</v>
      </c>
      <c r="R151" s="107">
        <f t="shared" si="60"/>
        <v>20.611547810553475</v>
      </c>
      <c r="S151" s="107" cm="1">
        <f t="array" ref="S151">_xlfn.IFS(E151="Heavy", 'vehicle E calcs'!$T$21,E151="Cars/vans",'vehicle E calcs'!$S$21)*O151</f>
        <v>23.354986057632608</v>
      </c>
      <c r="T151" s="109">
        <v>0.27</v>
      </c>
      <c r="U151" s="23">
        <f t="shared" si="61"/>
        <v>6.3058462355608045</v>
      </c>
      <c r="V151" s="23">
        <f t="shared" si="62"/>
        <v>3.2686410420726673</v>
      </c>
      <c r="W151" s="106">
        <f t="shared" si="74"/>
        <v>168</v>
      </c>
      <c r="X151" s="23">
        <f t="shared" si="63"/>
        <v>3.9236376576822782</v>
      </c>
      <c r="Y151" s="96">
        <f t="shared" si="75"/>
        <v>0</v>
      </c>
      <c r="Z151" s="23">
        <f t="shared" si="65"/>
        <v>0</v>
      </c>
      <c r="AA151" s="107">
        <f t="shared" si="66"/>
        <v>16.687910152871197</v>
      </c>
      <c r="AB151" s="23">
        <f t="shared" si="67"/>
        <v>2.6464188198504455</v>
      </c>
      <c r="AD151" s="107">
        <f t="shared" si="68"/>
        <v>3.0663897711939456</v>
      </c>
      <c r="AE151" s="23">
        <f t="shared" si="69"/>
        <v>0</v>
      </c>
      <c r="AF151" s="108">
        <f t="shared" si="70"/>
        <v>0.20225127087872183</v>
      </c>
      <c r="AH151" s="104">
        <f t="shared" si="72"/>
        <v>3.0597484276729558E-3</v>
      </c>
      <c r="AJ151" s="104">
        <f t="shared" si="73"/>
        <v>0.12029182389937106</v>
      </c>
      <c r="AK151" s="23">
        <f t="shared" si="71"/>
        <v>2.6464188198504455</v>
      </c>
    </row>
    <row r="152" spans="1:37" x14ac:dyDescent="0.35">
      <c r="A152" s="23">
        <v>4</v>
      </c>
      <c r="B152" s="118" t="s">
        <v>144</v>
      </c>
      <c r="C152" s="23" t="s">
        <v>139</v>
      </c>
      <c r="D152" s="23" t="s">
        <v>171</v>
      </c>
      <c r="E152" s="23" t="s">
        <v>188</v>
      </c>
      <c r="F152" s="23" t="s">
        <v>83</v>
      </c>
      <c r="G152" s="167">
        <f>'time-factors'!E$38*'time-factors'!B54</f>
        <v>1.3113207547169811E-3</v>
      </c>
      <c r="H152" s="166">
        <f>'time-factors'!M54</f>
        <v>216</v>
      </c>
      <c r="I152" s="96" t="s">
        <v>98</v>
      </c>
      <c r="J152" s="96">
        <f>'time-factors'!R$43</f>
        <v>10</v>
      </c>
      <c r="K152" s="170">
        <f>'time-factors'!L$43</f>
        <v>0.05</v>
      </c>
      <c r="L152" s="173">
        <f t="shared" si="57"/>
        <v>27.97298819253864</v>
      </c>
      <c r="M152" s="170">
        <v>0</v>
      </c>
      <c r="N152" s="96">
        <f t="shared" si="58"/>
        <v>0</v>
      </c>
      <c r="O152" s="167" cm="1">
        <f t="array" ref="O152">IFERROR(_xlfn.IFS(E152="Heavy", 'vehicle E calcs'!$H$33,E152="Cars/vans",'vehicle E calcs'!$H$32),"")</f>
        <v>7.1233383316924828</v>
      </c>
      <c r="P152" s="106">
        <v>200</v>
      </c>
      <c r="Q152" s="108">
        <f t="shared" si="59"/>
        <v>1.4246676663384965</v>
      </c>
      <c r="R152" s="107">
        <f t="shared" si="60"/>
        <v>29.397655858877137</v>
      </c>
      <c r="S152" s="107" cm="1">
        <f t="array" ref="S152">_xlfn.IFS(E152="Heavy", 'vehicle E calcs'!$T$21,E152="Cars/vans",'vehicle E calcs'!$S$21)*O152</f>
        <v>24.362584419881831</v>
      </c>
      <c r="T152" s="109">
        <v>0.27</v>
      </c>
      <c r="U152" s="23">
        <f t="shared" si="61"/>
        <v>6.5778977933680949</v>
      </c>
      <c r="V152" s="23">
        <f t="shared" si="62"/>
        <v>4.4691566792837918</v>
      </c>
      <c r="W152" s="106">
        <f t="shared" si="74"/>
        <v>168</v>
      </c>
      <c r="X152" s="23">
        <f t="shared" si="63"/>
        <v>4.0929141825401478</v>
      </c>
      <c r="Y152" s="96">
        <f t="shared" si="75"/>
        <v>0</v>
      </c>
      <c r="Z152" s="23">
        <f t="shared" si="65"/>
        <v>0</v>
      </c>
      <c r="AA152" s="107">
        <f t="shared" si="66"/>
        <v>25.304741676336988</v>
      </c>
      <c r="AB152" s="23">
        <f t="shared" si="67"/>
        <v>3.8469344570615696</v>
      </c>
      <c r="AD152" s="107">
        <f t="shared" si="68"/>
        <v>4.2525726411774443</v>
      </c>
      <c r="AE152" s="23">
        <f t="shared" si="69"/>
        <v>0</v>
      </c>
      <c r="AF152" s="108">
        <f t="shared" si="70"/>
        <v>0.2165840381063478</v>
      </c>
      <c r="AH152" s="104">
        <f t="shared" si="72"/>
        <v>1.3113207547169811E-3</v>
      </c>
      <c r="AJ152" s="104">
        <f t="shared" si="73"/>
        <v>0.12160314465408803</v>
      </c>
      <c r="AK152" s="23">
        <f t="shared" si="71"/>
        <v>3.8469344570615696</v>
      </c>
    </row>
    <row r="153" spans="1:37" ht="29" x14ac:dyDescent="0.35">
      <c r="A153" s="23">
        <v>7</v>
      </c>
      <c r="B153" s="118" t="s">
        <v>147</v>
      </c>
      <c r="C153" s="23" t="s">
        <v>139</v>
      </c>
      <c r="D153" s="23" t="s">
        <v>171</v>
      </c>
      <c r="E153" s="23" t="s">
        <v>188</v>
      </c>
      <c r="F153" s="23" t="s">
        <v>83</v>
      </c>
      <c r="G153" s="167">
        <f>'time-factors'!E$38*'time-factors'!B57</f>
        <v>2.1855345911949682E-3</v>
      </c>
      <c r="H153" s="166">
        <f>'time-factors'!M57</f>
        <v>216</v>
      </c>
      <c r="I153" s="96" t="s">
        <v>98</v>
      </c>
      <c r="J153" s="96">
        <f>'time-factors'!R$43</f>
        <v>10</v>
      </c>
      <c r="K153" s="170">
        <f>'time-factors'!L$43</f>
        <v>0.05</v>
      </c>
      <c r="L153" s="173">
        <f t="shared" si="57"/>
        <v>27.97298819253864</v>
      </c>
      <c r="M153" s="170">
        <v>0</v>
      </c>
      <c r="N153" s="96">
        <f t="shared" si="58"/>
        <v>0</v>
      </c>
      <c r="O153" s="167" cm="1">
        <f t="array" ref="O153">IFERROR(_xlfn.IFS(E153="Heavy", 'vehicle E calcs'!$H$33,E153="Cars/vans",'vehicle E calcs'!$H$32),"")</f>
        <v>7.1233383316924828</v>
      </c>
      <c r="P153" s="106">
        <v>200</v>
      </c>
      <c r="Q153" s="108">
        <f t="shared" si="59"/>
        <v>1.4246676663384965</v>
      </c>
      <c r="R153" s="107">
        <f t="shared" si="60"/>
        <v>29.397655858877137</v>
      </c>
      <c r="S153" s="107" cm="1">
        <f t="array" ref="S153">_xlfn.IFS(E153="Heavy", 'vehicle E calcs'!$T$21,E153="Cars/vans",'vehicle E calcs'!$S$21)*O153</f>
        <v>24.362584419881831</v>
      </c>
      <c r="T153" s="109">
        <v>0.27</v>
      </c>
      <c r="U153" s="23">
        <f t="shared" si="61"/>
        <v>6.5778977933680949</v>
      </c>
      <c r="V153" s="23">
        <f t="shared" si="62"/>
        <v>4.4691566792837918</v>
      </c>
      <c r="W153" s="106">
        <f t="shared" si="74"/>
        <v>168</v>
      </c>
      <c r="X153" s="23">
        <f t="shared" si="63"/>
        <v>4.0929141825401478</v>
      </c>
      <c r="Y153" s="96">
        <f t="shared" si="75"/>
        <v>0</v>
      </c>
      <c r="Z153" s="23">
        <f t="shared" si="65"/>
        <v>0</v>
      </c>
      <c r="AA153" s="107">
        <f t="shared" si="66"/>
        <v>25.304741676336988</v>
      </c>
      <c r="AB153" s="23">
        <f t="shared" si="67"/>
        <v>3.8469344570615696</v>
      </c>
      <c r="AD153" s="107">
        <f t="shared" si="68"/>
        <v>4.2525726411774443</v>
      </c>
      <c r="AE153" s="23">
        <f t="shared" si="69"/>
        <v>0</v>
      </c>
      <c r="AF153" s="108">
        <f t="shared" si="70"/>
        <v>0.2165840381063478</v>
      </c>
      <c r="AH153" s="104">
        <f t="shared" si="72"/>
        <v>2.1855345911949682E-3</v>
      </c>
      <c r="AJ153" s="104">
        <f t="shared" si="73"/>
        <v>0.123788679245283</v>
      </c>
      <c r="AK153" s="23">
        <f t="shared" si="71"/>
        <v>3.8469344570615696</v>
      </c>
    </row>
    <row r="154" spans="1:37" x14ac:dyDescent="0.35">
      <c r="A154" s="23">
        <v>9</v>
      </c>
      <c r="B154" s="118" t="s">
        <v>149</v>
      </c>
      <c r="C154" s="23" t="s">
        <v>139</v>
      </c>
      <c r="D154" s="23" t="s">
        <v>171</v>
      </c>
      <c r="E154" s="23" t="s">
        <v>188</v>
      </c>
      <c r="F154" s="23" t="s">
        <v>83</v>
      </c>
      <c r="G154" s="167">
        <f>'time-factors'!E$38*'time-factors'!B59</f>
        <v>8.7421383647798734E-4</v>
      </c>
      <c r="H154" s="166">
        <f>'time-factors'!M59</f>
        <v>216</v>
      </c>
      <c r="I154" s="96" t="s">
        <v>98</v>
      </c>
      <c r="J154" s="96">
        <f>'time-factors'!R$43</f>
        <v>10</v>
      </c>
      <c r="K154" s="170">
        <f>'time-factors'!L$43</f>
        <v>0.05</v>
      </c>
      <c r="L154" s="173">
        <f t="shared" si="57"/>
        <v>27.97298819253864</v>
      </c>
      <c r="M154" s="170">
        <v>0</v>
      </c>
      <c r="N154" s="96">
        <f t="shared" si="58"/>
        <v>0</v>
      </c>
      <c r="O154" s="167" cm="1">
        <f t="array" ref="O154">IFERROR(_xlfn.IFS(E154="Heavy", 'vehicle E calcs'!$H$33,E154="Cars/vans",'vehicle E calcs'!$H$32),"")</f>
        <v>7.1233383316924828</v>
      </c>
      <c r="P154" s="106">
        <v>200</v>
      </c>
      <c r="Q154" s="108">
        <f t="shared" si="59"/>
        <v>1.4246676663384965</v>
      </c>
      <c r="R154" s="107">
        <f t="shared" si="60"/>
        <v>29.397655858877137</v>
      </c>
      <c r="S154" s="107" cm="1">
        <f t="array" ref="S154">_xlfn.IFS(E154="Heavy", 'vehicle E calcs'!$T$21,E154="Cars/vans",'vehicle E calcs'!$S$21)*O154</f>
        <v>24.362584419881831</v>
      </c>
      <c r="T154" s="109">
        <v>0.27</v>
      </c>
      <c r="U154" s="23">
        <f t="shared" si="61"/>
        <v>6.5778977933680949</v>
      </c>
      <c r="V154" s="23">
        <f t="shared" si="62"/>
        <v>4.4691566792837918</v>
      </c>
      <c r="W154" s="106">
        <f t="shared" si="74"/>
        <v>168</v>
      </c>
      <c r="X154" s="23">
        <f t="shared" si="63"/>
        <v>4.0929141825401478</v>
      </c>
      <c r="Y154" s="96">
        <f t="shared" si="75"/>
        <v>0</v>
      </c>
      <c r="Z154" s="23">
        <f t="shared" si="65"/>
        <v>0</v>
      </c>
      <c r="AA154" s="107">
        <f t="shared" si="66"/>
        <v>25.304741676336988</v>
      </c>
      <c r="AB154" s="23">
        <f t="shared" si="67"/>
        <v>3.8469344570615696</v>
      </c>
      <c r="AD154" s="107">
        <f t="shared" si="68"/>
        <v>4.2525726411774443</v>
      </c>
      <c r="AE154" s="23">
        <f t="shared" si="69"/>
        <v>0</v>
      </c>
      <c r="AF154" s="108">
        <f t="shared" si="70"/>
        <v>0.2165840381063478</v>
      </c>
      <c r="AH154" s="104">
        <f t="shared" si="72"/>
        <v>8.7421383647798734E-4</v>
      </c>
      <c r="AJ154" s="104">
        <f t="shared" si="73"/>
        <v>0.12466289308176098</v>
      </c>
      <c r="AK154" s="23">
        <f t="shared" si="71"/>
        <v>3.8469344570615696</v>
      </c>
    </row>
    <row r="155" spans="1:37" x14ac:dyDescent="0.35">
      <c r="A155" s="23">
        <v>15</v>
      </c>
      <c r="B155" s="118" t="s">
        <v>153</v>
      </c>
      <c r="C155" s="23" t="s">
        <v>139</v>
      </c>
      <c r="D155" s="23" t="s">
        <v>171</v>
      </c>
      <c r="E155" s="23" t="s">
        <v>188</v>
      </c>
      <c r="F155" s="23" t="s">
        <v>83</v>
      </c>
      <c r="G155" s="167">
        <f>'time-factors'!E$38*'time-factors'!B65</f>
        <v>1.3987421383647798E-3</v>
      </c>
      <c r="H155" s="166">
        <f>'time-factors'!M65</f>
        <v>216</v>
      </c>
      <c r="I155" s="96" t="s">
        <v>98</v>
      </c>
      <c r="J155" s="96">
        <f>'time-factors'!R$43</f>
        <v>10</v>
      </c>
      <c r="K155" s="170">
        <f>'time-factors'!L$43</f>
        <v>0.05</v>
      </c>
      <c r="L155" s="173">
        <f t="shared" si="57"/>
        <v>27.97298819253864</v>
      </c>
      <c r="M155" s="170">
        <v>0</v>
      </c>
      <c r="N155" s="96">
        <f t="shared" si="58"/>
        <v>0</v>
      </c>
      <c r="O155" s="167" cm="1">
        <f t="array" ref="O155">IFERROR(_xlfn.IFS(E155="Heavy", 'vehicle E calcs'!$H$33,E155="Cars/vans",'vehicle E calcs'!$H$32),"")</f>
        <v>7.1233383316924828</v>
      </c>
      <c r="P155" s="106">
        <v>200</v>
      </c>
      <c r="Q155" s="108">
        <f t="shared" si="59"/>
        <v>1.4246676663384965</v>
      </c>
      <c r="R155" s="107">
        <f t="shared" si="60"/>
        <v>29.397655858877137</v>
      </c>
      <c r="S155" s="107" cm="1">
        <f t="array" ref="S155">_xlfn.IFS(E155="Heavy", 'vehicle E calcs'!$T$21,E155="Cars/vans",'vehicle E calcs'!$S$21)*O155</f>
        <v>24.362584419881831</v>
      </c>
      <c r="T155" s="109">
        <v>0.27</v>
      </c>
      <c r="U155" s="23">
        <f t="shared" si="61"/>
        <v>6.5778977933680949</v>
      </c>
      <c r="V155" s="23">
        <f t="shared" si="62"/>
        <v>4.4691566792837918</v>
      </c>
      <c r="W155" s="106">
        <f t="shared" si="74"/>
        <v>168</v>
      </c>
      <c r="X155" s="23">
        <f t="shared" si="63"/>
        <v>4.0929141825401478</v>
      </c>
      <c r="Y155" s="96">
        <f t="shared" si="75"/>
        <v>0</v>
      </c>
      <c r="Z155" s="23">
        <f t="shared" si="65"/>
        <v>0</v>
      </c>
      <c r="AA155" s="107">
        <f t="shared" si="66"/>
        <v>25.304741676336988</v>
      </c>
      <c r="AB155" s="23">
        <f t="shared" si="67"/>
        <v>3.8469344570615696</v>
      </c>
      <c r="AD155" s="107">
        <f t="shared" si="68"/>
        <v>4.2525726411774443</v>
      </c>
      <c r="AE155" s="23">
        <f t="shared" si="69"/>
        <v>0</v>
      </c>
      <c r="AF155" s="108">
        <f t="shared" si="70"/>
        <v>0.2165840381063478</v>
      </c>
      <c r="AH155" s="104">
        <f t="shared" si="72"/>
        <v>1.3987421383647798E-3</v>
      </c>
      <c r="AJ155" s="104">
        <f t="shared" si="73"/>
        <v>0.12606163522012576</v>
      </c>
      <c r="AK155" s="23">
        <f t="shared" si="71"/>
        <v>3.8469344570615696</v>
      </c>
    </row>
    <row r="156" spans="1:37" x14ac:dyDescent="0.35">
      <c r="A156" s="23">
        <v>3</v>
      </c>
      <c r="B156" s="118" t="s">
        <v>143</v>
      </c>
      <c r="C156" s="23" t="s">
        <v>139</v>
      </c>
      <c r="D156" s="23" t="s">
        <v>171</v>
      </c>
      <c r="E156" s="23" t="s">
        <v>188</v>
      </c>
      <c r="F156" s="23" t="s">
        <v>83</v>
      </c>
      <c r="G156" s="167">
        <f>'time-factors'!E$38*'time-factors'!B53</f>
        <v>1.9232704402515723E-3</v>
      </c>
      <c r="H156" s="166">
        <f>'time-factors'!M53</f>
        <v>228.435</v>
      </c>
      <c r="I156" s="96" t="s">
        <v>98</v>
      </c>
      <c r="J156" s="96">
        <f>'time-factors'!R$43</f>
        <v>10</v>
      </c>
      <c r="K156" s="170">
        <f>'time-factors'!L$43</f>
        <v>0.05</v>
      </c>
      <c r="L156" s="173">
        <f t="shared" si="57"/>
        <v>29.583377582234093</v>
      </c>
      <c r="M156" s="170">
        <v>0</v>
      </c>
      <c r="N156" s="96">
        <f t="shared" si="58"/>
        <v>0</v>
      </c>
      <c r="O156" s="167" cm="1">
        <f t="array" ref="O156">IFERROR(_xlfn.IFS(E156="Heavy", 'vehicle E calcs'!$H$33,E156="Cars/vans",'vehicle E calcs'!$H$32),"")</f>
        <v>7.1233383316924828</v>
      </c>
      <c r="P156" s="106">
        <v>200</v>
      </c>
      <c r="Q156" s="108">
        <f t="shared" si="59"/>
        <v>1.4246676663384965</v>
      </c>
      <c r="R156" s="107">
        <f t="shared" si="60"/>
        <v>31.008045248572589</v>
      </c>
      <c r="S156" s="107" cm="1">
        <f t="array" ref="S156">_xlfn.IFS(E156="Heavy", 'vehicle E calcs'!$T$21,E156="Cars/vans",'vehicle E calcs'!$S$21)*O156</f>
        <v>24.362584419881831</v>
      </c>
      <c r="T156" s="109">
        <v>0.27</v>
      </c>
      <c r="U156" s="23">
        <f t="shared" si="61"/>
        <v>6.5778977933680949</v>
      </c>
      <c r="V156" s="23">
        <f t="shared" si="62"/>
        <v>4.7139749236960204</v>
      </c>
      <c r="W156" s="106">
        <f t="shared" si="74"/>
        <v>168</v>
      </c>
      <c r="X156" s="23">
        <f t="shared" si="63"/>
        <v>4.0929141825401478</v>
      </c>
      <c r="Y156" s="96">
        <f t="shared" si="75"/>
        <v>0</v>
      </c>
      <c r="Z156" s="23">
        <f t="shared" si="65"/>
        <v>0</v>
      </c>
      <c r="AA156" s="107">
        <f t="shared" si="66"/>
        <v>26.915131066032441</v>
      </c>
      <c r="AB156" s="23">
        <f t="shared" si="67"/>
        <v>4.0917527014737987</v>
      </c>
      <c r="AD156" s="107">
        <f t="shared" si="68"/>
        <v>4.4973908855896729</v>
      </c>
      <c r="AE156" s="23">
        <f t="shared" si="69"/>
        <v>0</v>
      </c>
      <c r="AF156" s="108">
        <f t="shared" si="70"/>
        <v>0.2165840381063478</v>
      </c>
      <c r="AH156" s="104">
        <f t="shared" si="72"/>
        <v>1.9232704402515723E-3</v>
      </c>
      <c r="AJ156" s="104">
        <f t="shared" si="73"/>
        <v>0.12798490566037732</v>
      </c>
      <c r="AK156" s="23">
        <f t="shared" si="71"/>
        <v>4.0917527014737987</v>
      </c>
    </row>
    <row r="157" spans="1:37" x14ac:dyDescent="0.35">
      <c r="A157" s="23">
        <v>17</v>
      </c>
      <c r="B157" s="118" t="s">
        <v>143</v>
      </c>
      <c r="C157" s="23" t="s">
        <v>156</v>
      </c>
      <c r="D157" s="23" t="s">
        <v>171</v>
      </c>
      <c r="E157" s="23" t="s">
        <v>188</v>
      </c>
      <c r="F157" s="23" t="s">
        <v>83</v>
      </c>
      <c r="G157" s="167">
        <f>'time-factors'!E$38*'time-factors'!B67</f>
        <v>1.7484276729559747E-3</v>
      </c>
      <c r="H157" s="166">
        <f>'time-factors'!M67</f>
        <v>231</v>
      </c>
      <c r="I157" s="96" t="s">
        <v>98</v>
      </c>
      <c r="J157" s="96">
        <f>'time-factors'!R$44</f>
        <v>10</v>
      </c>
      <c r="K157" s="170">
        <f>'time-factors'!L$44</f>
        <v>0.05</v>
      </c>
      <c r="L157" s="173">
        <f t="shared" si="57"/>
        <v>29.915556817020491</v>
      </c>
      <c r="M157" s="170">
        <v>0</v>
      </c>
      <c r="N157" s="96">
        <f t="shared" si="58"/>
        <v>0</v>
      </c>
      <c r="O157" s="167" cm="1">
        <f t="array" ref="O157">IFERROR(_xlfn.IFS(E157="Heavy", 'vehicle E calcs'!$H$33,E157="Cars/vans",'vehicle E calcs'!$H$32),"")</f>
        <v>7.1233383316924828</v>
      </c>
      <c r="P157" s="106">
        <v>300</v>
      </c>
      <c r="Q157" s="108">
        <f t="shared" si="59"/>
        <v>2.1370014995077451</v>
      </c>
      <c r="R157" s="107">
        <f t="shared" si="60"/>
        <v>32.052558316528234</v>
      </c>
      <c r="S157" s="107" cm="1">
        <f t="array" ref="S157">_xlfn.IFS(E157="Heavy", 'vehicle E calcs'!$T$21,E157="Cars/vans",'vehicle E calcs'!$S$21)*O157</f>
        <v>24.362584419881831</v>
      </c>
      <c r="T157" s="109">
        <v>0.27</v>
      </c>
      <c r="U157" s="23">
        <f t="shared" si="61"/>
        <v>6.5778977933680949</v>
      </c>
      <c r="V157" s="23">
        <f t="shared" si="62"/>
        <v>4.8727662428631771</v>
      </c>
      <c r="W157" s="106">
        <f t="shared" si="74"/>
        <v>168</v>
      </c>
      <c r="X157" s="23">
        <f t="shared" si="63"/>
        <v>4.0929141825401478</v>
      </c>
      <c r="Y157" s="96">
        <f t="shared" si="75"/>
        <v>0</v>
      </c>
      <c r="Z157" s="23">
        <f t="shared" si="65"/>
        <v>0</v>
      </c>
      <c r="AA157" s="107">
        <f t="shared" si="66"/>
        <v>27.959644133988085</v>
      </c>
      <c r="AB157" s="23">
        <f t="shared" si="67"/>
        <v>4.2505440206409544</v>
      </c>
      <c r="AD157" s="107">
        <f t="shared" si="68"/>
        <v>4.5478901857036558</v>
      </c>
      <c r="AE157" s="23">
        <f t="shared" si="69"/>
        <v>0</v>
      </c>
      <c r="AF157" s="108">
        <f t="shared" si="70"/>
        <v>0.32487605715952173</v>
      </c>
      <c r="AH157" s="104">
        <f t="shared" si="72"/>
        <v>1.7484276729559747E-3</v>
      </c>
      <c r="AJ157" s="104">
        <f t="shared" si="73"/>
        <v>0.12973333333333328</v>
      </c>
      <c r="AK157" s="23">
        <f t="shared" si="71"/>
        <v>4.2505440206409544</v>
      </c>
    </row>
    <row r="158" spans="1:37" x14ac:dyDescent="0.35">
      <c r="A158" s="23">
        <v>18</v>
      </c>
      <c r="B158" s="119" t="s">
        <v>148</v>
      </c>
      <c r="C158" s="23" t="s">
        <v>156</v>
      </c>
      <c r="D158" s="23" t="s">
        <v>171</v>
      </c>
      <c r="E158" s="23" t="s">
        <v>188</v>
      </c>
      <c r="F158" s="23" t="s">
        <v>83</v>
      </c>
      <c r="G158" s="167">
        <f>'time-factors'!E$38*'time-factors'!B68</f>
        <v>1.7484276729559747E-3</v>
      </c>
      <c r="H158" s="166">
        <f>'time-factors'!M68</f>
        <v>231</v>
      </c>
      <c r="I158" s="96" t="s">
        <v>98</v>
      </c>
      <c r="J158" s="96">
        <f>'time-factors'!R$44</f>
        <v>10</v>
      </c>
      <c r="K158" s="170">
        <f>'time-factors'!L$44</f>
        <v>0.05</v>
      </c>
      <c r="L158" s="173">
        <f t="shared" si="57"/>
        <v>29.915556817020491</v>
      </c>
      <c r="M158" s="170">
        <v>0</v>
      </c>
      <c r="N158" s="96">
        <f t="shared" si="58"/>
        <v>0</v>
      </c>
      <c r="O158" s="167" cm="1">
        <f t="array" ref="O158">IFERROR(_xlfn.IFS(E158="Heavy", 'vehicle E calcs'!$H$33,E158="Cars/vans",'vehicle E calcs'!$H$32),"")</f>
        <v>7.1233383316924828</v>
      </c>
      <c r="P158" s="106">
        <v>300</v>
      </c>
      <c r="Q158" s="108">
        <f t="shared" si="59"/>
        <v>2.1370014995077451</v>
      </c>
      <c r="R158" s="107">
        <f t="shared" si="60"/>
        <v>32.052558316528234</v>
      </c>
      <c r="S158" s="107" cm="1">
        <f t="array" ref="S158">_xlfn.IFS(E158="Heavy", 'vehicle E calcs'!$T$21,E158="Cars/vans",'vehicle E calcs'!$S$21)*O158</f>
        <v>24.362584419881831</v>
      </c>
      <c r="T158" s="109">
        <v>0.27</v>
      </c>
      <c r="U158" s="23">
        <f t="shared" si="61"/>
        <v>6.5778977933680949</v>
      </c>
      <c r="V158" s="23">
        <f t="shared" si="62"/>
        <v>4.8727662428631771</v>
      </c>
      <c r="W158" s="106">
        <f t="shared" si="74"/>
        <v>168</v>
      </c>
      <c r="X158" s="23">
        <f t="shared" si="63"/>
        <v>4.0929141825401478</v>
      </c>
      <c r="Y158" s="96">
        <f t="shared" si="75"/>
        <v>0</v>
      </c>
      <c r="Z158" s="23">
        <f t="shared" si="65"/>
        <v>0</v>
      </c>
      <c r="AA158" s="107">
        <f t="shared" si="66"/>
        <v>27.959644133988085</v>
      </c>
      <c r="AB158" s="23">
        <f t="shared" si="67"/>
        <v>4.2505440206409544</v>
      </c>
      <c r="AD158" s="107">
        <f t="shared" si="68"/>
        <v>4.5478901857036558</v>
      </c>
      <c r="AE158" s="23">
        <f t="shared" si="69"/>
        <v>0</v>
      </c>
      <c r="AF158" s="108">
        <f t="shared" si="70"/>
        <v>0.32487605715952173</v>
      </c>
      <c r="AH158" s="104">
        <f t="shared" si="72"/>
        <v>1.7484276729559747E-3</v>
      </c>
      <c r="AJ158" s="104">
        <f t="shared" si="73"/>
        <v>0.13148176100628925</v>
      </c>
      <c r="AK158" s="23">
        <f t="shared" si="71"/>
        <v>4.2505440206409544</v>
      </c>
    </row>
    <row r="159" spans="1:37" x14ac:dyDescent="0.35">
      <c r="A159" s="23">
        <v>2</v>
      </c>
      <c r="B159" s="118" t="s">
        <v>142</v>
      </c>
      <c r="C159" s="23" t="s">
        <v>139</v>
      </c>
      <c r="D159" s="23" t="s">
        <v>171</v>
      </c>
      <c r="E159" s="23" t="s">
        <v>128</v>
      </c>
      <c r="F159" s="23" t="s">
        <v>83</v>
      </c>
      <c r="G159" s="167">
        <f>'time-factors'!E$38*'time-factors'!B52</f>
        <v>2.6226415094339622E-3</v>
      </c>
      <c r="H159" s="166">
        <f>'time-factors'!M52</f>
        <v>228.435</v>
      </c>
      <c r="I159" s="96" t="s">
        <v>98</v>
      </c>
      <c r="J159" s="96">
        <f>'time-factors'!R$43</f>
        <v>10</v>
      </c>
      <c r="K159" s="170">
        <f>'time-factors'!L$43</f>
        <v>0.05</v>
      </c>
      <c r="L159" s="173">
        <f t="shared" si="57"/>
        <v>29.583377582234093</v>
      </c>
      <c r="M159" s="170">
        <v>0</v>
      </c>
      <c r="N159" s="96">
        <f t="shared" si="58"/>
        <v>0</v>
      </c>
      <c r="O159" s="167" cm="1">
        <f t="array" ref="O159">IFERROR(_xlfn.IFS(E159="Heavy", 'vehicle E calcs'!$H$33,E159="Cars/vans",'vehicle E calcs'!$H$32),"")</f>
        <v>6.3768270755398833</v>
      </c>
      <c r="P159" s="106">
        <v>200</v>
      </c>
      <c r="Q159" s="108">
        <f t="shared" si="59"/>
        <v>1.2753654151079765</v>
      </c>
      <c r="R159" s="107">
        <f t="shared" si="60"/>
        <v>30.85874299734207</v>
      </c>
      <c r="S159" s="107" cm="1">
        <f t="array" ref="S159">_xlfn.IFS(E159="Heavy", 'vehicle E calcs'!$T$21,E159="Cars/vans",'vehicle E calcs'!$S$21)*O159</f>
        <v>23.354986057632608</v>
      </c>
      <c r="T159" s="109">
        <v>0.27</v>
      </c>
      <c r="U159" s="23">
        <f t="shared" si="61"/>
        <v>6.3058462355608045</v>
      </c>
      <c r="V159" s="23">
        <f t="shared" si="62"/>
        <v>4.8936719743210926</v>
      </c>
      <c r="W159" s="106">
        <f t="shared" si="74"/>
        <v>168</v>
      </c>
      <c r="X159" s="23">
        <f t="shared" si="63"/>
        <v>3.9236376576822782</v>
      </c>
      <c r="Y159" s="96">
        <f t="shared" si="75"/>
        <v>0</v>
      </c>
      <c r="Z159" s="23">
        <f t="shared" si="65"/>
        <v>0</v>
      </c>
      <c r="AA159" s="107">
        <f t="shared" si="66"/>
        <v>26.935105339659792</v>
      </c>
      <c r="AB159" s="23">
        <f t="shared" si="67"/>
        <v>4.2714497520988699</v>
      </c>
      <c r="AD159" s="107">
        <f t="shared" si="68"/>
        <v>4.6914207034423701</v>
      </c>
      <c r="AE159" s="23">
        <f t="shared" si="69"/>
        <v>0</v>
      </c>
      <c r="AF159" s="108">
        <f t="shared" si="70"/>
        <v>0.20225127087872183</v>
      </c>
      <c r="AH159" s="104">
        <f t="shared" si="72"/>
        <v>2.6226415094339622E-3</v>
      </c>
      <c r="AJ159" s="104">
        <f t="shared" si="73"/>
        <v>0.1341044025157232</v>
      </c>
      <c r="AK159" s="23">
        <f t="shared" si="71"/>
        <v>4.2714497520988699</v>
      </c>
    </row>
    <row r="160" spans="1:37" x14ac:dyDescent="0.35">
      <c r="A160" s="23">
        <v>5</v>
      </c>
      <c r="B160" s="118" t="s">
        <v>145</v>
      </c>
      <c r="C160" s="23" t="s">
        <v>139</v>
      </c>
      <c r="D160" s="23" t="s">
        <v>171</v>
      </c>
      <c r="E160" s="23" t="s">
        <v>188</v>
      </c>
      <c r="F160" s="23" t="s">
        <v>83</v>
      </c>
      <c r="G160" s="167">
        <f>'time-factors'!E$38*'time-factors'!B55</f>
        <v>1.8358490566037734E-3</v>
      </c>
      <c r="H160" s="166">
        <f>'time-factors'!M55</f>
        <v>369</v>
      </c>
      <c r="I160" s="96" t="s">
        <v>98</v>
      </c>
      <c r="J160" s="96">
        <f>'time-factors'!R$43</f>
        <v>10</v>
      </c>
      <c r="K160" s="170">
        <f>'time-factors'!L$43</f>
        <v>0.05</v>
      </c>
      <c r="L160" s="173">
        <f t="shared" si="57"/>
        <v>47.787188162253507</v>
      </c>
      <c r="M160" s="170">
        <v>0</v>
      </c>
      <c r="N160" s="96">
        <f t="shared" si="58"/>
        <v>0</v>
      </c>
      <c r="O160" s="167" cm="1">
        <f t="array" ref="O160">IFERROR(_xlfn.IFS(E160="Heavy", 'vehicle E calcs'!$H$33,E160="Cars/vans",'vehicle E calcs'!$H$32),"")</f>
        <v>7.1233383316924828</v>
      </c>
      <c r="P160" s="106">
        <v>200</v>
      </c>
      <c r="Q160" s="108">
        <f t="shared" si="59"/>
        <v>1.4246676663384965</v>
      </c>
      <c r="R160" s="107">
        <f t="shared" si="60"/>
        <v>49.211855828592</v>
      </c>
      <c r="S160" s="107" cm="1">
        <f t="array" ref="S160">_xlfn.IFS(E160="Heavy", 'vehicle E calcs'!$T$21,E160="Cars/vans",'vehicle E calcs'!$S$21)*O160</f>
        <v>24.362584419881831</v>
      </c>
      <c r="T160" s="109">
        <v>0.27</v>
      </c>
      <c r="U160" s="23">
        <f t="shared" si="61"/>
        <v>6.5778977933680949</v>
      </c>
      <c r="V160" s="23">
        <f t="shared" si="62"/>
        <v>7.4813956334511467</v>
      </c>
      <c r="W160" s="106">
        <f t="shared" si="74"/>
        <v>168</v>
      </c>
      <c r="X160" s="23">
        <f t="shared" si="63"/>
        <v>4.0929141825401478</v>
      </c>
      <c r="Y160" s="96">
        <f t="shared" si="75"/>
        <v>0</v>
      </c>
      <c r="Z160" s="23">
        <f t="shared" si="65"/>
        <v>0</v>
      </c>
      <c r="AA160" s="107">
        <f t="shared" si="66"/>
        <v>45.118941646051852</v>
      </c>
      <c r="AB160" s="23">
        <f t="shared" si="67"/>
        <v>6.8591734112289249</v>
      </c>
      <c r="AD160" s="107">
        <f t="shared" si="68"/>
        <v>7.2648115953448</v>
      </c>
      <c r="AE160" s="23">
        <f t="shared" si="69"/>
        <v>0</v>
      </c>
      <c r="AF160" s="108">
        <f t="shared" si="70"/>
        <v>0.2165840381063478</v>
      </c>
      <c r="AH160" s="104">
        <f t="shared" si="72"/>
        <v>1.8358490566037734E-3</v>
      </c>
      <c r="AJ160" s="104">
        <f t="shared" si="73"/>
        <v>0.13594025157232698</v>
      </c>
      <c r="AK160" s="23">
        <f t="shared" si="71"/>
        <v>6.8591734112289249</v>
      </c>
    </row>
    <row r="161" spans="1:37" x14ac:dyDescent="0.35">
      <c r="A161" s="23">
        <v>8</v>
      </c>
      <c r="B161" s="119" t="s">
        <v>148</v>
      </c>
      <c r="C161" s="23" t="s">
        <v>139</v>
      </c>
      <c r="D161" s="23" t="s">
        <v>171</v>
      </c>
      <c r="E161" s="23" t="s">
        <v>188</v>
      </c>
      <c r="F161" s="23" t="s">
        <v>83</v>
      </c>
      <c r="G161" s="167">
        <f>'time-factors'!E$38*'time-factors'!B58</f>
        <v>1.3113207547169811E-3</v>
      </c>
      <c r="H161" s="166">
        <f>'time-factors'!M58</f>
        <v>369</v>
      </c>
      <c r="I161" s="96" t="s">
        <v>98</v>
      </c>
      <c r="J161" s="96">
        <f>'time-factors'!R$43</f>
        <v>10</v>
      </c>
      <c r="K161" s="170">
        <f>'time-factors'!L$43</f>
        <v>0.05</v>
      </c>
      <c r="L161" s="173">
        <f t="shared" si="57"/>
        <v>47.787188162253507</v>
      </c>
      <c r="M161" s="170">
        <v>0</v>
      </c>
      <c r="N161" s="96">
        <f t="shared" si="58"/>
        <v>0</v>
      </c>
      <c r="O161" s="167" cm="1">
        <f t="array" ref="O161">IFERROR(_xlfn.IFS(E161="Heavy", 'vehicle E calcs'!$H$33,E161="Cars/vans",'vehicle E calcs'!$H$32),"")</f>
        <v>7.1233383316924828</v>
      </c>
      <c r="P161" s="106">
        <v>200</v>
      </c>
      <c r="Q161" s="108">
        <f t="shared" si="59"/>
        <v>1.4246676663384965</v>
      </c>
      <c r="R161" s="107">
        <f t="shared" si="60"/>
        <v>49.211855828592</v>
      </c>
      <c r="S161" s="107" cm="1">
        <f t="array" ref="S161">_xlfn.IFS(E161="Heavy", 'vehicle E calcs'!$T$21,E161="Cars/vans",'vehicle E calcs'!$S$21)*O161</f>
        <v>24.362584419881831</v>
      </c>
      <c r="T161" s="109">
        <v>0.27</v>
      </c>
      <c r="U161" s="23">
        <f t="shared" si="61"/>
        <v>6.5778977933680949</v>
      </c>
      <c r="V161" s="23">
        <f t="shared" si="62"/>
        <v>7.4813956334511467</v>
      </c>
      <c r="W161" s="106">
        <f t="shared" si="74"/>
        <v>168</v>
      </c>
      <c r="X161" s="23">
        <f t="shared" si="63"/>
        <v>4.0929141825401478</v>
      </c>
      <c r="Y161" s="96">
        <f t="shared" si="75"/>
        <v>0</v>
      </c>
      <c r="Z161" s="23">
        <f t="shared" si="65"/>
        <v>0</v>
      </c>
      <c r="AA161" s="107">
        <f t="shared" si="66"/>
        <v>45.118941646051852</v>
      </c>
      <c r="AB161" s="23">
        <f t="shared" si="67"/>
        <v>6.8591734112289249</v>
      </c>
      <c r="AD161" s="107">
        <f t="shared" si="68"/>
        <v>7.2648115953448</v>
      </c>
      <c r="AE161" s="23">
        <f t="shared" si="69"/>
        <v>0</v>
      </c>
      <c r="AF161" s="108">
        <f t="shared" si="70"/>
        <v>0.2165840381063478</v>
      </c>
      <c r="AH161" s="104">
        <f t="shared" si="72"/>
        <v>1.3113207547169811E-3</v>
      </c>
      <c r="AJ161" s="104">
        <f t="shared" si="73"/>
        <v>0.13725157232704396</v>
      </c>
      <c r="AK161" s="23">
        <f t="shared" si="71"/>
        <v>6.8591734112289249</v>
      </c>
    </row>
    <row r="162" spans="1:37" x14ac:dyDescent="0.35">
      <c r="A162" s="23">
        <v>10</v>
      </c>
      <c r="B162" s="118" t="s">
        <v>58</v>
      </c>
      <c r="C162" s="23" t="s">
        <v>139</v>
      </c>
      <c r="D162" s="23" t="s">
        <v>171</v>
      </c>
      <c r="E162" s="23" t="s">
        <v>188</v>
      </c>
      <c r="F162" s="23" t="s">
        <v>83</v>
      </c>
      <c r="G162" s="167">
        <f>'time-factors'!E$38*'time-factors'!B60</f>
        <v>1.7484276729559747E-3</v>
      </c>
      <c r="H162" s="166">
        <f>'time-factors'!M60</f>
        <v>582</v>
      </c>
      <c r="I162" s="96" t="s">
        <v>98</v>
      </c>
      <c r="J162" s="96">
        <f>'time-factors'!R$43</f>
        <v>10</v>
      </c>
      <c r="K162" s="170">
        <f>'time-factors'!L$43</f>
        <v>0.05</v>
      </c>
      <c r="L162" s="173">
        <f t="shared" si="57"/>
        <v>75.371662629895781</v>
      </c>
      <c r="M162" s="170">
        <v>0</v>
      </c>
      <c r="N162" s="96">
        <f t="shared" si="58"/>
        <v>0</v>
      </c>
      <c r="O162" s="167" cm="1">
        <f t="array" ref="O162">IFERROR(_xlfn.IFS(E162="Heavy", 'vehicle E calcs'!$H$33,E162="Cars/vans",'vehicle E calcs'!$H$32),"")</f>
        <v>7.1233383316924828</v>
      </c>
      <c r="P162" s="106">
        <v>200</v>
      </c>
      <c r="Q162" s="108">
        <f t="shared" si="59"/>
        <v>1.4246676663384965</v>
      </c>
      <c r="R162" s="107">
        <f t="shared" si="60"/>
        <v>76.796330296234274</v>
      </c>
      <c r="S162" s="107" cm="1">
        <f t="array" ref="S162">_xlfn.IFS(E162="Heavy", 'vehicle E calcs'!$T$21,E162="Cars/vans",'vehicle E calcs'!$S$21)*O162</f>
        <v>24.362584419881831</v>
      </c>
      <c r="T162" s="109">
        <v>0.27</v>
      </c>
      <c r="U162" s="23">
        <f t="shared" si="61"/>
        <v>6.5778977933680949</v>
      </c>
      <c r="V162" s="23">
        <f t="shared" si="62"/>
        <v>11.674904765723349</v>
      </c>
      <c r="W162" s="106">
        <f t="shared" si="74"/>
        <v>168</v>
      </c>
      <c r="X162" s="23">
        <f t="shared" si="63"/>
        <v>4.0929141825401478</v>
      </c>
      <c r="Y162" s="96">
        <f t="shared" si="75"/>
        <v>0</v>
      </c>
      <c r="Z162" s="23">
        <f t="shared" si="65"/>
        <v>0</v>
      </c>
      <c r="AA162" s="107">
        <f t="shared" si="66"/>
        <v>72.703416113694132</v>
      </c>
      <c r="AB162" s="23">
        <f t="shared" si="67"/>
        <v>11.052682543501128</v>
      </c>
      <c r="AD162" s="107">
        <f t="shared" si="68"/>
        <v>11.458320727617002</v>
      </c>
      <c r="AE162" s="23">
        <f t="shared" si="69"/>
        <v>0</v>
      </c>
      <c r="AF162" s="108">
        <f t="shared" si="70"/>
        <v>0.2165840381063478</v>
      </c>
      <c r="AH162" s="104">
        <f t="shared" si="72"/>
        <v>1.7484276729559747E-3</v>
      </c>
      <c r="AJ162" s="104">
        <f t="shared" si="73"/>
        <v>0.13899999999999993</v>
      </c>
      <c r="AK162" s="23">
        <f t="shared" si="71"/>
        <v>11.052682543501128</v>
      </c>
    </row>
    <row r="163" spans="1:37" x14ac:dyDescent="0.35">
      <c r="A163" s="23">
        <v>14</v>
      </c>
      <c r="B163" s="118" t="s">
        <v>152</v>
      </c>
      <c r="C163" s="23" t="s">
        <v>139</v>
      </c>
      <c r="D163" s="23" t="s">
        <v>171</v>
      </c>
      <c r="E163" s="23" t="s">
        <v>188</v>
      </c>
      <c r="F163" s="23" t="s">
        <v>83</v>
      </c>
      <c r="G163" s="167">
        <f>'time-factors'!E$38*'time-factors'!B64</f>
        <v>1.1364779874213835E-3</v>
      </c>
      <c r="H163" s="166">
        <f>'time-factors'!M64</f>
        <v>582</v>
      </c>
      <c r="I163" s="96" t="s">
        <v>98</v>
      </c>
      <c r="J163" s="96">
        <f>'time-factors'!R$43</f>
        <v>10</v>
      </c>
      <c r="K163" s="170">
        <f>'time-factors'!L$43</f>
        <v>0.05</v>
      </c>
      <c r="L163" s="173">
        <f t="shared" si="57"/>
        <v>75.371662629895781</v>
      </c>
      <c r="M163" s="170">
        <v>0</v>
      </c>
      <c r="N163" s="96">
        <f t="shared" si="58"/>
        <v>0</v>
      </c>
      <c r="O163" s="167" cm="1">
        <f t="array" ref="O163">IFERROR(_xlfn.IFS(E163="Heavy", 'vehicle E calcs'!$H$33,E163="Cars/vans",'vehicle E calcs'!$H$32),"")</f>
        <v>7.1233383316924828</v>
      </c>
      <c r="P163" s="106">
        <v>200</v>
      </c>
      <c r="Q163" s="108">
        <f t="shared" si="59"/>
        <v>1.4246676663384965</v>
      </c>
      <c r="R163" s="107">
        <f t="shared" si="60"/>
        <v>76.796330296234274</v>
      </c>
      <c r="S163" s="107" cm="1">
        <f t="array" ref="S163">_xlfn.IFS(E163="Heavy", 'vehicle E calcs'!$T$21,E163="Cars/vans",'vehicle E calcs'!$S$21)*O163</f>
        <v>24.362584419881831</v>
      </c>
      <c r="T163" s="109">
        <v>0.27</v>
      </c>
      <c r="U163" s="23">
        <f t="shared" si="61"/>
        <v>6.5778977933680949</v>
      </c>
      <c r="V163" s="23">
        <f t="shared" si="62"/>
        <v>11.674904765723349</v>
      </c>
      <c r="W163" s="106">
        <f t="shared" si="74"/>
        <v>168</v>
      </c>
      <c r="X163" s="23">
        <f t="shared" si="63"/>
        <v>4.0929141825401478</v>
      </c>
      <c r="Y163" s="96">
        <f t="shared" si="75"/>
        <v>0</v>
      </c>
      <c r="Z163" s="23">
        <f t="shared" si="65"/>
        <v>0</v>
      </c>
      <c r="AA163" s="107">
        <f t="shared" si="66"/>
        <v>72.703416113694132</v>
      </c>
      <c r="AB163" s="23">
        <f t="shared" si="67"/>
        <v>11.052682543501128</v>
      </c>
      <c r="AD163" s="107">
        <f t="shared" si="68"/>
        <v>11.458320727617002</v>
      </c>
      <c r="AE163" s="23">
        <f t="shared" si="69"/>
        <v>0</v>
      </c>
      <c r="AF163" s="108">
        <f t="shared" si="70"/>
        <v>0.2165840381063478</v>
      </c>
      <c r="AH163" s="104">
        <f t="shared" si="72"/>
        <v>1.1364779874213835E-3</v>
      </c>
      <c r="AJ163" s="104">
        <f t="shared" si="73"/>
        <v>0.14013647798742132</v>
      </c>
      <c r="AK163" s="23">
        <f t="shared" si="71"/>
        <v>11.052682543501128</v>
      </c>
    </row>
    <row r="164" spans="1:37" x14ac:dyDescent="0.35">
      <c r="B164" s="122"/>
      <c r="C164" s="24"/>
      <c r="D164" s="24"/>
      <c r="E164" s="24"/>
      <c r="F164" s="131" t="s">
        <v>50</v>
      </c>
      <c r="G164" s="108">
        <f>SUM(G139:G163)</f>
        <v>0.14013647798742132</v>
      </c>
    </row>
    <row r="165" spans="1:37" x14ac:dyDescent="0.35">
      <c r="B165" s="122"/>
      <c r="C165" s="24"/>
      <c r="D165" s="24"/>
      <c r="E165" s="24"/>
      <c r="F165" s="24"/>
    </row>
    <row r="166" spans="1:37" x14ac:dyDescent="0.35">
      <c r="B166" s="123"/>
      <c r="C166" s="125"/>
      <c r="F166" s="24"/>
    </row>
    <row r="167" spans="1:37" x14ac:dyDescent="0.35">
      <c r="B167" s="123"/>
      <c r="C167" s="125"/>
    </row>
    <row r="168" spans="1:37" x14ac:dyDescent="0.35">
      <c r="B168" s="96"/>
      <c r="C168" s="96"/>
    </row>
    <row r="169" spans="1:37" x14ac:dyDescent="0.35">
      <c r="B169" s="96"/>
      <c r="C169" s="96"/>
    </row>
  </sheetData>
  <autoFilter ref="A3:AF28" xr:uid="{89645479-BDB8-48E4-A5F8-424C28283CD1}">
    <sortState xmlns:xlrd2="http://schemas.microsoft.com/office/spreadsheetml/2017/richdata2" ref="A4:AF29">
      <sortCondition ref="A3:A28"/>
    </sortState>
  </autoFilter>
  <sortState xmlns:xlrd2="http://schemas.microsoft.com/office/spreadsheetml/2017/richdata2" ref="A139:AF163">
    <sortCondition ref="AB139:AB163"/>
  </sortState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95635E3-2380-44C3-ACEA-9FD45C8E11AB}">
          <x14:formula1>
            <xm:f>'vehicle E calcs'!$B$32:$B$33</xm:f>
          </x14:formula1>
          <xm:sqref>E4:E21 E49:E66 E94:E111 E139:E156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F7738-59E5-41EA-AEB1-807C926C345D}">
  <sheetPr codeName="Sheet10">
    <tabColor rgb="FF92D050"/>
  </sheetPr>
  <dimension ref="A1:AM169"/>
  <sheetViews>
    <sheetView topLeftCell="L103" workbookViewId="0">
      <selection activeCell="AJ126" sqref="AJ126"/>
    </sheetView>
  </sheetViews>
  <sheetFormatPr defaultColWidth="8.7265625" defaultRowHeight="14.5" x14ac:dyDescent="0.35"/>
  <cols>
    <col min="1" max="1" width="3.81640625" style="23" customWidth="1"/>
    <col min="2" max="2" width="27.453125" style="23" customWidth="1"/>
    <col min="3" max="3" width="18" style="23" customWidth="1"/>
    <col min="4" max="5" width="10.1796875" style="23" customWidth="1"/>
    <col min="6" max="6" width="9.54296875" style="23" customWidth="1"/>
    <col min="7" max="7" width="10.26953125" style="23" customWidth="1"/>
    <col min="8" max="8" width="10.1796875" style="23" customWidth="1"/>
    <col min="9" max="17" width="8.7265625" style="23"/>
    <col min="18" max="18" width="9.81640625" style="23" customWidth="1"/>
    <col min="19" max="28" width="8.7265625" style="23"/>
    <col min="29" max="29" width="4.54296875" style="23" customWidth="1"/>
    <col min="30" max="34" width="8.7265625" style="23"/>
    <col min="35" max="35" width="3.54296875" style="23" customWidth="1"/>
    <col min="36" max="37" width="8.7265625" style="23"/>
    <col min="38" max="38" width="1.81640625" style="135" customWidth="1"/>
    <col min="39" max="39" width="3.26953125" style="96" customWidth="1"/>
    <col min="40" max="16384" width="8.7265625" style="23"/>
  </cols>
  <sheetData>
    <row r="1" spans="1:37" ht="21" x14ac:dyDescent="0.5">
      <c r="B1" s="133" t="s">
        <v>253</v>
      </c>
      <c r="C1" s="136">
        <v>2040</v>
      </c>
      <c r="W1" s="23" t="s">
        <v>202</v>
      </c>
      <c r="AB1" s="95"/>
    </row>
    <row r="2" spans="1:37" x14ac:dyDescent="0.35">
      <c r="H2" s="96"/>
      <c r="T2" s="99" t="s">
        <v>138</v>
      </c>
      <c r="W2" s="99">
        <v>1.6</v>
      </c>
      <c r="X2" s="23" t="s">
        <v>174</v>
      </c>
      <c r="Z2" s="100">
        <v>0</v>
      </c>
      <c r="AA2" s="23" t="s">
        <v>175</v>
      </c>
      <c r="AC2" s="101">
        <v>0</v>
      </c>
    </row>
    <row r="3" spans="1:37" ht="72.5" x14ac:dyDescent="0.35">
      <c r="A3" s="102" t="s">
        <v>244</v>
      </c>
      <c r="B3" s="102" t="s">
        <v>173</v>
      </c>
      <c r="C3" s="103" t="s">
        <v>95</v>
      </c>
      <c r="D3" s="103" t="s">
        <v>172</v>
      </c>
      <c r="E3" s="103" t="s">
        <v>231</v>
      </c>
      <c r="F3" s="103" t="s">
        <v>96</v>
      </c>
      <c r="G3" s="103" t="s">
        <v>205</v>
      </c>
      <c r="H3" s="103" t="s">
        <v>99</v>
      </c>
      <c r="I3" s="103" t="s">
        <v>97</v>
      </c>
      <c r="J3" s="103" t="s">
        <v>100</v>
      </c>
      <c r="K3" s="103" t="s">
        <v>101</v>
      </c>
      <c r="L3" s="103" t="s">
        <v>102</v>
      </c>
      <c r="M3" s="103" t="s">
        <v>129</v>
      </c>
      <c r="N3" s="103" t="s">
        <v>130</v>
      </c>
      <c r="O3" s="103" t="s">
        <v>132</v>
      </c>
      <c r="P3" s="103" t="s">
        <v>133</v>
      </c>
      <c r="Q3" s="103" t="s">
        <v>131</v>
      </c>
      <c r="R3" s="117" t="s">
        <v>136</v>
      </c>
      <c r="S3" s="103" t="s">
        <v>135</v>
      </c>
      <c r="T3" s="103" t="s">
        <v>134</v>
      </c>
      <c r="U3" s="103" t="s">
        <v>103</v>
      </c>
      <c r="V3" s="117" t="s">
        <v>108</v>
      </c>
      <c r="W3" s="103" t="s">
        <v>199</v>
      </c>
      <c r="X3" s="103" t="s">
        <v>104</v>
      </c>
      <c r="Y3" s="103" t="s">
        <v>105</v>
      </c>
      <c r="Z3" s="103" t="s">
        <v>106</v>
      </c>
      <c r="AA3" s="103" t="s">
        <v>137</v>
      </c>
      <c r="AB3" s="117" t="s">
        <v>107</v>
      </c>
      <c r="AD3" s="103" t="s">
        <v>167</v>
      </c>
      <c r="AE3" s="103" t="s">
        <v>168</v>
      </c>
      <c r="AF3" s="103" t="s">
        <v>169</v>
      </c>
      <c r="AJ3" s="103" t="s">
        <v>177</v>
      </c>
      <c r="AK3" s="103" t="s">
        <v>176</v>
      </c>
    </row>
    <row r="4" spans="1:37" ht="14.5" customHeight="1" x14ac:dyDescent="0.35">
      <c r="A4" s="23">
        <v>20</v>
      </c>
      <c r="B4" s="120" t="s">
        <v>162</v>
      </c>
      <c r="C4" s="111" t="s">
        <v>157</v>
      </c>
      <c r="D4" s="111" t="s">
        <v>170</v>
      </c>
      <c r="E4" s="111"/>
      <c r="F4" s="111" t="s">
        <v>158</v>
      </c>
      <c r="G4" s="166">
        <f>'time-factors'!F$35*'time-factors'!B70</f>
        <v>10.206880910688891</v>
      </c>
      <c r="H4" s="174">
        <f>'time-factors'!N70</f>
        <v>0.09</v>
      </c>
      <c r="I4" s="168" t="s">
        <v>166</v>
      </c>
      <c r="J4" s="96">
        <f>'time-factors'!S$46</f>
        <v>20</v>
      </c>
      <c r="K4" s="170">
        <f>'time-factors'!M$46</f>
        <v>0.05</v>
      </c>
      <c r="L4" s="172">
        <f t="shared" ref="L4:L28" si="0">PMT(K4,J4,-H4)</f>
        <v>7.2218328471622189E-3</v>
      </c>
      <c r="M4" s="171">
        <v>0.02</v>
      </c>
      <c r="N4" s="168">
        <f t="shared" ref="N4:N28" si="1">M4*H4</f>
        <v>1.8E-3</v>
      </c>
      <c r="O4" s="168">
        <v>1.5</v>
      </c>
      <c r="P4" s="111">
        <v>200</v>
      </c>
      <c r="Q4" s="115">
        <f t="shared" ref="Q4:Q28" si="2">P4*O4*0.001</f>
        <v>0.3</v>
      </c>
      <c r="R4" s="114">
        <f t="shared" ref="R4:R28" si="3">L4+N4+Q4</f>
        <v>0.30902183284716223</v>
      </c>
      <c r="S4" s="114">
        <f>2*O4</f>
        <v>3</v>
      </c>
      <c r="T4" s="114">
        <v>0.1</v>
      </c>
      <c r="U4" s="111">
        <f t="shared" ref="U4:U28" si="4">T4*S4</f>
        <v>0.30000000000000004</v>
      </c>
      <c r="V4" s="111">
        <f t="shared" ref="V4:V28" si="5">R4/U4</f>
        <v>1.0300727761572073</v>
      </c>
      <c r="W4" s="111">
        <v>200</v>
      </c>
      <c r="X4" s="111">
        <f t="shared" ref="X4:X28" si="6">W4*S4*0.001</f>
        <v>0.6</v>
      </c>
      <c r="Y4" s="111">
        <f t="shared" ref="Y4:Y10" si="7">$AC$2</f>
        <v>0</v>
      </c>
      <c r="Z4" s="111">
        <f t="shared" ref="Z4:Z28" si="8">Y4*U4</f>
        <v>0</v>
      </c>
      <c r="AA4" s="114">
        <f t="shared" ref="AA4:AA28" si="9">R4-X4-Z4</f>
        <v>-0.29097816715283775</v>
      </c>
      <c r="AB4" s="111">
        <f t="shared" ref="AB4:AB28" si="10">AA4/U4</f>
        <v>-0.9699272238427924</v>
      </c>
      <c r="AC4" s="111"/>
      <c r="AD4" s="107">
        <f t="shared" ref="AD4:AD28" si="11">L4/U4</f>
        <v>2.4072776157207394E-2</v>
      </c>
      <c r="AE4" s="23">
        <f t="shared" ref="AE4:AE28" si="12">N4/U4</f>
        <v>5.9999999999999993E-3</v>
      </c>
      <c r="AF4" s="108">
        <f t="shared" ref="AF4:AF28" si="13">Q4/U4</f>
        <v>0.99999999999999978</v>
      </c>
      <c r="AH4" s="104">
        <f>G4</f>
        <v>10.206880910688891</v>
      </c>
      <c r="AJ4" s="104">
        <f>AH4</f>
        <v>10.206880910688891</v>
      </c>
      <c r="AK4" s="23">
        <f t="shared" ref="AK4:AK28" si="14">AB4</f>
        <v>-0.9699272238427924</v>
      </c>
    </row>
    <row r="5" spans="1:37" ht="14.5" customHeight="1" x14ac:dyDescent="0.35">
      <c r="A5" s="23">
        <v>21</v>
      </c>
      <c r="B5" s="120" t="s">
        <v>160</v>
      </c>
      <c r="C5" s="48" t="s">
        <v>163</v>
      </c>
      <c r="D5" s="111" t="s">
        <v>170</v>
      </c>
      <c r="E5" s="111"/>
      <c r="F5" s="48" t="s">
        <v>158</v>
      </c>
      <c r="G5" s="166">
        <f>'time-factors'!F$35*'time-factors'!B71</f>
        <v>18.712615002929635</v>
      </c>
      <c r="H5" s="174">
        <f>'time-factors'!N71</f>
        <v>0.15</v>
      </c>
      <c r="I5" s="168" t="s">
        <v>166</v>
      </c>
      <c r="J5" s="96">
        <f>'time-factors'!S$46</f>
        <v>20</v>
      </c>
      <c r="K5" s="170">
        <f>'time-factors'!M$46</f>
        <v>0.05</v>
      </c>
      <c r="L5" s="172">
        <f t="shared" si="0"/>
        <v>1.2036388078603697E-2</v>
      </c>
      <c r="M5" s="171">
        <v>0.02</v>
      </c>
      <c r="N5" s="168">
        <f t="shared" si="1"/>
        <v>3.0000000000000001E-3</v>
      </c>
      <c r="O5" s="168">
        <v>4.4000000000000004</v>
      </c>
      <c r="P5" s="111">
        <v>200</v>
      </c>
      <c r="Q5" s="115">
        <f t="shared" si="2"/>
        <v>0.88000000000000012</v>
      </c>
      <c r="R5" s="114">
        <f t="shared" si="3"/>
        <v>0.89503638807860386</v>
      </c>
      <c r="S5" s="114">
        <f>1.2*O5</f>
        <v>5.28</v>
      </c>
      <c r="T5" s="114">
        <v>0.1</v>
      </c>
      <c r="U5" s="111">
        <f t="shared" si="4"/>
        <v>0.52800000000000002</v>
      </c>
      <c r="V5" s="111">
        <f t="shared" si="5"/>
        <v>1.695144674391295</v>
      </c>
      <c r="W5" s="111">
        <v>200</v>
      </c>
      <c r="X5" s="111">
        <f t="shared" si="6"/>
        <v>1.056</v>
      </c>
      <c r="Y5" s="111">
        <f t="shared" si="7"/>
        <v>0</v>
      </c>
      <c r="Z5" s="111">
        <f t="shared" si="8"/>
        <v>0</v>
      </c>
      <c r="AA5" s="114">
        <f t="shared" si="9"/>
        <v>-0.16096361192139619</v>
      </c>
      <c r="AB5" s="111">
        <f t="shared" si="10"/>
        <v>-0.30485532560870487</v>
      </c>
      <c r="AC5" s="111"/>
      <c r="AD5" s="107">
        <f t="shared" si="11"/>
        <v>2.2796189542810031E-2</v>
      </c>
      <c r="AE5" s="23">
        <f t="shared" si="12"/>
        <v>5.681818181818182E-3</v>
      </c>
      <c r="AF5" s="108">
        <f t="shared" si="13"/>
        <v>1.6666666666666667</v>
      </c>
      <c r="AH5" s="104">
        <f t="shared" ref="AH5:AH28" si="15">G5</f>
        <v>18.712615002929635</v>
      </c>
      <c r="AJ5" s="104">
        <f>AJ4+AH5</f>
        <v>28.919495913618526</v>
      </c>
      <c r="AK5" s="23">
        <f t="shared" si="14"/>
        <v>-0.30485532560870487</v>
      </c>
    </row>
    <row r="6" spans="1:37" ht="14.5" customHeight="1" x14ac:dyDescent="0.35">
      <c r="A6" s="23">
        <v>22</v>
      </c>
      <c r="B6" s="120" t="s">
        <v>161</v>
      </c>
      <c r="C6" s="48" t="s">
        <v>163</v>
      </c>
      <c r="D6" s="111" t="s">
        <v>170</v>
      </c>
      <c r="E6" s="111"/>
      <c r="F6" s="48" t="s">
        <v>158</v>
      </c>
      <c r="G6" s="166">
        <f>'time-factors'!F$35*'time-factors'!B72</f>
        <v>10.206880910688891</v>
      </c>
      <c r="H6" s="174">
        <f>'time-factors'!N72</f>
        <v>0.3</v>
      </c>
      <c r="I6" s="168" t="s">
        <v>166</v>
      </c>
      <c r="J6" s="96">
        <f>'time-factors'!S$46</f>
        <v>20</v>
      </c>
      <c r="K6" s="170">
        <f>'time-factors'!M$46</f>
        <v>0.05</v>
      </c>
      <c r="L6" s="172">
        <f t="shared" si="0"/>
        <v>2.4072776157207394E-2</v>
      </c>
      <c r="M6" s="171">
        <v>0.02</v>
      </c>
      <c r="N6" s="168">
        <f t="shared" si="1"/>
        <v>6.0000000000000001E-3</v>
      </c>
      <c r="O6" s="168">
        <v>4.4000000000000004</v>
      </c>
      <c r="P6" s="111">
        <v>200</v>
      </c>
      <c r="Q6" s="115">
        <f t="shared" si="2"/>
        <v>0.88000000000000012</v>
      </c>
      <c r="R6" s="114">
        <f t="shared" si="3"/>
        <v>0.9100727761572075</v>
      </c>
      <c r="S6" s="114">
        <f>1.2*O6</f>
        <v>5.28</v>
      </c>
      <c r="T6" s="114">
        <v>0.1</v>
      </c>
      <c r="U6" s="111">
        <f t="shared" si="4"/>
        <v>0.52800000000000002</v>
      </c>
      <c r="V6" s="111">
        <f t="shared" si="5"/>
        <v>1.7236226821159233</v>
      </c>
      <c r="W6" s="111">
        <v>200</v>
      </c>
      <c r="X6" s="111">
        <f t="shared" si="6"/>
        <v>1.056</v>
      </c>
      <c r="Y6" s="111">
        <f t="shared" si="7"/>
        <v>0</v>
      </c>
      <c r="Z6" s="111">
        <f t="shared" si="8"/>
        <v>0</v>
      </c>
      <c r="AA6" s="114">
        <f t="shared" si="9"/>
        <v>-0.14592722384279255</v>
      </c>
      <c r="AB6" s="111">
        <f t="shared" si="10"/>
        <v>-0.27637731788407677</v>
      </c>
      <c r="AC6" s="111"/>
      <c r="AD6" s="107">
        <f t="shared" si="11"/>
        <v>4.5592379085620062E-2</v>
      </c>
      <c r="AE6" s="23">
        <f t="shared" si="12"/>
        <v>1.1363636363636364E-2</v>
      </c>
      <c r="AF6" s="108">
        <f t="shared" si="13"/>
        <v>1.6666666666666667</v>
      </c>
      <c r="AH6" s="104">
        <f t="shared" si="15"/>
        <v>10.206880910688891</v>
      </c>
      <c r="AJ6" s="104">
        <f t="shared" ref="AJ6:AJ28" si="16">AJ5+AH6</f>
        <v>39.126376824307414</v>
      </c>
      <c r="AK6" s="23">
        <f t="shared" si="14"/>
        <v>-0.27637731788407677</v>
      </c>
    </row>
    <row r="7" spans="1:37" ht="14.5" customHeight="1" x14ac:dyDescent="0.35">
      <c r="A7" s="23">
        <v>24</v>
      </c>
      <c r="B7" s="120" t="s">
        <v>165</v>
      </c>
      <c r="C7" s="120" t="s">
        <v>165</v>
      </c>
      <c r="D7" s="111" t="s">
        <v>170</v>
      </c>
      <c r="E7" s="111"/>
      <c r="F7" s="48" t="s">
        <v>158</v>
      </c>
      <c r="G7" s="166">
        <f>'time-factors'!F$35*'time-factors'!B74</f>
        <v>6.8045872737925945</v>
      </c>
      <c r="H7" s="174">
        <f>'time-factors'!N74</f>
        <v>0.3</v>
      </c>
      <c r="I7" s="168" t="s">
        <v>166</v>
      </c>
      <c r="J7" s="96">
        <f>'time-factors'!S$46</f>
        <v>20</v>
      </c>
      <c r="K7" s="170">
        <f>'time-factors'!M$46</f>
        <v>0.05</v>
      </c>
      <c r="L7" s="172">
        <f t="shared" si="0"/>
        <v>2.4072776157207394E-2</v>
      </c>
      <c r="M7" s="171">
        <v>0.02</v>
      </c>
      <c r="N7" s="168">
        <f t="shared" si="1"/>
        <v>6.0000000000000001E-3</v>
      </c>
      <c r="O7" s="168">
        <v>4.4000000000000004</v>
      </c>
      <c r="P7" s="111">
        <v>200</v>
      </c>
      <c r="Q7" s="115">
        <f t="shared" si="2"/>
        <v>0.88000000000000012</v>
      </c>
      <c r="R7" s="114">
        <f t="shared" si="3"/>
        <v>0.9100727761572075</v>
      </c>
      <c r="S7" s="114">
        <f>1.2*O7</f>
        <v>5.28</v>
      </c>
      <c r="T7" s="114">
        <v>0.1</v>
      </c>
      <c r="U7" s="111">
        <f t="shared" si="4"/>
        <v>0.52800000000000002</v>
      </c>
      <c r="V7" s="111">
        <f t="shared" si="5"/>
        <v>1.7236226821159233</v>
      </c>
      <c r="W7" s="111">
        <v>200</v>
      </c>
      <c r="X7" s="111">
        <f t="shared" si="6"/>
        <v>1.056</v>
      </c>
      <c r="Y7" s="111">
        <f t="shared" si="7"/>
        <v>0</v>
      </c>
      <c r="Z7" s="111">
        <f t="shared" si="8"/>
        <v>0</v>
      </c>
      <c r="AA7" s="114">
        <f t="shared" si="9"/>
        <v>-0.14592722384279255</v>
      </c>
      <c r="AB7" s="111">
        <f t="shared" si="10"/>
        <v>-0.27637731788407677</v>
      </c>
      <c r="AC7" s="111"/>
      <c r="AD7" s="107">
        <f t="shared" si="11"/>
        <v>4.5592379085620062E-2</v>
      </c>
      <c r="AE7" s="23">
        <f t="shared" si="12"/>
        <v>1.1363636363636364E-2</v>
      </c>
      <c r="AF7" s="108">
        <f t="shared" si="13"/>
        <v>1.6666666666666667</v>
      </c>
      <c r="AH7" s="104">
        <f t="shared" si="15"/>
        <v>6.8045872737925945</v>
      </c>
      <c r="AJ7" s="104">
        <f t="shared" si="16"/>
        <v>45.930964098100006</v>
      </c>
      <c r="AK7" s="23">
        <f t="shared" si="14"/>
        <v>-0.27637731788407677</v>
      </c>
    </row>
    <row r="8" spans="1:37" ht="14.5" customHeight="1" x14ac:dyDescent="0.35">
      <c r="A8" s="23">
        <v>23</v>
      </c>
      <c r="B8" s="120" t="s">
        <v>164</v>
      </c>
      <c r="C8" s="48" t="s">
        <v>163</v>
      </c>
      <c r="D8" s="111" t="s">
        <v>170</v>
      </c>
      <c r="E8" s="111"/>
      <c r="F8" s="48" t="s">
        <v>158</v>
      </c>
      <c r="G8" s="166">
        <f>'time-factors'!F$35*'time-factors'!B73</f>
        <v>17.011468184481487</v>
      </c>
      <c r="H8" s="174">
        <f>'time-factors'!N73</f>
        <v>0.6</v>
      </c>
      <c r="I8" s="168" t="s">
        <v>166</v>
      </c>
      <c r="J8" s="96">
        <f>'time-factors'!S$46</f>
        <v>20</v>
      </c>
      <c r="K8" s="170">
        <f>'time-factors'!M$46</f>
        <v>0.05</v>
      </c>
      <c r="L8" s="172">
        <f t="shared" si="0"/>
        <v>4.8145552314414787E-2</v>
      </c>
      <c r="M8" s="171">
        <v>0.02</v>
      </c>
      <c r="N8" s="168">
        <f t="shared" si="1"/>
        <v>1.2E-2</v>
      </c>
      <c r="O8" s="168">
        <v>4.4000000000000004</v>
      </c>
      <c r="P8" s="111">
        <v>200</v>
      </c>
      <c r="Q8" s="115">
        <f t="shared" si="2"/>
        <v>0.88000000000000012</v>
      </c>
      <c r="R8" s="114">
        <f t="shared" si="3"/>
        <v>0.94014555231441488</v>
      </c>
      <c r="S8" s="114">
        <f>1.2*O8</f>
        <v>5.28</v>
      </c>
      <c r="T8" s="114">
        <v>0.1</v>
      </c>
      <c r="U8" s="111">
        <f t="shared" si="4"/>
        <v>0.52800000000000002</v>
      </c>
      <c r="V8" s="111">
        <f t="shared" si="5"/>
        <v>1.7805786975651796</v>
      </c>
      <c r="W8" s="111">
        <v>200</v>
      </c>
      <c r="X8" s="111">
        <f t="shared" si="6"/>
        <v>1.056</v>
      </c>
      <c r="Y8" s="111">
        <f t="shared" si="7"/>
        <v>0</v>
      </c>
      <c r="Z8" s="111">
        <f t="shared" si="8"/>
        <v>0</v>
      </c>
      <c r="AA8" s="114">
        <f t="shared" si="9"/>
        <v>-0.11585444768558517</v>
      </c>
      <c r="AB8" s="111">
        <f t="shared" si="10"/>
        <v>-0.21942130243482039</v>
      </c>
      <c r="AC8" s="111"/>
      <c r="AD8" s="107">
        <f t="shared" si="11"/>
        <v>9.1184758171240124E-2</v>
      </c>
      <c r="AE8" s="23">
        <f t="shared" si="12"/>
        <v>2.2727272727272728E-2</v>
      </c>
      <c r="AF8" s="108">
        <f t="shared" si="13"/>
        <v>1.6666666666666667</v>
      </c>
      <c r="AH8" s="104">
        <f t="shared" si="15"/>
        <v>17.011468184481487</v>
      </c>
      <c r="AJ8" s="104">
        <f t="shared" si="16"/>
        <v>62.942432282581493</v>
      </c>
      <c r="AK8" s="23">
        <f t="shared" si="14"/>
        <v>-0.21942130243482039</v>
      </c>
    </row>
    <row r="9" spans="1:37" ht="14.5" customHeight="1" x14ac:dyDescent="0.35">
      <c r="A9" s="23">
        <v>19</v>
      </c>
      <c r="B9" s="120" t="s">
        <v>140</v>
      </c>
      <c r="C9" s="111" t="s">
        <v>157</v>
      </c>
      <c r="D9" s="111" t="s">
        <v>170</v>
      </c>
      <c r="E9" s="111"/>
      <c r="F9" s="111" t="s">
        <v>159</v>
      </c>
      <c r="G9" s="166">
        <f>'time-factors'!F$35*'time-factors'!B69</f>
        <v>21.264335230601858</v>
      </c>
      <c r="H9" s="174">
        <f>'time-factors'!N69</f>
        <v>1.2</v>
      </c>
      <c r="I9" s="168" t="s">
        <v>166</v>
      </c>
      <c r="J9" s="96">
        <f>'time-factors'!S$45</f>
        <v>15</v>
      </c>
      <c r="K9" s="170">
        <f>'time-factors'!M$45</f>
        <v>0.05</v>
      </c>
      <c r="L9" s="172">
        <f t="shared" si="0"/>
        <v>0.11561074513109325</v>
      </c>
      <c r="M9" s="171">
        <v>0</v>
      </c>
      <c r="N9" s="168">
        <f t="shared" si="1"/>
        <v>0</v>
      </c>
      <c r="O9" s="168">
        <v>2.63</v>
      </c>
      <c r="P9" s="111">
        <v>200</v>
      </c>
      <c r="Q9" s="115">
        <f t="shared" si="2"/>
        <v>0.52600000000000002</v>
      </c>
      <c r="R9" s="114">
        <f t="shared" si="3"/>
        <v>0.64161074513109329</v>
      </c>
      <c r="S9" s="114">
        <f>3.5*O9</f>
        <v>9.2050000000000001</v>
      </c>
      <c r="T9" s="114">
        <v>0.18</v>
      </c>
      <c r="U9" s="111">
        <f t="shared" si="4"/>
        <v>1.6569</v>
      </c>
      <c r="V9" s="111">
        <f t="shared" si="5"/>
        <v>0.38723564797579413</v>
      </c>
      <c r="W9" s="116">
        <v>103</v>
      </c>
      <c r="X9" s="111">
        <f t="shared" si="6"/>
        <v>0.94811500000000004</v>
      </c>
      <c r="Y9" s="111">
        <f t="shared" si="7"/>
        <v>0</v>
      </c>
      <c r="Z9" s="111">
        <f t="shared" si="8"/>
        <v>0</v>
      </c>
      <c r="AA9" s="114">
        <f t="shared" si="9"/>
        <v>-0.30650425486890676</v>
      </c>
      <c r="AB9" s="111">
        <f t="shared" si="10"/>
        <v>-0.18498657424642811</v>
      </c>
      <c r="AC9" s="111"/>
      <c r="AD9" s="107">
        <f t="shared" si="11"/>
        <v>6.9775330515476644E-2</v>
      </c>
      <c r="AE9" s="23">
        <f t="shared" si="12"/>
        <v>0</v>
      </c>
      <c r="AF9" s="108">
        <f t="shared" si="13"/>
        <v>0.31746031746031744</v>
      </c>
      <c r="AH9" s="104">
        <f t="shared" si="15"/>
        <v>21.264335230601858</v>
      </c>
      <c r="AJ9" s="104">
        <f t="shared" si="16"/>
        <v>84.206767513183351</v>
      </c>
      <c r="AK9" s="23">
        <f t="shared" si="14"/>
        <v>-0.18498657424642811</v>
      </c>
    </row>
    <row r="10" spans="1:37" ht="14.5" customHeight="1" x14ac:dyDescent="0.35">
      <c r="A10" s="23">
        <v>25</v>
      </c>
      <c r="B10" s="121" t="s">
        <v>204</v>
      </c>
      <c r="C10" s="24" t="s">
        <v>41</v>
      </c>
      <c r="D10" s="24" t="s">
        <v>198</v>
      </c>
      <c r="E10" s="24"/>
      <c r="F10" s="24" t="s">
        <v>203</v>
      </c>
      <c r="G10" s="166">
        <f>'time-factors'!F$35*'time-factors'!B75</f>
        <v>21.264335230601858</v>
      </c>
      <c r="H10" s="175">
        <f>'time-factors'!N75</f>
        <v>2.4599999999999995</v>
      </c>
      <c r="I10" s="53" t="s">
        <v>166</v>
      </c>
      <c r="J10" s="96">
        <f>'time-factors'!S$47</f>
        <v>10</v>
      </c>
      <c r="K10" s="170">
        <f>'time-factors'!M$47</f>
        <v>0.05</v>
      </c>
      <c r="L10" s="55">
        <f t="shared" si="0"/>
        <v>0.31858125441502333</v>
      </c>
      <c r="M10" s="54">
        <v>0</v>
      </c>
      <c r="N10" s="53">
        <f t="shared" si="1"/>
        <v>0</v>
      </c>
      <c r="O10" s="53">
        <v>2.2000000000000002</v>
      </c>
      <c r="P10" s="53">
        <v>200</v>
      </c>
      <c r="Q10" s="56">
        <f t="shared" si="2"/>
        <v>0.44000000000000006</v>
      </c>
      <c r="R10" s="55">
        <f t="shared" si="3"/>
        <v>0.75858125441502344</v>
      </c>
      <c r="S10" s="59">
        <f>2*O10</f>
        <v>4.4000000000000004</v>
      </c>
      <c r="T10" s="59">
        <v>0.27</v>
      </c>
      <c r="U10" s="53">
        <f t="shared" si="4"/>
        <v>1.1880000000000002</v>
      </c>
      <c r="V10" s="53">
        <f t="shared" si="5"/>
        <v>0.63853640944025536</v>
      </c>
      <c r="W10" s="53">
        <v>200</v>
      </c>
      <c r="X10" s="57">
        <f t="shared" si="6"/>
        <v>0.88000000000000012</v>
      </c>
      <c r="Y10" s="53">
        <f t="shared" si="7"/>
        <v>0</v>
      </c>
      <c r="Z10" s="53">
        <f t="shared" si="8"/>
        <v>0</v>
      </c>
      <c r="AA10" s="55">
        <f t="shared" si="9"/>
        <v>-0.12141874558497667</v>
      </c>
      <c r="AB10" s="53">
        <f t="shared" si="10"/>
        <v>-0.1022043313004854</v>
      </c>
      <c r="AC10" s="53"/>
      <c r="AD10" s="107">
        <f t="shared" si="11"/>
        <v>0.2681660390698849</v>
      </c>
      <c r="AE10" s="23">
        <f t="shared" si="12"/>
        <v>0</v>
      </c>
      <c r="AF10" s="108">
        <f t="shared" si="13"/>
        <v>0.37037037037037035</v>
      </c>
      <c r="AH10" s="104">
        <f t="shared" si="15"/>
        <v>21.264335230601858</v>
      </c>
      <c r="AJ10" s="104">
        <f t="shared" si="16"/>
        <v>105.47110274378521</v>
      </c>
      <c r="AK10" s="23">
        <f t="shared" si="14"/>
        <v>-0.1022043313004854</v>
      </c>
    </row>
    <row r="11" spans="1:37" ht="14.5" customHeight="1" x14ac:dyDescent="0.35">
      <c r="A11" s="23">
        <v>12</v>
      </c>
      <c r="B11" s="118" t="s">
        <v>151</v>
      </c>
      <c r="C11" s="23" t="s">
        <v>139</v>
      </c>
      <c r="D11" s="23" t="s">
        <v>171</v>
      </c>
      <c r="E11" s="23" t="s">
        <v>128</v>
      </c>
      <c r="F11" s="23" t="s">
        <v>83</v>
      </c>
      <c r="G11" s="166">
        <f>'time-factors'!F$35*'time-factors'!B62</f>
        <v>1.7011468184481486</v>
      </c>
      <c r="H11" s="166">
        <f>'time-factors'!N62</f>
        <v>27</v>
      </c>
      <c r="I11" s="96" t="s">
        <v>98</v>
      </c>
      <c r="J11" s="96">
        <f>'time-factors'!S$43</f>
        <v>10</v>
      </c>
      <c r="K11" s="170">
        <f>'time-factors'!M$43</f>
        <v>0.05</v>
      </c>
      <c r="L11" s="173">
        <f t="shared" si="0"/>
        <v>3.49662352406733</v>
      </c>
      <c r="M11" s="170">
        <v>0</v>
      </c>
      <c r="N11" s="96">
        <f t="shared" si="1"/>
        <v>0</v>
      </c>
      <c r="O11" s="167" cm="1">
        <f t="array" ref="O11">IFERROR(_xlfn.IFS(E11="Heavy", 'vehicle E calcs'!$H$33,E11="Cars/vans",'vehicle E calcs'!$H$32),"")</f>
        <v>6.3768270755398833</v>
      </c>
      <c r="P11" s="106">
        <v>200</v>
      </c>
      <c r="Q11" s="108">
        <f t="shared" si="2"/>
        <v>1.2753654151079765</v>
      </c>
      <c r="R11" s="107">
        <f t="shared" si="3"/>
        <v>4.7719889391753068</v>
      </c>
      <c r="S11" s="107" cm="1">
        <f t="array" ref="S11">_xlfn.IFS(E11="Heavy", 'vehicle E calcs'!$T$21,E11="Cars/vans",'vehicle E calcs'!$S$21)*O11</f>
        <v>23.354986057632608</v>
      </c>
      <c r="T11" s="109">
        <v>0.27</v>
      </c>
      <c r="U11" s="23">
        <f t="shared" si="4"/>
        <v>6.3058462355608045</v>
      </c>
      <c r="V11" s="23">
        <f t="shared" si="5"/>
        <v>0.75675631166907364</v>
      </c>
      <c r="W11" s="106">
        <f t="shared" ref="W11:W28" si="17">W$2*105</f>
        <v>168</v>
      </c>
      <c r="X11" s="23">
        <f t="shared" si="6"/>
        <v>3.9236376576822782</v>
      </c>
      <c r="Y11" s="96">
        <f t="shared" ref="Y11:Y28" si="18">$Z$2</f>
        <v>0</v>
      </c>
      <c r="Z11" s="23">
        <f t="shared" si="8"/>
        <v>0</v>
      </c>
      <c r="AA11" s="107">
        <f t="shared" si="9"/>
        <v>0.84835128149302852</v>
      </c>
      <c r="AB11" s="23">
        <f t="shared" si="10"/>
        <v>0.13453408944685141</v>
      </c>
      <c r="AD11" s="107">
        <f t="shared" si="11"/>
        <v>0.55450504079035179</v>
      </c>
      <c r="AE11" s="23">
        <f t="shared" si="12"/>
        <v>0</v>
      </c>
      <c r="AF11" s="108">
        <f t="shared" si="13"/>
        <v>0.20225127087872183</v>
      </c>
      <c r="AH11" s="104">
        <f t="shared" si="15"/>
        <v>1.7011468184481486</v>
      </c>
      <c r="AJ11" s="104">
        <f t="shared" si="16"/>
        <v>107.17224956223336</v>
      </c>
      <c r="AK11" s="23">
        <f t="shared" si="14"/>
        <v>0.13453408944685141</v>
      </c>
    </row>
    <row r="12" spans="1:37" ht="14.5" customHeight="1" x14ac:dyDescent="0.35">
      <c r="A12" s="23">
        <v>16</v>
      </c>
      <c r="B12" s="118" t="s">
        <v>154</v>
      </c>
      <c r="C12" s="23" t="s">
        <v>139</v>
      </c>
      <c r="D12" s="23" t="s">
        <v>171</v>
      </c>
      <c r="E12" s="23" t="s">
        <v>128</v>
      </c>
      <c r="F12" s="23" t="s">
        <v>83</v>
      </c>
      <c r="G12" s="166">
        <f>'time-factors'!F$35*'time-factors'!B66</f>
        <v>1.7011468184481486</v>
      </c>
      <c r="H12" s="166">
        <f>'time-factors'!N66</f>
        <v>27</v>
      </c>
      <c r="I12" s="96" t="s">
        <v>98</v>
      </c>
      <c r="J12" s="96">
        <f>'time-factors'!S$43</f>
        <v>10</v>
      </c>
      <c r="K12" s="170">
        <f>'time-factors'!M$43</f>
        <v>0.05</v>
      </c>
      <c r="L12" s="173">
        <f t="shared" si="0"/>
        <v>3.49662352406733</v>
      </c>
      <c r="M12" s="170">
        <v>0</v>
      </c>
      <c r="N12" s="96">
        <f t="shared" si="1"/>
        <v>0</v>
      </c>
      <c r="O12" s="167" cm="1">
        <f t="array" ref="O12">IFERROR(_xlfn.IFS(E12="Heavy", 'vehicle E calcs'!$H$33,E12="Cars/vans",'vehicle E calcs'!$H$32),"")</f>
        <v>6.3768270755398833</v>
      </c>
      <c r="P12" s="106">
        <v>200</v>
      </c>
      <c r="Q12" s="108">
        <f t="shared" si="2"/>
        <v>1.2753654151079765</v>
      </c>
      <c r="R12" s="107">
        <f t="shared" si="3"/>
        <v>4.7719889391753068</v>
      </c>
      <c r="S12" s="107" cm="1">
        <f t="array" ref="S12">_xlfn.IFS(E12="Heavy", 'vehicle E calcs'!$T$21,E12="Cars/vans",'vehicle E calcs'!$S$21)*O12</f>
        <v>23.354986057632608</v>
      </c>
      <c r="T12" s="109">
        <v>0.27</v>
      </c>
      <c r="U12" s="23">
        <f t="shared" si="4"/>
        <v>6.3058462355608045</v>
      </c>
      <c r="V12" s="23">
        <f t="shared" si="5"/>
        <v>0.75675631166907364</v>
      </c>
      <c r="W12" s="106">
        <f t="shared" si="17"/>
        <v>168</v>
      </c>
      <c r="X12" s="23">
        <f t="shared" si="6"/>
        <v>3.9236376576822782</v>
      </c>
      <c r="Y12" s="96">
        <f t="shared" si="18"/>
        <v>0</v>
      </c>
      <c r="Z12" s="23">
        <f t="shared" si="8"/>
        <v>0</v>
      </c>
      <c r="AA12" s="107">
        <f t="shared" si="9"/>
        <v>0.84835128149302852</v>
      </c>
      <c r="AB12" s="23">
        <f t="shared" si="10"/>
        <v>0.13453408944685141</v>
      </c>
      <c r="AD12" s="107">
        <f t="shared" si="11"/>
        <v>0.55450504079035179</v>
      </c>
      <c r="AE12" s="23">
        <f t="shared" si="12"/>
        <v>0</v>
      </c>
      <c r="AF12" s="108">
        <f t="shared" si="13"/>
        <v>0.20225127087872183</v>
      </c>
      <c r="AH12" s="104">
        <f t="shared" si="15"/>
        <v>1.7011468184481486</v>
      </c>
      <c r="AJ12" s="104">
        <f t="shared" si="16"/>
        <v>108.87339638068151</v>
      </c>
      <c r="AK12" s="23">
        <f t="shared" si="14"/>
        <v>0.13453408944685141</v>
      </c>
    </row>
    <row r="13" spans="1:37" ht="14.5" customHeight="1" x14ac:dyDescent="0.35">
      <c r="A13" s="23">
        <v>13</v>
      </c>
      <c r="B13" s="118" t="s">
        <v>232</v>
      </c>
      <c r="C13" s="23" t="s">
        <v>139</v>
      </c>
      <c r="D13" s="23" t="s">
        <v>171</v>
      </c>
      <c r="E13" s="23" t="s">
        <v>188</v>
      </c>
      <c r="F13" s="23" t="s">
        <v>83</v>
      </c>
      <c r="G13" s="166">
        <f>'time-factors'!F$35*'time-factors'!B63</f>
        <v>1.8712615002929636</v>
      </c>
      <c r="H13" s="166">
        <f>'time-factors'!N63</f>
        <v>46.5</v>
      </c>
      <c r="I13" s="96" t="s">
        <v>98</v>
      </c>
      <c r="J13" s="96">
        <f>'time-factors'!S$43</f>
        <v>10</v>
      </c>
      <c r="K13" s="170">
        <f>'time-factors'!M$43</f>
        <v>0.05</v>
      </c>
      <c r="L13" s="173">
        <f t="shared" si="0"/>
        <v>6.0219627358937347</v>
      </c>
      <c r="M13" s="170">
        <v>0</v>
      </c>
      <c r="N13" s="96">
        <f t="shared" si="1"/>
        <v>0</v>
      </c>
      <c r="O13" s="167" cm="1">
        <f t="array" ref="O13">IFERROR(_xlfn.IFS(E13="Heavy", 'vehicle E calcs'!$H$33,E13="Cars/vans",'vehicle E calcs'!$H$32),"")</f>
        <v>7.1233383316924828</v>
      </c>
      <c r="P13" s="106">
        <v>200</v>
      </c>
      <c r="Q13" s="108">
        <f t="shared" si="2"/>
        <v>1.4246676663384965</v>
      </c>
      <c r="R13" s="107">
        <f t="shared" si="3"/>
        <v>7.4466304022322314</v>
      </c>
      <c r="S13" s="107" cm="1">
        <f t="array" ref="S13">_xlfn.IFS(E13="Heavy", 'vehicle E calcs'!$T$21,E13="Cars/vans",'vehicle E calcs'!$S$21)*O13</f>
        <v>24.362584419881831</v>
      </c>
      <c r="T13" s="109">
        <v>0.27</v>
      </c>
      <c r="U13" s="23">
        <f t="shared" si="4"/>
        <v>6.5778977933680949</v>
      </c>
      <c r="V13" s="23">
        <f t="shared" si="5"/>
        <v>1.1320684261376031</v>
      </c>
      <c r="W13" s="106">
        <f t="shared" si="17"/>
        <v>168</v>
      </c>
      <c r="X13" s="23">
        <f t="shared" si="6"/>
        <v>4.0929141825401478</v>
      </c>
      <c r="Y13" s="96">
        <f t="shared" si="18"/>
        <v>0</v>
      </c>
      <c r="Z13" s="23">
        <f t="shared" si="8"/>
        <v>0</v>
      </c>
      <c r="AA13" s="107">
        <f t="shared" si="9"/>
        <v>3.3537162196920836</v>
      </c>
      <c r="AB13" s="23">
        <f t="shared" si="10"/>
        <v>0.50984620391538082</v>
      </c>
      <c r="AD13" s="107">
        <f t="shared" si="11"/>
        <v>0.9154843880312552</v>
      </c>
      <c r="AE13" s="23">
        <f t="shared" si="12"/>
        <v>0</v>
      </c>
      <c r="AF13" s="108">
        <f t="shared" si="13"/>
        <v>0.2165840381063478</v>
      </c>
      <c r="AH13" s="104">
        <f t="shared" si="15"/>
        <v>1.8712615002929636</v>
      </c>
      <c r="AJ13" s="104">
        <f t="shared" si="16"/>
        <v>110.74465788097447</v>
      </c>
      <c r="AK13" s="23">
        <f t="shared" si="14"/>
        <v>0.50984620391538082</v>
      </c>
    </row>
    <row r="14" spans="1:37" ht="14.5" customHeight="1" x14ac:dyDescent="0.35">
      <c r="A14" s="23">
        <v>11</v>
      </c>
      <c r="B14" s="118" t="s">
        <v>150</v>
      </c>
      <c r="C14" s="23" t="s">
        <v>139</v>
      </c>
      <c r="D14" s="23" t="s">
        <v>171</v>
      </c>
      <c r="E14" s="23" t="s">
        <v>128</v>
      </c>
      <c r="F14" s="23" t="s">
        <v>83</v>
      </c>
      <c r="G14" s="166">
        <f>'time-factors'!F$35*'time-factors'!B61</f>
        <v>0.85057340922407432</v>
      </c>
      <c r="H14" s="166">
        <f>'time-factors'!N61</f>
        <v>46.5</v>
      </c>
      <c r="I14" s="96" t="s">
        <v>98</v>
      </c>
      <c r="J14" s="96">
        <f>'time-factors'!S$43</f>
        <v>10</v>
      </c>
      <c r="K14" s="170">
        <f>'time-factors'!M$43</f>
        <v>0.05</v>
      </c>
      <c r="L14" s="173">
        <f t="shared" si="0"/>
        <v>6.0219627358937347</v>
      </c>
      <c r="M14" s="170">
        <v>0</v>
      </c>
      <c r="N14" s="96">
        <f t="shared" si="1"/>
        <v>0</v>
      </c>
      <c r="O14" s="167" cm="1">
        <f t="array" ref="O14">IFERROR(_xlfn.IFS(E14="Heavy", 'vehicle E calcs'!$H$33,E14="Cars/vans",'vehicle E calcs'!$H$32),"")</f>
        <v>6.3768270755398833</v>
      </c>
      <c r="P14" s="106">
        <v>200</v>
      </c>
      <c r="Q14" s="108">
        <f t="shared" si="2"/>
        <v>1.2753654151079765</v>
      </c>
      <c r="R14" s="107">
        <f t="shared" si="3"/>
        <v>7.2973281510017109</v>
      </c>
      <c r="S14" s="107" cm="1">
        <f t="array" ref="S14">_xlfn.IFS(E14="Heavy", 'vehicle E calcs'!$T$21,E14="Cars/vans",'vehicle E calcs'!$S$21)*O14</f>
        <v>23.354986057632608</v>
      </c>
      <c r="T14" s="109">
        <v>0.27</v>
      </c>
      <c r="U14" s="23">
        <f t="shared" si="4"/>
        <v>6.3058462355608045</v>
      </c>
      <c r="V14" s="23">
        <f t="shared" si="5"/>
        <v>1.1572321744621052</v>
      </c>
      <c r="W14" s="106">
        <f t="shared" si="17"/>
        <v>168</v>
      </c>
      <c r="X14" s="23">
        <f t="shared" si="6"/>
        <v>3.9236376576822782</v>
      </c>
      <c r="Y14" s="96">
        <f t="shared" si="18"/>
        <v>0</v>
      </c>
      <c r="Z14" s="23">
        <f t="shared" si="8"/>
        <v>0</v>
      </c>
      <c r="AA14" s="107">
        <f t="shared" si="9"/>
        <v>3.3736904933194327</v>
      </c>
      <c r="AB14" s="23">
        <f t="shared" si="10"/>
        <v>0.53500995223988312</v>
      </c>
      <c r="AD14" s="107">
        <f t="shared" si="11"/>
        <v>0.9549809035833835</v>
      </c>
      <c r="AE14" s="23">
        <f t="shared" si="12"/>
        <v>0</v>
      </c>
      <c r="AF14" s="108">
        <f t="shared" si="13"/>
        <v>0.20225127087872183</v>
      </c>
      <c r="AH14" s="104">
        <f t="shared" si="15"/>
        <v>0.85057340922407432</v>
      </c>
      <c r="AJ14" s="104">
        <f t="shared" si="16"/>
        <v>111.59523129019854</v>
      </c>
      <c r="AK14" s="23">
        <f t="shared" si="14"/>
        <v>0.53500995223988312</v>
      </c>
    </row>
    <row r="15" spans="1:37" ht="14.5" customHeight="1" x14ac:dyDescent="0.35">
      <c r="A15" s="23">
        <v>6</v>
      </c>
      <c r="B15" s="118" t="s">
        <v>146</v>
      </c>
      <c r="C15" s="23" t="s">
        <v>139</v>
      </c>
      <c r="D15" s="23" t="s">
        <v>171</v>
      </c>
      <c r="E15" s="23" t="s">
        <v>188</v>
      </c>
      <c r="F15" s="23" t="s">
        <v>83</v>
      </c>
      <c r="G15" s="166">
        <f>'time-factors'!F$35*'time-factors'!B56</f>
        <v>2.4666628867498153</v>
      </c>
      <c r="H15" s="166">
        <f>'time-factors'!N56</f>
        <v>89.187168</v>
      </c>
      <c r="I15" s="96" t="s">
        <v>98</v>
      </c>
      <c r="J15" s="96">
        <f>'time-factors'!S$43</f>
        <v>10</v>
      </c>
      <c r="K15" s="170">
        <f>'time-factors'!M$43</f>
        <v>0.05</v>
      </c>
      <c r="L15" s="173">
        <f t="shared" si="0"/>
        <v>11.550146284212778</v>
      </c>
      <c r="M15" s="170">
        <v>0</v>
      </c>
      <c r="N15" s="96">
        <f t="shared" si="1"/>
        <v>0</v>
      </c>
      <c r="O15" s="167" cm="1">
        <f t="array" ref="O15">IFERROR(_xlfn.IFS(E15="Heavy", 'vehicle E calcs'!$H$33,E15="Cars/vans",'vehicle E calcs'!$H$32),"")</f>
        <v>7.1233383316924828</v>
      </c>
      <c r="P15" s="106">
        <v>200</v>
      </c>
      <c r="Q15" s="108">
        <f t="shared" si="2"/>
        <v>1.4246676663384965</v>
      </c>
      <c r="R15" s="107">
        <f t="shared" si="3"/>
        <v>12.974813950551274</v>
      </c>
      <c r="S15" s="107" cm="1">
        <f t="array" ref="S15">_xlfn.IFS(E15="Heavy", 'vehicle E calcs'!$T$21,E15="Cars/vans",'vehicle E calcs'!$S$21)*O15</f>
        <v>24.362584419881831</v>
      </c>
      <c r="T15" s="109">
        <v>0.27</v>
      </c>
      <c r="U15" s="23">
        <f t="shared" si="4"/>
        <v>6.5778977933680949</v>
      </c>
      <c r="V15" s="23">
        <f t="shared" si="5"/>
        <v>1.972486401906794</v>
      </c>
      <c r="W15" s="106">
        <f t="shared" si="17"/>
        <v>168</v>
      </c>
      <c r="X15" s="23">
        <f t="shared" si="6"/>
        <v>4.0929141825401478</v>
      </c>
      <c r="Y15" s="96">
        <f t="shared" si="18"/>
        <v>0</v>
      </c>
      <c r="Z15" s="23">
        <f t="shared" si="8"/>
        <v>0</v>
      </c>
      <c r="AA15" s="107">
        <f t="shared" si="9"/>
        <v>8.8818997680111273</v>
      </c>
      <c r="AB15" s="23">
        <f t="shared" si="10"/>
        <v>1.350264179684572</v>
      </c>
      <c r="AD15" s="107">
        <f t="shared" si="11"/>
        <v>1.7559023638004463</v>
      </c>
      <c r="AE15" s="23">
        <f t="shared" si="12"/>
        <v>0</v>
      </c>
      <c r="AF15" s="108">
        <f t="shared" si="13"/>
        <v>0.2165840381063478</v>
      </c>
      <c r="AH15" s="104">
        <f t="shared" si="15"/>
        <v>2.4666628867498153</v>
      </c>
      <c r="AJ15" s="104">
        <f t="shared" si="16"/>
        <v>114.06189417694836</v>
      </c>
      <c r="AK15" s="23">
        <f t="shared" si="14"/>
        <v>1.350264179684572</v>
      </c>
    </row>
    <row r="16" spans="1:37" ht="14.5" customHeight="1" x14ac:dyDescent="0.35">
      <c r="A16" s="23">
        <v>1</v>
      </c>
      <c r="B16" s="118" t="s">
        <v>141</v>
      </c>
      <c r="C16" s="23" t="s">
        <v>139</v>
      </c>
      <c r="D16" s="23" t="s">
        <v>171</v>
      </c>
      <c r="E16" s="23" t="s">
        <v>128</v>
      </c>
      <c r="F16" s="23" t="s">
        <v>83</v>
      </c>
      <c r="G16" s="166">
        <f>'time-factors'!F$35*'time-factors'!B51</f>
        <v>2.9770069322842603</v>
      </c>
      <c r="H16" s="166">
        <f>'time-factors'!N51</f>
        <v>119.44709999999999</v>
      </c>
      <c r="I16" s="96" t="s">
        <v>98</v>
      </c>
      <c r="J16" s="96">
        <f>'time-factors'!S$43</f>
        <v>10</v>
      </c>
      <c r="K16" s="170">
        <f>'time-factors'!M$43</f>
        <v>0.05</v>
      </c>
      <c r="L16" s="173">
        <f t="shared" si="0"/>
        <v>15.468945916356398</v>
      </c>
      <c r="M16" s="170">
        <v>0</v>
      </c>
      <c r="N16" s="96">
        <f t="shared" si="1"/>
        <v>0</v>
      </c>
      <c r="O16" s="167" cm="1">
        <f t="array" ref="O16">IFERROR(_xlfn.IFS(E16="Heavy", 'vehicle E calcs'!$H$33,E16="Cars/vans",'vehicle E calcs'!$H$32),"")</f>
        <v>6.3768270755398833</v>
      </c>
      <c r="P16" s="106">
        <v>200</v>
      </c>
      <c r="Q16" s="108">
        <f t="shared" si="2"/>
        <v>1.2753654151079765</v>
      </c>
      <c r="R16" s="107">
        <f t="shared" si="3"/>
        <v>16.744311331464374</v>
      </c>
      <c r="S16" s="107" cm="1">
        <f t="array" ref="S16">_xlfn.IFS(E16="Heavy", 'vehicle E calcs'!$T$21,E16="Cars/vans",'vehicle E calcs'!$S$21)*O16</f>
        <v>23.354986057632608</v>
      </c>
      <c r="T16" s="109">
        <v>0.27</v>
      </c>
      <c r="U16" s="23">
        <f t="shared" si="4"/>
        <v>6.3058462355608045</v>
      </c>
      <c r="V16" s="23">
        <f t="shared" si="5"/>
        <v>2.6553630878338779</v>
      </c>
      <c r="W16" s="106">
        <f t="shared" si="17"/>
        <v>168</v>
      </c>
      <c r="X16" s="23">
        <f t="shared" si="6"/>
        <v>3.9236376576822782</v>
      </c>
      <c r="Y16" s="96">
        <f t="shared" si="18"/>
        <v>0</v>
      </c>
      <c r="Z16" s="23">
        <f t="shared" si="8"/>
        <v>0</v>
      </c>
      <c r="AA16" s="107">
        <f t="shared" si="9"/>
        <v>12.820673673782096</v>
      </c>
      <c r="AB16" s="23">
        <f t="shared" si="10"/>
        <v>2.0331408656116561</v>
      </c>
      <c r="AD16" s="107">
        <f t="shared" si="11"/>
        <v>2.4531118169551562</v>
      </c>
      <c r="AE16" s="23">
        <f t="shared" si="12"/>
        <v>0</v>
      </c>
      <c r="AF16" s="108">
        <f t="shared" si="13"/>
        <v>0.20225127087872183</v>
      </c>
      <c r="AH16" s="104">
        <f t="shared" si="15"/>
        <v>2.9770069322842603</v>
      </c>
      <c r="AJ16" s="104">
        <f t="shared" si="16"/>
        <v>117.03890110923261</v>
      </c>
      <c r="AK16" s="23">
        <f t="shared" si="14"/>
        <v>2.0331408656116561</v>
      </c>
    </row>
    <row r="17" spans="1:37" ht="14.5" customHeight="1" x14ac:dyDescent="0.35">
      <c r="A17" s="23">
        <v>4</v>
      </c>
      <c r="B17" s="118" t="s">
        <v>144</v>
      </c>
      <c r="C17" s="23" t="s">
        <v>139</v>
      </c>
      <c r="D17" s="23" t="s">
        <v>171</v>
      </c>
      <c r="E17" s="23" t="s">
        <v>188</v>
      </c>
      <c r="F17" s="23" t="s">
        <v>83</v>
      </c>
      <c r="G17" s="166">
        <f>'time-factors'!F$35*'time-factors'!B54</f>
        <v>1.2758601138361114</v>
      </c>
      <c r="H17" s="166">
        <f>'time-factors'!N54</f>
        <v>172.79999999999998</v>
      </c>
      <c r="I17" s="96" t="s">
        <v>98</v>
      </c>
      <c r="J17" s="96">
        <f>'time-factors'!S$43</f>
        <v>10</v>
      </c>
      <c r="K17" s="170">
        <f>'time-factors'!M$43</f>
        <v>0.05</v>
      </c>
      <c r="L17" s="173">
        <f t="shared" si="0"/>
        <v>22.378390554030911</v>
      </c>
      <c r="M17" s="170">
        <v>0</v>
      </c>
      <c r="N17" s="96">
        <f t="shared" si="1"/>
        <v>0</v>
      </c>
      <c r="O17" s="167" cm="1">
        <f t="array" ref="O17">IFERROR(_xlfn.IFS(E17="Heavy", 'vehicle E calcs'!$H$33,E17="Cars/vans",'vehicle E calcs'!$H$32),"")</f>
        <v>7.1233383316924828</v>
      </c>
      <c r="P17" s="106">
        <v>200</v>
      </c>
      <c r="Q17" s="108">
        <f t="shared" si="2"/>
        <v>1.4246676663384965</v>
      </c>
      <c r="R17" s="107">
        <f t="shared" si="3"/>
        <v>23.803058220369408</v>
      </c>
      <c r="S17" s="107" cm="1">
        <f t="array" ref="S17">_xlfn.IFS(E17="Heavy", 'vehicle E calcs'!$T$21,E17="Cars/vans",'vehicle E calcs'!$S$21)*O17</f>
        <v>24.362584419881831</v>
      </c>
      <c r="T17" s="109">
        <v>0.27</v>
      </c>
      <c r="U17" s="23">
        <f t="shared" si="4"/>
        <v>6.5778977933680949</v>
      </c>
      <c r="V17" s="23">
        <f t="shared" si="5"/>
        <v>3.6186421510483031</v>
      </c>
      <c r="W17" s="106">
        <f t="shared" si="17"/>
        <v>168</v>
      </c>
      <c r="X17" s="23">
        <f t="shared" si="6"/>
        <v>4.0929141825401478</v>
      </c>
      <c r="Y17" s="96">
        <f t="shared" si="18"/>
        <v>0</v>
      </c>
      <c r="Z17" s="23">
        <f t="shared" si="8"/>
        <v>0</v>
      </c>
      <c r="AA17" s="107">
        <f t="shared" si="9"/>
        <v>19.710144037829259</v>
      </c>
      <c r="AB17" s="23">
        <f t="shared" si="10"/>
        <v>2.9964199288260804</v>
      </c>
      <c r="AD17" s="107">
        <f t="shared" si="11"/>
        <v>3.4020581129419551</v>
      </c>
      <c r="AE17" s="23">
        <f t="shared" si="12"/>
        <v>0</v>
      </c>
      <c r="AF17" s="108">
        <f t="shared" si="13"/>
        <v>0.2165840381063478</v>
      </c>
      <c r="AH17" s="104">
        <f t="shared" si="15"/>
        <v>1.2758601138361114</v>
      </c>
      <c r="AJ17" s="104">
        <f t="shared" si="16"/>
        <v>118.31476122306873</v>
      </c>
      <c r="AK17" s="23">
        <f t="shared" si="14"/>
        <v>2.9964199288260804</v>
      </c>
    </row>
    <row r="18" spans="1:37" ht="14.5" customHeight="1" x14ac:dyDescent="0.35">
      <c r="A18" s="23">
        <v>7</v>
      </c>
      <c r="B18" s="118" t="s">
        <v>147</v>
      </c>
      <c r="C18" s="23" t="s">
        <v>139</v>
      </c>
      <c r="D18" s="23" t="s">
        <v>171</v>
      </c>
      <c r="E18" s="23" t="s">
        <v>188</v>
      </c>
      <c r="F18" s="23" t="s">
        <v>83</v>
      </c>
      <c r="G18" s="166">
        <f>'time-factors'!F$35*'time-factors'!B57</f>
        <v>2.1264335230601858</v>
      </c>
      <c r="H18" s="166">
        <f>'time-factors'!N57</f>
        <v>172.79999999999998</v>
      </c>
      <c r="I18" s="96" t="s">
        <v>98</v>
      </c>
      <c r="J18" s="96">
        <f>'time-factors'!S$43</f>
        <v>10</v>
      </c>
      <c r="K18" s="170">
        <f>'time-factors'!M$43</f>
        <v>0.05</v>
      </c>
      <c r="L18" s="173">
        <f t="shared" si="0"/>
        <v>22.378390554030911</v>
      </c>
      <c r="M18" s="170">
        <v>0</v>
      </c>
      <c r="N18" s="96">
        <f t="shared" si="1"/>
        <v>0</v>
      </c>
      <c r="O18" s="167" cm="1">
        <f t="array" ref="O18">IFERROR(_xlfn.IFS(E18="Heavy", 'vehicle E calcs'!$H$33,E18="Cars/vans",'vehicle E calcs'!$H$32),"")</f>
        <v>7.1233383316924828</v>
      </c>
      <c r="P18" s="106">
        <v>200</v>
      </c>
      <c r="Q18" s="108">
        <f t="shared" si="2"/>
        <v>1.4246676663384965</v>
      </c>
      <c r="R18" s="107">
        <f t="shared" si="3"/>
        <v>23.803058220369408</v>
      </c>
      <c r="S18" s="107" cm="1">
        <f t="array" ref="S18">_xlfn.IFS(E18="Heavy", 'vehicle E calcs'!$T$21,E18="Cars/vans",'vehicle E calcs'!$S$21)*O18</f>
        <v>24.362584419881831</v>
      </c>
      <c r="T18" s="109">
        <v>0.27</v>
      </c>
      <c r="U18" s="23">
        <f t="shared" si="4"/>
        <v>6.5778977933680949</v>
      </c>
      <c r="V18" s="23">
        <f t="shared" si="5"/>
        <v>3.6186421510483031</v>
      </c>
      <c r="W18" s="106">
        <f t="shared" si="17"/>
        <v>168</v>
      </c>
      <c r="X18" s="23">
        <f t="shared" si="6"/>
        <v>4.0929141825401478</v>
      </c>
      <c r="Y18" s="96">
        <f t="shared" si="18"/>
        <v>0</v>
      </c>
      <c r="Z18" s="23">
        <f t="shared" si="8"/>
        <v>0</v>
      </c>
      <c r="AA18" s="107">
        <f t="shared" si="9"/>
        <v>19.710144037829259</v>
      </c>
      <c r="AB18" s="23">
        <f t="shared" si="10"/>
        <v>2.9964199288260804</v>
      </c>
      <c r="AD18" s="107">
        <f t="shared" si="11"/>
        <v>3.4020581129419551</v>
      </c>
      <c r="AE18" s="23">
        <f t="shared" si="12"/>
        <v>0</v>
      </c>
      <c r="AF18" s="108">
        <f t="shared" si="13"/>
        <v>0.2165840381063478</v>
      </c>
      <c r="AH18" s="104">
        <f t="shared" si="15"/>
        <v>2.1264335230601858</v>
      </c>
      <c r="AJ18" s="104">
        <f t="shared" si="16"/>
        <v>120.44119474612891</v>
      </c>
      <c r="AK18" s="23">
        <f t="shared" si="14"/>
        <v>2.9964199288260804</v>
      </c>
    </row>
    <row r="19" spans="1:37" ht="14.5" customHeight="1" x14ac:dyDescent="0.35">
      <c r="A19" s="23">
        <v>9</v>
      </c>
      <c r="B19" s="118" t="s">
        <v>149</v>
      </c>
      <c r="C19" s="23" t="s">
        <v>139</v>
      </c>
      <c r="D19" s="23" t="s">
        <v>171</v>
      </c>
      <c r="E19" s="23" t="s">
        <v>188</v>
      </c>
      <c r="F19" s="23" t="s">
        <v>83</v>
      </c>
      <c r="G19" s="166">
        <f>'time-factors'!F$35*'time-factors'!B59</f>
        <v>0.85057340922407432</v>
      </c>
      <c r="H19" s="166">
        <f>'time-factors'!N59</f>
        <v>172.79999999999998</v>
      </c>
      <c r="I19" s="96" t="s">
        <v>98</v>
      </c>
      <c r="J19" s="96">
        <f>'time-factors'!S$43</f>
        <v>10</v>
      </c>
      <c r="K19" s="170">
        <f>'time-factors'!M$43</f>
        <v>0.05</v>
      </c>
      <c r="L19" s="173">
        <f t="shared" si="0"/>
        <v>22.378390554030911</v>
      </c>
      <c r="M19" s="170">
        <v>0</v>
      </c>
      <c r="N19" s="96">
        <f t="shared" si="1"/>
        <v>0</v>
      </c>
      <c r="O19" s="167" cm="1">
        <f t="array" ref="O19">IFERROR(_xlfn.IFS(E19="Heavy", 'vehicle E calcs'!$H$33,E19="Cars/vans",'vehicle E calcs'!$H$32),"")</f>
        <v>7.1233383316924828</v>
      </c>
      <c r="P19" s="106">
        <v>200</v>
      </c>
      <c r="Q19" s="108">
        <f t="shared" si="2"/>
        <v>1.4246676663384965</v>
      </c>
      <c r="R19" s="107">
        <f t="shared" si="3"/>
        <v>23.803058220369408</v>
      </c>
      <c r="S19" s="107" cm="1">
        <f t="array" ref="S19">_xlfn.IFS(E19="Heavy", 'vehicle E calcs'!$T$21,E19="Cars/vans",'vehicle E calcs'!$S$21)*O19</f>
        <v>24.362584419881831</v>
      </c>
      <c r="T19" s="109">
        <v>0.27</v>
      </c>
      <c r="U19" s="23">
        <f t="shared" si="4"/>
        <v>6.5778977933680949</v>
      </c>
      <c r="V19" s="23">
        <f t="shared" si="5"/>
        <v>3.6186421510483031</v>
      </c>
      <c r="W19" s="106">
        <f t="shared" si="17"/>
        <v>168</v>
      </c>
      <c r="X19" s="23">
        <f t="shared" si="6"/>
        <v>4.0929141825401478</v>
      </c>
      <c r="Y19" s="96">
        <f t="shared" si="18"/>
        <v>0</v>
      </c>
      <c r="Z19" s="23">
        <f t="shared" si="8"/>
        <v>0</v>
      </c>
      <c r="AA19" s="107">
        <f t="shared" si="9"/>
        <v>19.710144037829259</v>
      </c>
      <c r="AB19" s="23">
        <f t="shared" si="10"/>
        <v>2.9964199288260804</v>
      </c>
      <c r="AD19" s="107">
        <f t="shared" si="11"/>
        <v>3.4020581129419551</v>
      </c>
      <c r="AE19" s="23">
        <f t="shared" si="12"/>
        <v>0</v>
      </c>
      <c r="AF19" s="108">
        <f t="shared" si="13"/>
        <v>0.2165840381063478</v>
      </c>
      <c r="AH19" s="104">
        <f t="shared" si="15"/>
        <v>0.85057340922407432</v>
      </c>
      <c r="AJ19" s="104">
        <f t="shared" si="16"/>
        <v>121.29176815535298</v>
      </c>
      <c r="AK19" s="23">
        <f t="shared" si="14"/>
        <v>2.9964199288260804</v>
      </c>
    </row>
    <row r="20" spans="1:37" ht="14.5" customHeight="1" x14ac:dyDescent="0.35">
      <c r="A20" s="23">
        <v>15</v>
      </c>
      <c r="B20" s="118" t="s">
        <v>153</v>
      </c>
      <c r="C20" s="23" t="s">
        <v>139</v>
      </c>
      <c r="D20" s="23" t="s">
        <v>171</v>
      </c>
      <c r="E20" s="23" t="s">
        <v>188</v>
      </c>
      <c r="F20" s="23" t="s">
        <v>83</v>
      </c>
      <c r="G20" s="166">
        <f>'time-factors'!F$35*'time-factors'!B65</f>
        <v>1.360917454758519</v>
      </c>
      <c r="H20" s="166">
        <f>'time-factors'!N65</f>
        <v>172.79999999999998</v>
      </c>
      <c r="I20" s="96" t="s">
        <v>98</v>
      </c>
      <c r="J20" s="96">
        <f>'time-factors'!S$43</f>
        <v>10</v>
      </c>
      <c r="K20" s="170">
        <f>'time-factors'!M$43</f>
        <v>0.05</v>
      </c>
      <c r="L20" s="173">
        <f t="shared" si="0"/>
        <v>22.378390554030911</v>
      </c>
      <c r="M20" s="170">
        <v>0</v>
      </c>
      <c r="N20" s="96">
        <f t="shared" si="1"/>
        <v>0</v>
      </c>
      <c r="O20" s="167" cm="1">
        <f t="array" ref="O20">IFERROR(_xlfn.IFS(E20="Heavy", 'vehicle E calcs'!$H$33,E20="Cars/vans",'vehicle E calcs'!$H$32),"")</f>
        <v>7.1233383316924828</v>
      </c>
      <c r="P20" s="106">
        <v>200</v>
      </c>
      <c r="Q20" s="108">
        <f t="shared" si="2"/>
        <v>1.4246676663384965</v>
      </c>
      <c r="R20" s="107">
        <f t="shared" si="3"/>
        <v>23.803058220369408</v>
      </c>
      <c r="S20" s="107" cm="1">
        <f t="array" ref="S20">_xlfn.IFS(E20="Heavy", 'vehicle E calcs'!$T$21,E20="Cars/vans",'vehicle E calcs'!$S$21)*O20</f>
        <v>24.362584419881831</v>
      </c>
      <c r="T20" s="109">
        <v>0.27</v>
      </c>
      <c r="U20" s="23">
        <f t="shared" si="4"/>
        <v>6.5778977933680949</v>
      </c>
      <c r="V20" s="23">
        <f t="shared" si="5"/>
        <v>3.6186421510483031</v>
      </c>
      <c r="W20" s="106">
        <f t="shared" si="17"/>
        <v>168</v>
      </c>
      <c r="X20" s="23">
        <f t="shared" si="6"/>
        <v>4.0929141825401478</v>
      </c>
      <c r="Y20" s="96">
        <f t="shared" si="18"/>
        <v>0</v>
      </c>
      <c r="Z20" s="23">
        <f t="shared" si="8"/>
        <v>0</v>
      </c>
      <c r="AA20" s="107">
        <f t="shared" si="9"/>
        <v>19.710144037829259</v>
      </c>
      <c r="AB20" s="23">
        <f t="shared" si="10"/>
        <v>2.9964199288260804</v>
      </c>
      <c r="AD20" s="107">
        <f t="shared" si="11"/>
        <v>3.4020581129419551</v>
      </c>
      <c r="AE20" s="23">
        <f t="shared" si="12"/>
        <v>0</v>
      </c>
      <c r="AF20" s="108">
        <f t="shared" si="13"/>
        <v>0.2165840381063478</v>
      </c>
      <c r="AH20" s="104">
        <f t="shared" si="15"/>
        <v>1.360917454758519</v>
      </c>
      <c r="AJ20" s="104">
        <f t="shared" si="16"/>
        <v>122.6526856101115</v>
      </c>
      <c r="AK20" s="23">
        <f t="shared" si="14"/>
        <v>2.9964199288260804</v>
      </c>
    </row>
    <row r="21" spans="1:37" ht="14.5" customHeight="1" x14ac:dyDescent="0.35">
      <c r="A21" s="23">
        <v>3</v>
      </c>
      <c r="B21" s="118" t="s">
        <v>143</v>
      </c>
      <c r="C21" s="23" t="s">
        <v>139</v>
      </c>
      <c r="D21" s="23" t="s">
        <v>171</v>
      </c>
      <c r="E21" s="23" t="s">
        <v>188</v>
      </c>
      <c r="F21" s="23" t="s">
        <v>83</v>
      </c>
      <c r="G21" s="166">
        <f>'time-factors'!F$35*'time-factors'!B53</f>
        <v>1.8712615002929636</v>
      </c>
      <c r="H21" s="166">
        <f>'time-factors'!N53</f>
        <v>182.74799999999999</v>
      </c>
      <c r="I21" s="96" t="s">
        <v>98</v>
      </c>
      <c r="J21" s="96">
        <f>'time-factors'!S$43</f>
        <v>10</v>
      </c>
      <c r="K21" s="170">
        <f>'time-factors'!M$43</f>
        <v>0.05</v>
      </c>
      <c r="L21" s="173">
        <f t="shared" si="0"/>
        <v>23.666702065787273</v>
      </c>
      <c r="M21" s="170">
        <v>0</v>
      </c>
      <c r="N21" s="96">
        <f t="shared" si="1"/>
        <v>0</v>
      </c>
      <c r="O21" s="167" cm="1">
        <f t="array" ref="O21">IFERROR(_xlfn.IFS(E21="Heavy", 'vehicle E calcs'!$H$33,E21="Cars/vans",'vehicle E calcs'!$H$32),"")</f>
        <v>7.1233383316924828</v>
      </c>
      <c r="P21" s="106">
        <v>200</v>
      </c>
      <c r="Q21" s="108">
        <f t="shared" si="2"/>
        <v>1.4246676663384965</v>
      </c>
      <c r="R21" s="107">
        <f t="shared" si="3"/>
        <v>25.09136973212577</v>
      </c>
      <c r="S21" s="107" cm="1">
        <f t="array" ref="S21">_xlfn.IFS(E21="Heavy", 'vehicle E calcs'!$T$21,E21="Cars/vans",'vehicle E calcs'!$S$21)*O21</f>
        <v>24.362584419881831</v>
      </c>
      <c r="T21" s="109">
        <v>0.27</v>
      </c>
      <c r="U21" s="23">
        <f t="shared" si="4"/>
        <v>6.5778977933680949</v>
      </c>
      <c r="V21" s="23">
        <f t="shared" si="5"/>
        <v>3.8144967465780861</v>
      </c>
      <c r="W21" s="106">
        <f t="shared" si="17"/>
        <v>168</v>
      </c>
      <c r="X21" s="23">
        <f t="shared" si="6"/>
        <v>4.0929141825401478</v>
      </c>
      <c r="Y21" s="96">
        <f t="shared" si="18"/>
        <v>0</v>
      </c>
      <c r="Z21" s="23">
        <f t="shared" si="8"/>
        <v>0</v>
      </c>
      <c r="AA21" s="107">
        <f t="shared" si="9"/>
        <v>20.998455549585621</v>
      </c>
      <c r="AB21" s="23">
        <f t="shared" si="10"/>
        <v>3.1922745243558639</v>
      </c>
      <c r="AD21" s="107">
        <f t="shared" si="11"/>
        <v>3.5979127084717382</v>
      </c>
      <c r="AE21" s="23">
        <f t="shared" si="12"/>
        <v>0</v>
      </c>
      <c r="AF21" s="108">
        <f t="shared" si="13"/>
        <v>0.2165840381063478</v>
      </c>
      <c r="AH21" s="104">
        <f t="shared" si="15"/>
        <v>1.8712615002929636</v>
      </c>
      <c r="AJ21" s="104">
        <f t="shared" si="16"/>
        <v>124.52394711040446</v>
      </c>
      <c r="AK21" s="23">
        <f t="shared" si="14"/>
        <v>3.1922745243558639</v>
      </c>
    </row>
    <row r="22" spans="1:37" ht="14.5" customHeight="1" x14ac:dyDescent="0.35">
      <c r="A22" s="23">
        <v>17</v>
      </c>
      <c r="B22" s="118" t="s">
        <v>143</v>
      </c>
      <c r="C22" s="23" t="s">
        <v>156</v>
      </c>
      <c r="D22" s="23" t="s">
        <v>171</v>
      </c>
      <c r="E22" s="23" t="s">
        <v>188</v>
      </c>
      <c r="F22" s="23" t="s">
        <v>83</v>
      </c>
      <c r="G22" s="166">
        <f>'time-factors'!F$35*'time-factors'!B67</f>
        <v>1.7011468184481486</v>
      </c>
      <c r="H22" s="166">
        <f>'time-factors'!N67</f>
        <v>184.79999999999998</v>
      </c>
      <c r="I22" s="96" t="s">
        <v>98</v>
      </c>
      <c r="J22" s="96">
        <f>'time-factors'!S$44</f>
        <v>10</v>
      </c>
      <c r="K22" s="170">
        <f>'time-factors'!M$44</f>
        <v>0.05</v>
      </c>
      <c r="L22" s="173">
        <f t="shared" si="0"/>
        <v>23.932445453616388</v>
      </c>
      <c r="M22" s="170">
        <v>0</v>
      </c>
      <c r="N22" s="96">
        <f t="shared" si="1"/>
        <v>0</v>
      </c>
      <c r="O22" s="167" cm="1">
        <f t="array" ref="O22">IFERROR(_xlfn.IFS(E22="Heavy", 'vehicle E calcs'!$H$33,E22="Cars/vans",'vehicle E calcs'!$H$32),"")</f>
        <v>7.1233383316924828</v>
      </c>
      <c r="P22" s="106">
        <v>250</v>
      </c>
      <c r="Q22" s="108">
        <f t="shared" si="2"/>
        <v>1.7808345829231207</v>
      </c>
      <c r="R22" s="107">
        <f t="shared" si="3"/>
        <v>25.713280036539508</v>
      </c>
      <c r="S22" s="107" cm="1">
        <f t="array" ref="S22">_xlfn.IFS(E22="Heavy", 'vehicle E calcs'!$T$21,E22="Cars/vans",'vehicle E calcs'!$S$21)*O22</f>
        <v>24.362584419881831</v>
      </c>
      <c r="T22" s="109">
        <v>0.27</v>
      </c>
      <c r="U22" s="23">
        <f t="shared" si="4"/>
        <v>6.5778977933680949</v>
      </c>
      <c r="V22" s="23">
        <f t="shared" si="5"/>
        <v>3.9090421961958586</v>
      </c>
      <c r="W22" s="106">
        <f t="shared" si="17"/>
        <v>168</v>
      </c>
      <c r="X22" s="23">
        <f t="shared" si="6"/>
        <v>4.0929141825401478</v>
      </c>
      <c r="Y22" s="96">
        <f t="shared" si="18"/>
        <v>0</v>
      </c>
      <c r="Z22" s="23">
        <f t="shared" si="8"/>
        <v>0</v>
      </c>
      <c r="AA22" s="107">
        <f t="shared" si="9"/>
        <v>21.62036585399936</v>
      </c>
      <c r="AB22" s="23">
        <f t="shared" si="10"/>
        <v>3.2868199739736359</v>
      </c>
      <c r="AD22" s="107">
        <f t="shared" si="11"/>
        <v>3.6383121485629237</v>
      </c>
      <c r="AE22" s="23">
        <f t="shared" si="12"/>
        <v>0</v>
      </c>
      <c r="AF22" s="108">
        <f t="shared" si="13"/>
        <v>0.27073004763293473</v>
      </c>
      <c r="AH22" s="104">
        <f t="shared" si="15"/>
        <v>1.7011468184481486</v>
      </c>
      <c r="AJ22" s="104">
        <f t="shared" si="16"/>
        <v>126.22509392885262</v>
      </c>
      <c r="AK22" s="23">
        <f t="shared" si="14"/>
        <v>3.2868199739736359</v>
      </c>
    </row>
    <row r="23" spans="1:37" ht="14.5" customHeight="1" x14ac:dyDescent="0.35">
      <c r="A23" s="23">
        <v>18</v>
      </c>
      <c r="B23" s="119" t="s">
        <v>148</v>
      </c>
      <c r="C23" s="23" t="s">
        <v>156</v>
      </c>
      <c r="D23" s="23" t="s">
        <v>171</v>
      </c>
      <c r="E23" s="23" t="s">
        <v>188</v>
      </c>
      <c r="F23" s="23" t="s">
        <v>83</v>
      </c>
      <c r="G23" s="166">
        <f>'time-factors'!F$35*'time-factors'!B68</f>
        <v>1.7011468184481486</v>
      </c>
      <c r="H23" s="166">
        <f>'time-factors'!N68</f>
        <v>184.79999999999998</v>
      </c>
      <c r="I23" s="96" t="s">
        <v>98</v>
      </c>
      <c r="J23" s="96">
        <f>'time-factors'!S$44</f>
        <v>10</v>
      </c>
      <c r="K23" s="170">
        <f>'time-factors'!M$44</f>
        <v>0.05</v>
      </c>
      <c r="L23" s="173">
        <f t="shared" si="0"/>
        <v>23.932445453616388</v>
      </c>
      <c r="M23" s="170">
        <v>0</v>
      </c>
      <c r="N23" s="96">
        <f t="shared" si="1"/>
        <v>0</v>
      </c>
      <c r="O23" s="167" cm="1">
        <f t="array" ref="O23">IFERROR(_xlfn.IFS(E23="Heavy", 'vehicle E calcs'!$H$33,E23="Cars/vans",'vehicle E calcs'!$H$32),"")</f>
        <v>7.1233383316924828</v>
      </c>
      <c r="P23" s="106">
        <v>250</v>
      </c>
      <c r="Q23" s="108">
        <f t="shared" si="2"/>
        <v>1.7808345829231207</v>
      </c>
      <c r="R23" s="107">
        <f t="shared" si="3"/>
        <v>25.713280036539508</v>
      </c>
      <c r="S23" s="107" cm="1">
        <f t="array" ref="S23">_xlfn.IFS(E23="Heavy", 'vehicle E calcs'!$T$21,E23="Cars/vans",'vehicle E calcs'!$S$21)*O23</f>
        <v>24.362584419881831</v>
      </c>
      <c r="T23" s="109">
        <v>0.27</v>
      </c>
      <c r="U23" s="23">
        <f t="shared" si="4"/>
        <v>6.5778977933680949</v>
      </c>
      <c r="V23" s="23">
        <f t="shared" si="5"/>
        <v>3.9090421961958586</v>
      </c>
      <c r="W23" s="106">
        <f t="shared" si="17"/>
        <v>168</v>
      </c>
      <c r="X23" s="23">
        <f t="shared" si="6"/>
        <v>4.0929141825401478</v>
      </c>
      <c r="Y23" s="96">
        <f t="shared" si="18"/>
        <v>0</v>
      </c>
      <c r="Z23" s="23">
        <f t="shared" si="8"/>
        <v>0</v>
      </c>
      <c r="AA23" s="107">
        <f t="shared" si="9"/>
        <v>21.62036585399936</v>
      </c>
      <c r="AB23" s="23">
        <f t="shared" si="10"/>
        <v>3.2868199739736359</v>
      </c>
      <c r="AD23" s="107">
        <f t="shared" si="11"/>
        <v>3.6383121485629237</v>
      </c>
      <c r="AE23" s="23">
        <f t="shared" si="12"/>
        <v>0</v>
      </c>
      <c r="AF23" s="108">
        <f t="shared" si="13"/>
        <v>0.27073004763293473</v>
      </c>
      <c r="AH23" s="104">
        <f t="shared" si="15"/>
        <v>1.7011468184481486</v>
      </c>
      <c r="AJ23" s="104">
        <f t="shared" si="16"/>
        <v>127.92624074730077</v>
      </c>
      <c r="AK23" s="23">
        <f t="shared" si="14"/>
        <v>3.2868199739736359</v>
      </c>
    </row>
    <row r="24" spans="1:37" ht="14.5" customHeight="1" x14ac:dyDescent="0.35">
      <c r="A24" s="23">
        <v>2</v>
      </c>
      <c r="B24" s="118" t="s">
        <v>142</v>
      </c>
      <c r="C24" s="23" t="s">
        <v>139</v>
      </c>
      <c r="D24" s="23" t="s">
        <v>171</v>
      </c>
      <c r="E24" s="23" t="s">
        <v>128</v>
      </c>
      <c r="F24" s="23" t="s">
        <v>83</v>
      </c>
      <c r="G24" s="166">
        <f>'time-factors'!F$35*'time-factors'!B52</f>
        <v>2.5517202276722228</v>
      </c>
      <c r="H24" s="166">
        <f>'time-factors'!N52</f>
        <v>182.74799999999999</v>
      </c>
      <c r="I24" s="96" t="s">
        <v>98</v>
      </c>
      <c r="J24" s="96">
        <f>'time-factors'!S$43</f>
        <v>10</v>
      </c>
      <c r="K24" s="170">
        <f>'time-factors'!M$43</f>
        <v>0.05</v>
      </c>
      <c r="L24" s="173">
        <f t="shared" si="0"/>
        <v>23.666702065787273</v>
      </c>
      <c r="M24" s="170">
        <v>0</v>
      </c>
      <c r="N24" s="96">
        <f t="shared" si="1"/>
        <v>0</v>
      </c>
      <c r="O24" s="167" cm="1">
        <f t="array" ref="O24">IFERROR(_xlfn.IFS(E24="Heavy", 'vehicle E calcs'!$H$33,E24="Cars/vans",'vehicle E calcs'!$H$32),"")</f>
        <v>6.3768270755398833</v>
      </c>
      <c r="P24" s="106">
        <v>200</v>
      </c>
      <c r="Q24" s="108">
        <f t="shared" si="2"/>
        <v>1.2753654151079765</v>
      </c>
      <c r="R24" s="107">
        <f t="shared" si="3"/>
        <v>24.94206748089525</v>
      </c>
      <c r="S24" s="107" cm="1">
        <f t="array" ref="S24">_xlfn.IFS(E24="Heavy", 'vehicle E calcs'!$T$21,E24="Cars/vans",'vehicle E calcs'!$S$21)*O24</f>
        <v>23.354986057632608</v>
      </c>
      <c r="T24" s="109">
        <v>0.27</v>
      </c>
      <c r="U24" s="23">
        <f t="shared" si="4"/>
        <v>6.3058462355608045</v>
      </c>
      <c r="V24" s="23">
        <f t="shared" si="5"/>
        <v>3.955387833632618</v>
      </c>
      <c r="W24" s="106">
        <f t="shared" si="17"/>
        <v>168</v>
      </c>
      <c r="X24" s="23">
        <f t="shared" si="6"/>
        <v>3.9236376576822782</v>
      </c>
      <c r="Y24" s="96">
        <f t="shared" si="18"/>
        <v>0</v>
      </c>
      <c r="Z24" s="23">
        <f t="shared" si="8"/>
        <v>0</v>
      </c>
      <c r="AA24" s="107">
        <f t="shared" si="9"/>
        <v>21.018429823212973</v>
      </c>
      <c r="AB24" s="23">
        <f t="shared" si="10"/>
        <v>3.3331656114103958</v>
      </c>
      <c r="AD24" s="107">
        <f t="shared" si="11"/>
        <v>3.7531365627538964</v>
      </c>
      <c r="AE24" s="23">
        <f t="shared" si="12"/>
        <v>0</v>
      </c>
      <c r="AF24" s="108">
        <f t="shared" si="13"/>
        <v>0.20225127087872183</v>
      </c>
      <c r="AH24" s="104">
        <f t="shared" si="15"/>
        <v>2.5517202276722228</v>
      </c>
      <c r="AJ24" s="104">
        <f t="shared" si="16"/>
        <v>130.477960974973</v>
      </c>
      <c r="AK24" s="23">
        <f t="shared" si="14"/>
        <v>3.3331656114103958</v>
      </c>
    </row>
    <row r="25" spans="1:37" ht="14.5" customHeight="1" x14ac:dyDescent="0.35">
      <c r="A25" s="23">
        <v>5</v>
      </c>
      <c r="B25" s="118" t="s">
        <v>145</v>
      </c>
      <c r="C25" s="23" t="s">
        <v>139</v>
      </c>
      <c r="D25" s="23" t="s">
        <v>171</v>
      </c>
      <c r="E25" s="23" t="s">
        <v>188</v>
      </c>
      <c r="F25" s="23" t="s">
        <v>83</v>
      </c>
      <c r="G25" s="166">
        <f>'time-factors'!F$35*'time-factors'!B55</f>
        <v>1.7862041593705562</v>
      </c>
      <c r="H25" s="166">
        <f>'time-factors'!N55</f>
        <v>295.2</v>
      </c>
      <c r="I25" s="96" t="s">
        <v>98</v>
      </c>
      <c r="J25" s="96">
        <f>'time-factors'!S$43</f>
        <v>10</v>
      </c>
      <c r="K25" s="170">
        <f>'time-factors'!M$43</f>
        <v>0.05</v>
      </c>
      <c r="L25" s="173">
        <f t="shared" si="0"/>
        <v>38.229750529802807</v>
      </c>
      <c r="M25" s="170">
        <v>0</v>
      </c>
      <c r="N25" s="96">
        <f t="shared" si="1"/>
        <v>0</v>
      </c>
      <c r="O25" s="167" cm="1">
        <f t="array" ref="O25">IFERROR(_xlfn.IFS(E25="Heavy", 'vehicle E calcs'!$H$33,E25="Cars/vans",'vehicle E calcs'!$H$32),"")</f>
        <v>7.1233383316924828</v>
      </c>
      <c r="P25" s="106">
        <v>200</v>
      </c>
      <c r="Q25" s="108">
        <f t="shared" si="2"/>
        <v>1.4246676663384965</v>
      </c>
      <c r="R25" s="107">
        <f t="shared" si="3"/>
        <v>39.6544181961413</v>
      </c>
      <c r="S25" s="107" cm="1">
        <f t="array" ref="S25">_xlfn.IFS(E25="Heavy", 'vehicle E calcs'!$T$21,E25="Cars/vans",'vehicle E calcs'!$S$21)*O25</f>
        <v>24.362584419881831</v>
      </c>
      <c r="T25" s="109">
        <v>0.27</v>
      </c>
      <c r="U25" s="23">
        <f t="shared" si="4"/>
        <v>6.5778977933680949</v>
      </c>
      <c r="V25" s="23">
        <f t="shared" si="5"/>
        <v>6.0284333143821875</v>
      </c>
      <c r="W25" s="106">
        <f t="shared" si="17"/>
        <v>168</v>
      </c>
      <c r="X25" s="23">
        <f t="shared" si="6"/>
        <v>4.0929141825401478</v>
      </c>
      <c r="Y25" s="96">
        <f t="shared" si="18"/>
        <v>0</v>
      </c>
      <c r="Z25" s="23">
        <f t="shared" si="8"/>
        <v>0</v>
      </c>
      <c r="AA25" s="107">
        <f t="shared" si="9"/>
        <v>35.561504013601152</v>
      </c>
      <c r="AB25" s="23">
        <f t="shared" si="10"/>
        <v>5.4062110921599649</v>
      </c>
      <c r="AD25" s="107">
        <f t="shared" si="11"/>
        <v>5.81184927627584</v>
      </c>
      <c r="AE25" s="23">
        <f t="shared" si="12"/>
        <v>0</v>
      </c>
      <c r="AF25" s="108">
        <f t="shared" si="13"/>
        <v>0.2165840381063478</v>
      </c>
      <c r="AH25" s="104">
        <f t="shared" si="15"/>
        <v>1.7862041593705562</v>
      </c>
      <c r="AJ25" s="104">
        <f t="shared" si="16"/>
        <v>132.26416513434356</v>
      </c>
      <c r="AK25" s="23">
        <f t="shared" si="14"/>
        <v>5.4062110921599649</v>
      </c>
    </row>
    <row r="26" spans="1:37" ht="14.5" customHeight="1" x14ac:dyDescent="0.35">
      <c r="A26" s="23">
        <v>8</v>
      </c>
      <c r="B26" s="119" t="s">
        <v>148</v>
      </c>
      <c r="C26" s="23" t="s">
        <v>139</v>
      </c>
      <c r="D26" s="23" t="s">
        <v>171</v>
      </c>
      <c r="E26" s="23" t="s">
        <v>188</v>
      </c>
      <c r="F26" s="23" t="s">
        <v>83</v>
      </c>
      <c r="G26" s="166">
        <f>'time-factors'!F$35*'time-factors'!B58</f>
        <v>1.2758601138361114</v>
      </c>
      <c r="H26" s="166">
        <f>'time-factors'!N58</f>
        <v>295.2</v>
      </c>
      <c r="I26" s="96" t="s">
        <v>98</v>
      </c>
      <c r="J26" s="96">
        <f>'time-factors'!S$43</f>
        <v>10</v>
      </c>
      <c r="K26" s="170">
        <f>'time-factors'!M$43</f>
        <v>0.05</v>
      </c>
      <c r="L26" s="173">
        <f t="shared" si="0"/>
        <v>38.229750529802807</v>
      </c>
      <c r="M26" s="170">
        <v>0</v>
      </c>
      <c r="N26" s="96">
        <f t="shared" si="1"/>
        <v>0</v>
      </c>
      <c r="O26" s="167" cm="1">
        <f t="array" ref="O26">IFERROR(_xlfn.IFS(E26="Heavy", 'vehicle E calcs'!$H$33,E26="Cars/vans",'vehicle E calcs'!$H$32),"")</f>
        <v>7.1233383316924828</v>
      </c>
      <c r="P26" s="106">
        <v>200</v>
      </c>
      <c r="Q26" s="108">
        <f t="shared" si="2"/>
        <v>1.4246676663384965</v>
      </c>
      <c r="R26" s="107">
        <f t="shared" si="3"/>
        <v>39.6544181961413</v>
      </c>
      <c r="S26" s="107" cm="1">
        <f t="array" ref="S26">_xlfn.IFS(E26="Heavy", 'vehicle E calcs'!$T$21,E26="Cars/vans",'vehicle E calcs'!$S$21)*O26</f>
        <v>24.362584419881831</v>
      </c>
      <c r="T26" s="109">
        <v>0.27</v>
      </c>
      <c r="U26" s="23">
        <f t="shared" si="4"/>
        <v>6.5778977933680949</v>
      </c>
      <c r="V26" s="23">
        <f t="shared" si="5"/>
        <v>6.0284333143821875</v>
      </c>
      <c r="W26" s="106">
        <f t="shared" si="17"/>
        <v>168</v>
      </c>
      <c r="X26" s="23">
        <f t="shared" si="6"/>
        <v>4.0929141825401478</v>
      </c>
      <c r="Y26" s="96">
        <f t="shared" si="18"/>
        <v>0</v>
      </c>
      <c r="Z26" s="23">
        <f t="shared" si="8"/>
        <v>0</v>
      </c>
      <c r="AA26" s="107">
        <f t="shared" si="9"/>
        <v>35.561504013601152</v>
      </c>
      <c r="AB26" s="23">
        <f t="shared" si="10"/>
        <v>5.4062110921599649</v>
      </c>
      <c r="AD26" s="107">
        <f t="shared" si="11"/>
        <v>5.81184927627584</v>
      </c>
      <c r="AE26" s="23">
        <f t="shared" si="12"/>
        <v>0</v>
      </c>
      <c r="AF26" s="108">
        <f t="shared" si="13"/>
        <v>0.2165840381063478</v>
      </c>
      <c r="AH26" s="104">
        <f t="shared" si="15"/>
        <v>1.2758601138361114</v>
      </c>
      <c r="AJ26" s="104">
        <f t="shared" si="16"/>
        <v>133.54002524817966</v>
      </c>
      <c r="AK26" s="23">
        <f t="shared" si="14"/>
        <v>5.4062110921599649</v>
      </c>
    </row>
    <row r="27" spans="1:37" ht="14.5" customHeight="1" x14ac:dyDescent="0.35">
      <c r="A27" s="23">
        <v>10</v>
      </c>
      <c r="B27" s="118" t="s">
        <v>58</v>
      </c>
      <c r="C27" s="23" t="s">
        <v>139</v>
      </c>
      <c r="D27" s="23" t="s">
        <v>171</v>
      </c>
      <c r="E27" s="23" t="s">
        <v>188</v>
      </c>
      <c r="F27" s="23" t="s">
        <v>83</v>
      </c>
      <c r="G27" s="166">
        <f>'time-factors'!F$35*'time-factors'!B60</f>
        <v>1.7011468184481486</v>
      </c>
      <c r="H27" s="166">
        <f>'time-factors'!N60</f>
        <v>465.59999999999997</v>
      </c>
      <c r="I27" s="96" t="s">
        <v>98</v>
      </c>
      <c r="J27" s="96">
        <f>'time-factors'!S$43</f>
        <v>10</v>
      </c>
      <c r="K27" s="170">
        <f>'time-factors'!M$43</f>
        <v>0.05</v>
      </c>
      <c r="L27" s="173">
        <f t="shared" si="0"/>
        <v>60.297330103916615</v>
      </c>
      <c r="M27" s="170">
        <v>0</v>
      </c>
      <c r="N27" s="96">
        <f t="shared" si="1"/>
        <v>0</v>
      </c>
      <c r="O27" s="167" cm="1">
        <f t="array" ref="O27">IFERROR(_xlfn.IFS(E27="Heavy", 'vehicle E calcs'!$H$33,E27="Cars/vans",'vehicle E calcs'!$H$32),"")</f>
        <v>7.1233383316924828</v>
      </c>
      <c r="P27" s="106">
        <v>200</v>
      </c>
      <c r="Q27" s="108">
        <f t="shared" si="2"/>
        <v>1.4246676663384965</v>
      </c>
      <c r="R27" s="107">
        <f t="shared" si="3"/>
        <v>61.721997770255108</v>
      </c>
      <c r="S27" s="107" cm="1">
        <f t="array" ref="S27">_xlfn.IFS(E27="Heavy", 'vehicle E calcs'!$T$21,E27="Cars/vans",'vehicle E calcs'!$S$21)*O27</f>
        <v>24.362584419881831</v>
      </c>
      <c r="T27" s="109">
        <v>0.27</v>
      </c>
      <c r="U27" s="23">
        <f t="shared" si="4"/>
        <v>6.5778977933680949</v>
      </c>
      <c r="V27" s="23">
        <f t="shared" si="5"/>
        <v>9.3832406201999472</v>
      </c>
      <c r="W27" s="106">
        <f t="shared" si="17"/>
        <v>168</v>
      </c>
      <c r="X27" s="23">
        <f t="shared" si="6"/>
        <v>4.0929141825401478</v>
      </c>
      <c r="Y27" s="96">
        <f t="shared" si="18"/>
        <v>0</v>
      </c>
      <c r="Z27" s="23">
        <f t="shared" si="8"/>
        <v>0</v>
      </c>
      <c r="AA27" s="107">
        <f t="shared" si="9"/>
        <v>57.629083587714959</v>
      </c>
      <c r="AB27" s="23">
        <f t="shared" si="10"/>
        <v>8.7610183979777254</v>
      </c>
      <c r="AD27" s="107">
        <f t="shared" si="11"/>
        <v>9.1666565820935997</v>
      </c>
      <c r="AE27" s="23">
        <f t="shared" si="12"/>
        <v>0</v>
      </c>
      <c r="AF27" s="108">
        <f t="shared" si="13"/>
        <v>0.2165840381063478</v>
      </c>
      <c r="AH27" s="104">
        <f t="shared" si="15"/>
        <v>1.7011468184481486</v>
      </c>
      <c r="AJ27" s="104">
        <f t="shared" si="16"/>
        <v>135.2411720666278</v>
      </c>
      <c r="AK27" s="23">
        <f t="shared" si="14"/>
        <v>8.7610183979777254</v>
      </c>
    </row>
    <row r="28" spans="1:37" ht="14.5" customHeight="1" x14ac:dyDescent="0.35">
      <c r="A28" s="23">
        <v>14</v>
      </c>
      <c r="B28" s="118" t="s">
        <v>152</v>
      </c>
      <c r="C28" s="23" t="s">
        <v>139</v>
      </c>
      <c r="D28" s="23" t="s">
        <v>171</v>
      </c>
      <c r="E28" s="23" t="s">
        <v>188</v>
      </c>
      <c r="F28" s="23" t="s">
        <v>83</v>
      </c>
      <c r="G28" s="166">
        <f>'time-factors'!F$35*'time-factors'!B64</f>
        <v>1.1057454319912967</v>
      </c>
      <c r="H28" s="166">
        <f>'time-factors'!N64</f>
        <v>465.59999999999997</v>
      </c>
      <c r="I28" s="96" t="s">
        <v>98</v>
      </c>
      <c r="J28" s="96">
        <f>'time-factors'!S$43</f>
        <v>10</v>
      </c>
      <c r="K28" s="170">
        <f>'time-factors'!M$43</f>
        <v>0.05</v>
      </c>
      <c r="L28" s="173">
        <f t="shared" si="0"/>
        <v>60.297330103916615</v>
      </c>
      <c r="M28" s="170">
        <v>0</v>
      </c>
      <c r="N28" s="96">
        <f t="shared" si="1"/>
        <v>0</v>
      </c>
      <c r="O28" s="167" cm="1">
        <f t="array" ref="O28">IFERROR(_xlfn.IFS(E28="Heavy", 'vehicle E calcs'!$H$33,E28="Cars/vans",'vehicle E calcs'!$H$32),"")</f>
        <v>7.1233383316924828</v>
      </c>
      <c r="P28" s="106">
        <v>200</v>
      </c>
      <c r="Q28" s="108">
        <f t="shared" si="2"/>
        <v>1.4246676663384965</v>
      </c>
      <c r="R28" s="107">
        <f t="shared" si="3"/>
        <v>61.721997770255108</v>
      </c>
      <c r="S28" s="107" cm="1">
        <f t="array" ref="S28">_xlfn.IFS(E28="Heavy", 'vehicle E calcs'!$T$21,E28="Cars/vans",'vehicle E calcs'!$S$21)*O28</f>
        <v>24.362584419881831</v>
      </c>
      <c r="T28" s="109">
        <v>0.27</v>
      </c>
      <c r="U28" s="23">
        <f t="shared" si="4"/>
        <v>6.5778977933680949</v>
      </c>
      <c r="V28" s="23">
        <f t="shared" si="5"/>
        <v>9.3832406201999472</v>
      </c>
      <c r="W28" s="106">
        <f t="shared" si="17"/>
        <v>168</v>
      </c>
      <c r="X28" s="23">
        <f t="shared" si="6"/>
        <v>4.0929141825401478</v>
      </c>
      <c r="Y28" s="96">
        <f t="shared" si="18"/>
        <v>0</v>
      </c>
      <c r="Z28" s="23">
        <f t="shared" si="8"/>
        <v>0</v>
      </c>
      <c r="AA28" s="107">
        <f t="shared" si="9"/>
        <v>57.629083587714959</v>
      </c>
      <c r="AB28" s="23">
        <f t="shared" si="10"/>
        <v>8.7610183979777254</v>
      </c>
      <c r="AD28" s="107">
        <f t="shared" si="11"/>
        <v>9.1666565820935997</v>
      </c>
      <c r="AE28" s="23">
        <f t="shared" si="12"/>
        <v>0</v>
      </c>
      <c r="AF28" s="108">
        <f t="shared" si="13"/>
        <v>0.2165840381063478</v>
      </c>
      <c r="AH28" s="104">
        <f t="shared" si="15"/>
        <v>1.1057454319912967</v>
      </c>
      <c r="AJ28" s="104">
        <f t="shared" si="16"/>
        <v>136.34691749861909</v>
      </c>
      <c r="AK28" s="23">
        <f t="shared" si="14"/>
        <v>8.7610183979777254</v>
      </c>
    </row>
    <row r="29" spans="1:37" x14ac:dyDescent="0.35">
      <c r="B29" s="122"/>
      <c r="C29" s="24"/>
      <c r="D29" s="24"/>
      <c r="E29" s="24"/>
      <c r="F29" s="131" t="s">
        <v>50</v>
      </c>
      <c r="G29" s="179">
        <f>SUM(G4:G28)</f>
        <v>136.34691749861909</v>
      </c>
      <c r="H29" s="96"/>
      <c r="I29" s="96"/>
      <c r="J29" s="96"/>
      <c r="K29" s="96"/>
      <c r="L29" s="96"/>
      <c r="M29" s="96"/>
      <c r="N29" s="96"/>
      <c r="O29" s="96"/>
    </row>
    <row r="30" spans="1:37" x14ac:dyDescent="0.35">
      <c r="B30" s="122"/>
      <c r="C30" s="24"/>
      <c r="D30" s="24"/>
      <c r="E30" s="24"/>
      <c r="F30" s="24"/>
      <c r="G30" s="96"/>
      <c r="H30" s="96"/>
      <c r="I30" s="96"/>
      <c r="J30" s="96"/>
      <c r="K30" s="96"/>
      <c r="L30" s="96"/>
      <c r="M30" s="96"/>
      <c r="N30" s="96"/>
      <c r="O30" s="96"/>
    </row>
    <row r="31" spans="1:37" x14ac:dyDescent="0.35">
      <c r="B31" s="123"/>
      <c r="C31" s="125"/>
      <c r="F31" s="24"/>
      <c r="G31" s="96"/>
      <c r="H31" s="96"/>
      <c r="I31" s="96"/>
      <c r="J31" s="96"/>
      <c r="K31" s="96"/>
      <c r="L31" s="96"/>
      <c r="M31" s="96"/>
      <c r="N31" s="96"/>
      <c r="O31" s="96"/>
    </row>
    <row r="32" spans="1:37" x14ac:dyDescent="0.35">
      <c r="B32" s="123"/>
      <c r="C32" s="125"/>
      <c r="G32" s="96"/>
      <c r="H32" s="96"/>
      <c r="I32" s="96"/>
      <c r="J32" s="96"/>
      <c r="K32" s="96"/>
      <c r="L32" s="96"/>
      <c r="M32" s="96"/>
      <c r="N32" s="96"/>
      <c r="O32" s="96"/>
    </row>
    <row r="33" spans="1:39" x14ac:dyDescent="0.35">
      <c r="B33" s="96"/>
      <c r="C33" s="96"/>
      <c r="G33" s="96"/>
      <c r="H33" s="96"/>
      <c r="I33" s="96"/>
      <c r="J33" s="96"/>
      <c r="K33" s="96"/>
      <c r="L33" s="96"/>
      <c r="M33" s="96"/>
      <c r="N33" s="96"/>
      <c r="O33" s="96"/>
    </row>
    <row r="34" spans="1:39" x14ac:dyDescent="0.35">
      <c r="B34" s="96"/>
      <c r="C34" s="96"/>
      <c r="G34" s="96"/>
      <c r="H34" s="96"/>
      <c r="I34" s="96"/>
      <c r="J34" s="96"/>
      <c r="K34" s="96"/>
      <c r="L34" s="96"/>
      <c r="M34" s="96"/>
      <c r="N34" s="96"/>
      <c r="O34" s="96"/>
    </row>
    <row r="35" spans="1:39" x14ac:dyDescent="0.35">
      <c r="G35" s="96"/>
      <c r="H35" s="96"/>
      <c r="I35" s="96"/>
      <c r="J35" s="96"/>
      <c r="K35" s="96"/>
      <c r="L35" s="96"/>
      <c r="M35" s="96"/>
      <c r="N35" s="96"/>
      <c r="O35" s="96"/>
    </row>
    <row r="36" spans="1:39" x14ac:dyDescent="0.35">
      <c r="G36" s="96"/>
      <c r="H36" s="96"/>
      <c r="I36" s="96"/>
      <c r="J36" s="96"/>
      <c r="K36" s="96"/>
      <c r="L36" s="96"/>
      <c r="M36" s="96"/>
      <c r="N36" s="96"/>
      <c r="O36" s="96"/>
    </row>
    <row r="37" spans="1:39" x14ac:dyDescent="0.35">
      <c r="G37" s="96"/>
      <c r="H37" s="96"/>
      <c r="I37" s="96"/>
      <c r="J37" s="96"/>
      <c r="K37" s="96"/>
      <c r="L37" s="96"/>
      <c r="M37" s="96"/>
      <c r="N37" s="96"/>
      <c r="O37" s="96"/>
    </row>
    <row r="38" spans="1:39" x14ac:dyDescent="0.35">
      <c r="G38" s="96"/>
      <c r="H38" s="96"/>
      <c r="I38" s="96"/>
      <c r="J38" s="96"/>
      <c r="K38" s="96"/>
      <c r="L38" s="96"/>
      <c r="M38" s="96"/>
      <c r="N38" s="96"/>
      <c r="O38" s="96"/>
    </row>
    <row r="39" spans="1:39" x14ac:dyDescent="0.35">
      <c r="G39" s="96"/>
      <c r="H39" s="96"/>
      <c r="I39" s="96"/>
      <c r="J39" s="96"/>
      <c r="K39" s="96"/>
      <c r="L39" s="96"/>
      <c r="M39" s="96"/>
      <c r="N39" s="96"/>
      <c r="O39" s="96"/>
    </row>
    <row r="40" spans="1:39" x14ac:dyDescent="0.35">
      <c r="G40" s="96"/>
      <c r="H40" s="96"/>
      <c r="I40" s="96"/>
      <c r="J40" s="96"/>
      <c r="K40" s="96"/>
      <c r="L40" s="96"/>
      <c r="M40" s="96"/>
      <c r="N40" s="96"/>
      <c r="O40" s="96"/>
    </row>
    <row r="41" spans="1:39" x14ac:dyDescent="0.35">
      <c r="G41" s="96"/>
      <c r="H41" s="96"/>
      <c r="I41" s="96"/>
      <c r="J41" s="96"/>
      <c r="K41" s="96"/>
      <c r="L41" s="96"/>
      <c r="M41" s="96"/>
      <c r="N41" s="96"/>
      <c r="O41" s="96"/>
    </row>
    <row r="42" spans="1:39" x14ac:dyDescent="0.35">
      <c r="G42" s="96"/>
      <c r="H42" s="96"/>
      <c r="I42" s="96"/>
      <c r="J42" s="96"/>
      <c r="K42" s="96"/>
      <c r="L42" s="96"/>
      <c r="M42" s="96"/>
      <c r="N42" s="96"/>
      <c r="O42" s="96"/>
    </row>
    <row r="43" spans="1:39" x14ac:dyDescent="0.35">
      <c r="G43" s="96"/>
      <c r="H43" s="96"/>
      <c r="I43" s="96"/>
      <c r="J43" s="96"/>
      <c r="K43" s="96"/>
      <c r="L43" s="96"/>
      <c r="M43" s="96"/>
      <c r="N43" s="96"/>
      <c r="O43" s="96"/>
    </row>
    <row r="44" spans="1:39" x14ac:dyDescent="0.35">
      <c r="G44" s="96"/>
      <c r="H44" s="96"/>
      <c r="I44" s="96"/>
      <c r="J44" s="96"/>
      <c r="K44" s="96"/>
      <c r="L44" s="96"/>
      <c r="M44" s="96"/>
      <c r="N44" s="96"/>
      <c r="O44" s="96"/>
    </row>
    <row r="45" spans="1:39" s="132" customFormat="1" x14ac:dyDescent="0.35">
      <c r="G45" s="96"/>
      <c r="H45" s="96"/>
      <c r="I45" s="96"/>
      <c r="J45" s="96"/>
      <c r="K45" s="96"/>
      <c r="L45" s="96"/>
      <c r="M45" s="96"/>
      <c r="N45" s="96"/>
      <c r="O45" s="96"/>
      <c r="AL45" s="135"/>
      <c r="AM45" s="96"/>
    </row>
    <row r="46" spans="1:39" ht="21" x14ac:dyDescent="0.5">
      <c r="A46" s="96"/>
      <c r="B46" s="134" t="s">
        <v>254</v>
      </c>
      <c r="C46" s="136">
        <f>C1</f>
        <v>2040</v>
      </c>
      <c r="G46" s="96"/>
      <c r="H46" s="96"/>
      <c r="I46" s="96"/>
      <c r="J46" s="96"/>
      <c r="K46" s="96"/>
      <c r="L46" s="96"/>
      <c r="M46" s="96"/>
      <c r="N46" s="96"/>
      <c r="O46" s="96"/>
      <c r="W46" s="23" t="s">
        <v>202</v>
      </c>
      <c r="AB46" s="95"/>
    </row>
    <row r="47" spans="1:39" x14ac:dyDescent="0.35">
      <c r="A47" s="96"/>
      <c r="G47" s="96"/>
      <c r="H47" s="96"/>
      <c r="I47" s="96"/>
      <c r="J47" s="96"/>
      <c r="K47" s="96"/>
      <c r="L47" s="96"/>
      <c r="M47" s="96"/>
      <c r="N47" s="96"/>
      <c r="O47" s="96"/>
      <c r="T47" s="99" t="s">
        <v>138</v>
      </c>
      <c r="W47" s="99">
        <v>1.7</v>
      </c>
      <c r="X47" s="23" t="s">
        <v>174</v>
      </c>
      <c r="Z47" s="100">
        <v>0</v>
      </c>
      <c r="AA47" s="23" t="s">
        <v>175</v>
      </c>
      <c r="AC47" s="101">
        <v>0</v>
      </c>
    </row>
    <row r="48" spans="1:39" ht="72.5" x14ac:dyDescent="0.35">
      <c r="A48" s="96"/>
      <c r="B48" s="102" t="s">
        <v>173</v>
      </c>
      <c r="C48" s="103" t="s">
        <v>95</v>
      </c>
      <c r="D48" s="103" t="s">
        <v>172</v>
      </c>
      <c r="E48" s="103" t="s">
        <v>231</v>
      </c>
      <c r="F48" s="103" t="s">
        <v>96</v>
      </c>
      <c r="G48" s="176" t="s">
        <v>205</v>
      </c>
      <c r="H48" s="176" t="s">
        <v>99</v>
      </c>
      <c r="I48" s="176" t="s">
        <v>97</v>
      </c>
      <c r="J48" s="176" t="s">
        <v>100</v>
      </c>
      <c r="K48" s="176" t="s">
        <v>101</v>
      </c>
      <c r="L48" s="176" t="s">
        <v>102</v>
      </c>
      <c r="M48" s="176" t="s">
        <v>129</v>
      </c>
      <c r="N48" s="176" t="s">
        <v>130</v>
      </c>
      <c r="O48" s="176" t="s">
        <v>132</v>
      </c>
      <c r="P48" s="103" t="s">
        <v>133</v>
      </c>
      <c r="Q48" s="103" t="s">
        <v>131</v>
      </c>
      <c r="R48" s="117" t="s">
        <v>136</v>
      </c>
      <c r="S48" s="103" t="s">
        <v>135</v>
      </c>
      <c r="T48" s="103" t="s">
        <v>134</v>
      </c>
      <c r="U48" s="103" t="s">
        <v>103</v>
      </c>
      <c r="V48" s="117" t="s">
        <v>108</v>
      </c>
      <c r="W48" s="103" t="s">
        <v>199</v>
      </c>
      <c r="X48" s="103" t="s">
        <v>104</v>
      </c>
      <c r="Y48" s="103" t="s">
        <v>105</v>
      </c>
      <c r="Z48" s="103" t="s">
        <v>106</v>
      </c>
      <c r="AA48" s="103" t="s">
        <v>137</v>
      </c>
      <c r="AB48" s="117" t="s">
        <v>107</v>
      </c>
      <c r="AD48" s="103" t="s">
        <v>167</v>
      </c>
      <c r="AE48" s="103" t="s">
        <v>168</v>
      </c>
      <c r="AF48" s="103" t="s">
        <v>169</v>
      </c>
      <c r="AJ48" s="103" t="s">
        <v>177</v>
      </c>
      <c r="AK48" s="103" t="s">
        <v>176</v>
      </c>
    </row>
    <row r="49" spans="1:37" x14ac:dyDescent="0.35">
      <c r="A49" s="96">
        <v>20</v>
      </c>
      <c r="B49" s="120" t="s">
        <v>162</v>
      </c>
      <c r="C49" s="111" t="s">
        <v>157</v>
      </c>
      <c r="D49" s="111" t="s">
        <v>170</v>
      </c>
      <c r="E49" s="111"/>
      <c r="F49" s="111" t="s">
        <v>158</v>
      </c>
      <c r="G49" s="167">
        <f>'time-factors'!F$36*'time-factors'!B70</f>
        <v>2.7727693419193811</v>
      </c>
      <c r="H49" s="166">
        <f>'time-factors'!N70</f>
        <v>0.09</v>
      </c>
      <c r="I49" s="168" t="s">
        <v>166</v>
      </c>
      <c r="J49" s="96">
        <f>'time-factors'!S$46</f>
        <v>20</v>
      </c>
      <c r="K49" s="170">
        <f>'time-factors'!M$46</f>
        <v>0.05</v>
      </c>
      <c r="L49" s="172">
        <f t="shared" ref="L49:L73" si="19">PMT(K49,J49,-H49)</f>
        <v>7.2218328471622189E-3</v>
      </c>
      <c r="M49" s="171">
        <v>0.02</v>
      </c>
      <c r="N49" s="168">
        <f t="shared" ref="N49:N73" si="20">M49*H49</f>
        <v>1.8E-3</v>
      </c>
      <c r="O49" s="168">
        <v>1.5</v>
      </c>
      <c r="P49" s="111">
        <v>200</v>
      </c>
      <c r="Q49" s="115">
        <f t="shared" ref="Q49:Q73" si="21">P49*O49*0.001</f>
        <v>0.3</v>
      </c>
      <c r="R49" s="114">
        <f t="shared" ref="R49:R73" si="22">L49+N49+Q49</f>
        <v>0.30902183284716223</v>
      </c>
      <c r="S49" s="114">
        <f>2*O49</f>
        <v>3</v>
      </c>
      <c r="T49" s="114">
        <v>0.1</v>
      </c>
      <c r="U49" s="111">
        <f t="shared" ref="U49:U73" si="23">T49*S49</f>
        <v>0.30000000000000004</v>
      </c>
      <c r="V49" s="111">
        <f t="shared" ref="V49:V73" si="24">R49/U49</f>
        <v>1.0300727761572073</v>
      </c>
      <c r="W49" s="111">
        <v>200</v>
      </c>
      <c r="X49" s="111">
        <f t="shared" ref="X49:X73" si="25">W49*S49*0.001</f>
        <v>0.6</v>
      </c>
      <c r="Y49" s="111">
        <f t="shared" ref="Y49:Y55" si="26">$AC$2</f>
        <v>0</v>
      </c>
      <c r="Z49" s="111">
        <f t="shared" ref="Z49:Z73" si="27">Y49*U49</f>
        <v>0</v>
      </c>
      <c r="AA49" s="114">
        <f t="shared" ref="AA49:AA73" si="28">R49-X49-Z49</f>
        <v>-0.29097816715283775</v>
      </c>
      <c r="AB49" s="111">
        <f t="shared" ref="AB49:AB73" si="29">AA49/U49</f>
        <v>-0.9699272238427924</v>
      </c>
      <c r="AC49" s="111"/>
      <c r="AD49" s="107">
        <f t="shared" ref="AD49:AD73" si="30">L49/U49</f>
        <v>2.4072776157207394E-2</v>
      </c>
      <c r="AE49" s="23">
        <f t="shared" ref="AE49:AE73" si="31">N49/U49</f>
        <v>5.9999999999999993E-3</v>
      </c>
      <c r="AF49" s="108">
        <f t="shared" ref="AF49:AF73" si="32">Q49/U49</f>
        <v>0.99999999999999978</v>
      </c>
      <c r="AH49" s="104">
        <f>G49</f>
        <v>2.7727693419193811</v>
      </c>
      <c r="AJ49" s="104">
        <f>AH49</f>
        <v>2.7727693419193811</v>
      </c>
      <c r="AK49" s="23">
        <f t="shared" ref="AK49:AK73" si="33">AB49</f>
        <v>-0.9699272238427924</v>
      </c>
    </row>
    <row r="50" spans="1:37" x14ac:dyDescent="0.35">
      <c r="A50" s="96">
        <v>21</v>
      </c>
      <c r="B50" s="120" t="s">
        <v>160</v>
      </c>
      <c r="C50" s="48" t="s">
        <v>163</v>
      </c>
      <c r="D50" s="111" t="s">
        <v>170</v>
      </c>
      <c r="E50" s="111"/>
      <c r="F50" s="48" t="s">
        <v>158</v>
      </c>
      <c r="G50" s="167">
        <f>'time-factors'!F$36*'time-factors'!B71</f>
        <v>5.0834104601855321</v>
      </c>
      <c r="H50" s="166">
        <f>'time-factors'!N71</f>
        <v>0.15</v>
      </c>
      <c r="I50" s="168" t="s">
        <v>166</v>
      </c>
      <c r="J50" s="96">
        <f>'time-factors'!S$46</f>
        <v>20</v>
      </c>
      <c r="K50" s="170">
        <f>'time-factors'!M$46</f>
        <v>0.05</v>
      </c>
      <c r="L50" s="172">
        <f t="shared" si="19"/>
        <v>1.2036388078603697E-2</v>
      </c>
      <c r="M50" s="171">
        <v>0.02</v>
      </c>
      <c r="N50" s="168">
        <f t="shared" si="20"/>
        <v>3.0000000000000001E-3</v>
      </c>
      <c r="O50" s="168">
        <v>4.4000000000000004</v>
      </c>
      <c r="P50" s="111">
        <v>200</v>
      </c>
      <c r="Q50" s="115">
        <f t="shared" si="21"/>
        <v>0.88000000000000012</v>
      </c>
      <c r="R50" s="114">
        <f t="shared" si="22"/>
        <v>0.89503638807860386</v>
      </c>
      <c r="S50" s="114">
        <f>1.2*O50</f>
        <v>5.28</v>
      </c>
      <c r="T50" s="114">
        <v>0.1</v>
      </c>
      <c r="U50" s="111">
        <f t="shared" si="23"/>
        <v>0.52800000000000002</v>
      </c>
      <c r="V50" s="111">
        <f t="shared" si="24"/>
        <v>1.695144674391295</v>
      </c>
      <c r="W50" s="111">
        <v>200</v>
      </c>
      <c r="X50" s="111">
        <f t="shared" si="25"/>
        <v>1.056</v>
      </c>
      <c r="Y50" s="111">
        <f t="shared" si="26"/>
        <v>0</v>
      </c>
      <c r="Z50" s="111">
        <f t="shared" si="27"/>
        <v>0</v>
      </c>
      <c r="AA50" s="114">
        <f t="shared" si="28"/>
        <v>-0.16096361192139619</v>
      </c>
      <c r="AB50" s="111">
        <f t="shared" si="29"/>
        <v>-0.30485532560870487</v>
      </c>
      <c r="AC50" s="111"/>
      <c r="AD50" s="107">
        <f t="shared" si="30"/>
        <v>2.2796189542810031E-2</v>
      </c>
      <c r="AE50" s="23">
        <f t="shared" si="31"/>
        <v>5.681818181818182E-3</v>
      </c>
      <c r="AF50" s="108">
        <f t="shared" si="32"/>
        <v>1.6666666666666667</v>
      </c>
      <c r="AH50" s="104">
        <f t="shared" ref="AH50:AH73" si="34">G50</f>
        <v>5.0834104601855321</v>
      </c>
      <c r="AJ50" s="104">
        <f>AJ49+AH50</f>
        <v>7.8561798021049132</v>
      </c>
      <c r="AK50" s="23">
        <f t="shared" si="33"/>
        <v>-0.30485532560870487</v>
      </c>
    </row>
    <row r="51" spans="1:37" ht="29" x14ac:dyDescent="0.35">
      <c r="A51" s="96">
        <v>22</v>
      </c>
      <c r="B51" s="120" t="s">
        <v>161</v>
      </c>
      <c r="C51" s="48" t="s">
        <v>163</v>
      </c>
      <c r="D51" s="111" t="s">
        <v>170</v>
      </c>
      <c r="E51" s="111"/>
      <c r="F51" s="48" t="s">
        <v>158</v>
      </c>
      <c r="G51" s="167">
        <f>'time-factors'!F$36*'time-factors'!B72</f>
        <v>2.7727693419193811</v>
      </c>
      <c r="H51" s="166">
        <f>'time-factors'!N72</f>
        <v>0.3</v>
      </c>
      <c r="I51" s="168" t="s">
        <v>166</v>
      </c>
      <c r="J51" s="96">
        <f>'time-factors'!S$46</f>
        <v>20</v>
      </c>
      <c r="K51" s="170">
        <f>'time-factors'!M$46</f>
        <v>0.05</v>
      </c>
      <c r="L51" s="172">
        <f t="shared" si="19"/>
        <v>2.4072776157207394E-2</v>
      </c>
      <c r="M51" s="171">
        <v>0.02</v>
      </c>
      <c r="N51" s="168">
        <f t="shared" si="20"/>
        <v>6.0000000000000001E-3</v>
      </c>
      <c r="O51" s="168">
        <v>4.4000000000000004</v>
      </c>
      <c r="P51" s="111">
        <v>200</v>
      </c>
      <c r="Q51" s="115">
        <f t="shared" si="21"/>
        <v>0.88000000000000012</v>
      </c>
      <c r="R51" s="114">
        <f t="shared" si="22"/>
        <v>0.9100727761572075</v>
      </c>
      <c r="S51" s="114">
        <f>1.2*O51</f>
        <v>5.28</v>
      </c>
      <c r="T51" s="114">
        <v>0.1</v>
      </c>
      <c r="U51" s="111">
        <f t="shared" si="23"/>
        <v>0.52800000000000002</v>
      </c>
      <c r="V51" s="111">
        <f t="shared" si="24"/>
        <v>1.7236226821159233</v>
      </c>
      <c r="W51" s="111">
        <v>200</v>
      </c>
      <c r="X51" s="111">
        <f t="shared" si="25"/>
        <v>1.056</v>
      </c>
      <c r="Y51" s="111">
        <f t="shared" si="26"/>
        <v>0</v>
      </c>
      <c r="Z51" s="111">
        <f t="shared" si="27"/>
        <v>0</v>
      </c>
      <c r="AA51" s="114">
        <f t="shared" si="28"/>
        <v>-0.14592722384279255</v>
      </c>
      <c r="AB51" s="111">
        <f t="shared" si="29"/>
        <v>-0.27637731788407677</v>
      </c>
      <c r="AC51" s="111"/>
      <c r="AD51" s="107">
        <f t="shared" si="30"/>
        <v>4.5592379085620062E-2</v>
      </c>
      <c r="AE51" s="23">
        <f t="shared" si="31"/>
        <v>1.1363636363636364E-2</v>
      </c>
      <c r="AF51" s="108">
        <f t="shared" si="32"/>
        <v>1.6666666666666667</v>
      </c>
      <c r="AH51" s="104">
        <f t="shared" si="34"/>
        <v>2.7727693419193811</v>
      </c>
      <c r="AJ51" s="104">
        <f t="shared" ref="AJ51:AJ73" si="35">AJ50+AH51</f>
        <v>10.628949144024293</v>
      </c>
      <c r="AK51" s="23">
        <f t="shared" si="33"/>
        <v>-0.27637731788407677</v>
      </c>
    </row>
    <row r="52" spans="1:37" x14ac:dyDescent="0.35">
      <c r="A52" s="96">
        <v>24</v>
      </c>
      <c r="B52" s="120" t="s">
        <v>165</v>
      </c>
      <c r="C52" s="120" t="s">
        <v>165</v>
      </c>
      <c r="D52" s="111" t="s">
        <v>170</v>
      </c>
      <c r="E52" s="111"/>
      <c r="F52" s="48" t="s">
        <v>158</v>
      </c>
      <c r="G52" s="167">
        <f>'time-factors'!F$36*'time-factors'!B74</f>
        <v>1.8485128946129208</v>
      </c>
      <c r="H52" s="166">
        <f>'time-factors'!N74</f>
        <v>0.3</v>
      </c>
      <c r="I52" s="168" t="s">
        <v>166</v>
      </c>
      <c r="J52" s="96">
        <f>'time-factors'!S$46</f>
        <v>20</v>
      </c>
      <c r="K52" s="170">
        <f>'time-factors'!M$46</f>
        <v>0.05</v>
      </c>
      <c r="L52" s="172">
        <f t="shared" si="19"/>
        <v>2.4072776157207394E-2</v>
      </c>
      <c r="M52" s="171">
        <v>0.02</v>
      </c>
      <c r="N52" s="168">
        <f t="shared" si="20"/>
        <v>6.0000000000000001E-3</v>
      </c>
      <c r="O52" s="168">
        <v>4.4000000000000004</v>
      </c>
      <c r="P52" s="111">
        <v>200</v>
      </c>
      <c r="Q52" s="115">
        <f t="shared" si="21"/>
        <v>0.88000000000000012</v>
      </c>
      <c r="R52" s="114">
        <f t="shared" si="22"/>
        <v>0.9100727761572075</v>
      </c>
      <c r="S52" s="114">
        <f>1.2*O52</f>
        <v>5.28</v>
      </c>
      <c r="T52" s="114">
        <v>0.1</v>
      </c>
      <c r="U52" s="111">
        <f t="shared" si="23"/>
        <v>0.52800000000000002</v>
      </c>
      <c r="V52" s="111">
        <f t="shared" si="24"/>
        <v>1.7236226821159233</v>
      </c>
      <c r="W52" s="111">
        <v>200</v>
      </c>
      <c r="X52" s="111">
        <f t="shared" si="25"/>
        <v>1.056</v>
      </c>
      <c r="Y52" s="111">
        <f t="shared" si="26"/>
        <v>0</v>
      </c>
      <c r="Z52" s="111">
        <f t="shared" si="27"/>
        <v>0</v>
      </c>
      <c r="AA52" s="114">
        <f t="shared" si="28"/>
        <v>-0.14592722384279255</v>
      </c>
      <c r="AB52" s="111">
        <f t="shared" si="29"/>
        <v>-0.27637731788407677</v>
      </c>
      <c r="AC52" s="111"/>
      <c r="AD52" s="107">
        <f t="shared" si="30"/>
        <v>4.5592379085620062E-2</v>
      </c>
      <c r="AE52" s="23">
        <f t="shared" si="31"/>
        <v>1.1363636363636364E-2</v>
      </c>
      <c r="AF52" s="108">
        <f t="shared" si="32"/>
        <v>1.6666666666666667</v>
      </c>
      <c r="AH52" s="104">
        <f t="shared" si="34"/>
        <v>1.8485128946129208</v>
      </c>
      <c r="AJ52" s="104">
        <f t="shared" si="35"/>
        <v>12.477462038637213</v>
      </c>
      <c r="AK52" s="23">
        <f t="shared" si="33"/>
        <v>-0.27637731788407677</v>
      </c>
    </row>
    <row r="53" spans="1:37" x14ac:dyDescent="0.35">
      <c r="A53" s="96">
        <v>23</v>
      </c>
      <c r="B53" s="120" t="s">
        <v>164</v>
      </c>
      <c r="C53" s="48" t="s">
        <v>163</v>
      </c>
      <c r="D53" s="111" t="s">
        <v>170</v>
      </c>
      <c r="E53" s="111"/>
      <c r="F53" s="48" t="s">
        <v>158</v>
      </c>
      <c r="G53" s="167">
        <f>'time-factors'!F$36*'time-factors'!B73</f>
        <v>4.6212822365323021</v>
      </c>
      <c r="H53" s="166">
        <f>'time-factors'!N73</f>
        <v>0.6</v>
      </c>
      <c r="I53" s="168" t="s">
        <v>166</v>
      </c>
      <c r="J53" s="96">
        <f>'time-factors'!S$46</f>
        <v>20</v>
      </c>
      <c r="K53" s="170">
        <f>'time-factors'!M$46</f>
        <v>0.05</v>
      </c>
      <c r="L53" s="172">
        <f t="shared" si="19"/>
        <v>4.8145552314414787E-2</v>
      </c>
      <c r="M53" s="171">
        <v>0.02</v>
      </c>
      <c r="N53" s="168">
        <f t="shared" si="20"/>
        <v>1.2E-2</v>
      </c>
      <c r="O53" s="168">
        <v>4.4000000000000004</v>
      </c>
      <c r="P53" s="111">
        <v>200</v>
      </c>
      <c r="Q53" s="115">
        <f t="shared" si="21"/>
        <v>0.88000000000000012</v>
      </c>
      <c r="R53" s="114">
        <f t="shared" si="22"/>
        <v>0.94014555231441488</v>
      </c>
      <c r="S53" s="114">
        <f>1.2*O53</f>
        <v>5.28</v>
      </c>
      <c r="T53" s="114">
        <v>0.1</v>
      </c>
      <c r="U53" s="111">
        <f t="shared" si="23"/>
        <v>0.52800000000000002</v>
      </c>
      <c r="V53" s="111">
        <f t="shared" si="24"/>
        <v>1.7805786975651796</v>
      </c>
      <c r="W53" s="111">
        <v>200</v>
      </c>
      <c r="X53" s="111">
        <f t="shared" si="25"/>
        <v>1.056</v>
      </c>
      <c r="Y53" s="111">
        <f t="shared" si="26"/>
        <v>0</v>
      </c>
      <c r="Z53" s="111">
        <f t="shared" si="27"/>
        <v>0</v>
      </c>
      <c r="AA53" s="114">
        <f t="shared" si="28"/>
        <v>-0.11585444768558517</v>
      </c>
      <c r="AB53" s="111">
        <f t="shared" si="29"/>
        <v>-0.21942130243482039</v>
      </c>
      <c r="AC53" s="111"/>
      <c r="AD53" s="107">
        <f t="shared" si="30"/>
        <v>9.1184758171240124E-2</v>
      </c>
      <c r="AE53" s="23">
        <f t="shared" si="31"/>
        <v>2.2727272727272728E-2</v>
      </c>
      <c r="AF53" s="108">
        <f t="shared" si="32"/>
        <v>1.6666666666666667</v>
      </c>
      <c r="AH53" s="104">
        <f t="shared" si="34"/>
        <v>4.6212822365323021</v>
      </c>
      <c r="AJ53" s="104">
        <f t="shared" si="35"/>
        <v>17.098744275169516</v>
      </c>
      <c r="AK53" s="23">
        <f t="shared" si="33"/>
        <v>-0.21942130243482039</v>
      </c>
    </row>
    <row r="54" spans="1:37" x14ac:dyDescent="0.35">
      <c r="A54" s="96">
        <v>19</v>
      </c>
      <c r="B54" s="120" t="s">
        <v>140</v>
      </c>
      <c r="C54" s="111" t="s">
        <v>157</v>
      </c>
      <c r="D54" s="111" t="s">
        <v>170</v>
      </c>
      <c r="E54" s="111"/>
      <c r="F54" s="111" t="s">
        <v>159</v>
      </c>
      <c r="G54" s="167">
        <f>'time-factors'!F$36*'time-factors'!B69</f>
        <v>5.7766027956653776</v>
      </c>
      <c r="H54" s="166">
        <f>'time-factors'!N69</f>
        <v>1.2</v>
      </c>
      <c r="I54" s="168" t="s">
        <v>166</v>
      </c>
      <c r="J54" s="96">
        <f>'time-factors'!S$45</f>
        <v>15</v>
      </c>
      <c r="K54" s="170">
        <f>'time-factors'!M$45</f>
        <v>0.05</v>
      </c>
      <c r="L54" s="172">
        <f t="shared" si="19"/>
        <v>0.11561074513109325</v>
      </c>
      <c r="M54" s="171">
        <v>0</v>
      </c>
      <c r="N54" s="168">
        <f t="shared" si="20"/>
        <v>0</v>
      </c>
      <c r="O54" s="168">
        <v>2.63</v>
      </c>
      <c r="P54" s="111">
        <v>200</v>
      </c>
      <c r="Q54" s="115">
        <f t="shared" si="21"/>
        <v>0.52600000000000002</v>
      </c>
      <c r="R54" s="114">
        <f t="shared" si="22"/>
        <v>0.64161074513109329</v>
      </c>
      <c r="S54" s="114">
        <f>3.5*O54</f>
        <v>9.2050000000000001</v>
      </c>
      <c r="T54" s="114">
        <v>0.18</v>
      </c>
      <c r="U54" s="111">
        <f t="shared" si="23"/>
        <v>1.6569</v>
      </c>
      <c r="V54" s="111">
        <f t="shared" si="24"/>
        <v>0.38723564797579413</v>
      </c>
      <c r="W54" s="116">
        <v>103</v>
      </c>
      <c r="X54" s="111">
        <f t="shared" si="25"/>
        <v>0.94811500000000004</v>
      </c>
      <c r="Y54" s="111">
        <f t="shared" si="26"/>
        <v>0</v>
      </c>
      <c r="Z54" s="111">
        <f t="shared" si="27"/>
        <v>0</v>
      </c>
      <c r="AA54" s="114">
        <f t="shared" si="28"/>
        <v>-0.30650425486890676</v>
      </c>
      <c r="AB54" s="111">
        <f t="shared" si="29"/>
        <v>-0.18498657424642811</v>
      </c>
      <c r="AC54" s="111"/>
      <c r="AD54" s="107">
        <f t="shared" si="30"/>
        <v>6.9775330515476644E-2</v>
      </c>
      <c r="AE54" s="23">
        <f t="shared" si="31"/>
        <v>0</v>
      </c>
      <c r="AF54" s="108">
        <f t="shared" si="32"/>
        <v>0.31746031746031744</v>
      </c>
      <c r="AH54" s="104">
        <f t="shared" si="34"/>
        <v>5.7766027956653776</v>
      </c>
      <c r="AJ54" s="104">
        <f t="shared" si="35"/>
        <v>22.875347070834891</v>
      </c>
      <c r="AK54" s="23">
        <f t="shared" si="33"/>
        <v>-0.18498657424642811</v>
      </c>
    </row>
    <row r="55" spans="1:37" ht="29" x14ac:dyDescent="0.35">
      <c r="A55" s="96">
        <v>25</v>
      </c>
      <c r="B55" s="121" t="s">
        <v>204</v>
      </c>
      <c r="C55" s="24" t="s">
        <v>41</v>
      </c>
      <c r="D55" s="24" t="s">
        <v>198</v>
      </c>
      <c r="E55" s="24"/>
      <c r="F55" s="24" t="s">
        <v>203</v>
      </c>
      <c r="G55" s="167">
        <f>'time-factors'!F$36*'time-factors'!B75</f>
        <v>5.7766027956653776</v>
      </c>
      <c r="H55" s="166">
        <f>'time-factors'!N75</f>
        <v>2.4599999999999995</v>
      </c>
      <c r="I55" s="53" t="s">
        <v>166</v>
      </c>
      <c r="J55" s="96">
        <f>'time-factors'!S$47</f>
        <v>10</v>
      </c>
      <c r="K55" s="170">
        <f>'time-factors'!M$47</f>
        <v>0.05</v>
      </c>
      <c r="L55" s="55">
        <f t="shared" si="19"/>
        <v>0.31858125441502333</v>
      </c>
      <c r="M55" s="54">
        <v>0</v>
      </c>
      <c r="N55" s="53">
        <f t="shared" si="20"/>
        <v>0</v>
      </c>
      <c r="O55" s="53">
        <v>2.2000000000000002</v>
      </c>
      <c r="P55" s="53">
        <v>200</v>
      </c>
      <c r="Q55" s="56">
        <f t="shared" si="21"/>
        <v>0.44000000000000006</v>
      </c>
      <c r="R55" s="55">
        <f t="shared" si="22"/>
        <v>0.75858125441502344</v>
      </c>
      <c r="S55" s="59">
        <f>2*O55</f>
        <v>4.4000000000000004</v>
      </c>
      <c r="T55" s="59">
        <v>0.27</v>
      </c>
      <c r="U55" s="53">
        <f t="shared" si="23"/>
        <v>1.1880000000000002</v>
      </c>
      <c r="V55" s="53">
        <f t="shared" si="24"/>
        <v>0.63853640944025536</v>
      </c>
      <c r="W55" s="53">
        <v>200</v>
      </c>
      <c r="X55" s="57">
        <f t="shared" si="25"/>
        <v>0.88000000000000012</v>
      </c>
      <c r="Y55" s="53">
        <f t="shared" si="26"/>
        <v>0</v>
      </c>
      <c r="Z55" s="53">
        <f t="shared" si="27"/>
        <v>0</v>
      </c>
      <c r="AA55" s="55">
        <f t="shared" si="28"/>
        <v>-0.12141874558497667</v>
      </c>
      <c r="AB55" s="53">
        <f t="shared" si="29"/>
        <v>-0.1022043313004854</v>
      </c>
      <c r="AC55" s="53"/>
      <c r="AD55" s="107">
        <f t="shared" si="30"/>
        <v>0.2681660390698849</v>
      </c>
      <c r="AE55" s="23">
        <f t="shared" si="31"/>
        <v>0</v>
      </c>
      <c r="AF55" s="108">
        <f t="shared" si="32"/>
        <v>0.37037037037037035</v>
      </c>
      <c r="AH55" s="104">
        <f t="shared" si="34"/>
        <v>5.7766027956653776</v>
      </c>
      <c r="AJ55" s="104">
        <f t="shared" si="35"/>
        <v>28.651949866500267</v>
      </c>
      <c r="AK55" s="23">
        <f t="shared" si="33"/>
        <v>-0.1022043313004854</v>
      </c>
    </row>
    <row r="56" spans="1:37" x14ac:dyDescent="0.35">
      <c r="A56" s="96">
        <v>12</v>
      </c>
      <c r="B56" s="118" t="s">
        <v>151</v>
      </c>
      <c r="C56" s="23" t="s">
        <v>139</v>
      </c>
      <c r="D56" s="23" t="s">
        <v>171</v>
      </c>
      <c r="E56" s="23" t="s">
        <v>128</v>
      </c>
      <c r="F56" s="23" t="s">
        <v>83</v>
      </c>
      <c r="G56" s="167">
        <f>'time-factors'!F$36*'time-factors'!B62</f>
        <v>0.4621282236532302</v>
      </c>
      <c r="H56" s="166">
        <f>'time-factors'!N62</f>
        <v>27</v>
      </c>
      <c r="I56" s="96" t="s">
        <v>98</v>
      </c>
      <c r="J56" s="96">
        <f>'time-factors'!S$43</f>
        <v>10</v>
      </c>
      <c r="K56" s="170">
        <f>'time-factors'!M$43</f>
        <v>0.05</v>
      </c>
      <c r="L56" s="173">
        <f t="shared" si="19"/>
        <v>3.49662352406733</v>
      </c>
      <c r="M56" s="170">
        <v>0</v>
      </c>
      <c r="N56" s="96">
        <f t="shared" si="20"/>
        <v>0</v>
      </c>
      <c r="O56" s="167" cm="1">
        <f t="array" ref="O56">IFERROR(_xlfn.IFS(E56="Heavy", 'vehicle E calcs'!$H$33,E56="Cars/vans",'vehicle E calcs'!$H$32),"")</f>
        <v>6.3768270755398833</v>
      </c>
      <c r="P56" s="106">
        <v>200</v>
      </c>
      <c r="Q56" s="108">
        <f t="shared" si="21"/>
        <v>1.2753654151079765</v>
      </c>
      <c r="R56" s="107">
        <f t="shared" si="22"/>
        <v>4.7719889391753068</v>
      </c>
      <c r="S56" s="107" cm="1">
        <f t="array" ref="S56">_xlfn.IFS(E56="Heavy", 'vehicle E calcs'!$T$21,E56="Cars/vans",'vehicle E calcs'!$S$21)*O56</f>
        <v>23.354986057632608</v>
      </c>
      <c r="T56" s="109">
        <v>0.27</v>
      </c>
      <c r="U56" s="23">
        <f t="shared" si="23"/>
        <v>6.3058462355608045</v>
      </c>
      <c r="V56" s="23">
        <f t="shared" si="24"/>
        <v>0.75675631166907364</v>
      </c>
      <c r="W56" s="106">
        <f t="shared" ref="W56:W73" si="36">W$2*105</f>
        <v>168</v>
      </c>
      <c r="X56" s="23">
        <f t="shared" si="25"/>
        <v>3.9236376576822782</v>
      </c>
      <c r="Y56" s="96">
        <f t="shared" ref="Y56:Y73" si="37">$Z$2</f>
        <v>0</v>
      </c>
      <c r="Z56" s="23">
        <f t="shared" si="27"/>
        <v>0</v>
      </c>
      <c r="AA56" s="107">
        <f t="shared" si="28"/>
        <v>0.84835128149302852</v>
      </c>
      <c r="AB56" s="23">
        <f t="shared" si="29"/>
        <v>0.13453408944685141</v>
      </c>
      <c r="AD56" s="107">
        <f t="shared" si="30"/>
        <v>0.55450504079035179</v>
      </c>
      <c r="AE56" s="23">
        <f t="shared" si="31"/>
        <v>0</v>
      </c>
      <c r="AF56" s="108">
        <f t="shared" si="32"/>
        <v>0.20225127087872183</v>
      </c>
      <c r="AH56" s="104">
        <f t="shared" si="34"/>
        <v>0.4621282236532302</v>
      </c>
      <c r="AJ56" s="104">
        <f t="shared" si="35"/>
        <v>29.114078090153498</v>
      </c>
      <c r="AK56" s="23">
        <f t="shared" si="33"/>
        <v>0.13453408944685141</v>
      </c>
    </row>
    <row r="57" spans="1:37" x14ac:dyDescent="0.35">
      <c r="A57" s="96">
        <v>16</v>
      </c>
      <c r="B57" s="118" t="s">
        <v>154</v>
      </c>
      <c r="C57" s="23" t="s">
        <v>139</v>
      </c>
      <c r="D57" s="23" t="s">
        <v>171</v>
      </c>
      <c r="E57" s="23" t="s">
        <v>128</v>
      </c>
      <c r="F57" s="23" t="s">
        <v>83</v>
      </c>
      <c r="G57" s="167">
        <f>'time-factors'!F$36*'time-factors'!B66</f>
        <v>0.4621282236532302</v>
      </c>
      <c r="H57" s="166">
        <f>'time-factors'!N66</f>
        <v>27</v>
      </c>
      <c r="I57" s="96" t="s">
        <v>98</v>
      </c>
      <c r="J57" s="96">
        <f>'time-factors'!S$43</f>
        <v>10</v>
      </c>
      <c r="K57" s="170">
        <f>'time-factors'!M$43</f>
        <v>0.05</v>
      </c>
      <c r="L57" s="173">
        <f t="shared" si="19"/>
        <v>3.49662352406733</v>
      </c>
      <c r="M57" s="170">
        <v>0</v>
      </c>
      <c r="N57" s="96">
        <f t="shared" si="20"/>
        <v>0</v>
      </c>
      <c r="O57" s="167" cm="1">
        <f t="array" ref="O57">IFERROR(_xlfn.IFS(E57="Heavy", 'vehicle E calcs'!$H$33,E57="Cars/vans",'vehicle E calcs'!$H$32),"")</f>
        <v>6.3768270755398833</v>
      </c>
      <c r="P57" s="106">
        <v>200</v>
      </c>
      <c r="Q57" s="108">
        <f t="shared" si="21"/>
        <v>1.2753654151079765</v>
      </c>
      <c r="R57" s="107">
        <f t="shared" si="22"/>
        <v>4.7719889391753068</v>
      </c>
      <c r="S57" s="107" cm="1">
        <f t="array" ref="S57">_xlfn.IFS(E57="Heavy", 'vehicle E calcs'!$T$21,E57="Cars/vans",'vehicle E calcs'!$S$21)*O57</f>
        <v>23.354986057632608</v>
      </c>
      <c r="T57" s="109">
        <v>0.27</v>
      </c>
      <c r="U57" s="23">
        <f t="shared" si="23"/>
        <v>6.3058462355608045</v>
      </c>
      <c r="V57" s="23">
        <f t="shared" si="24"/>
        <v>0.75675631166907364</v>
      </c>
      <c r="W57" s="106">
        <f t="shared" si="36"/>
        <v>168</v>
      </c>
      <c r="X57" s="23">
        <f t="shared" si="25"/>
        <v>3.9236376576822782</v>
      </c>
      <c r="Y57" s="96">
        <f t="shared" si="37"/>
        <v>0</v>
      </c>
      <c r="Z57" s="23">
        <f t="shared" si="27"/>
        <v>0</v>
      </c>
      <c r="AA57" s="107">
        <f t="shared" si="28"/>
        <v>0.84835128149302852</v>
      </c>
      <c r="AB57" s="23">
        <f t="shared" si="29"/>
        <v>0.13453408944685141</v>
      </c>
      <c r="AD57" s="107">
        <f t="shared" si="30"/>
        <v>0.55450504079035179</v>
      </c>
      <c r="AE57" s="23">
        <f t="shared" si="31"/>
        <v>0</v>
      </c>
      <c r="AF57" s="108">
        <f t="shared" si="32"/>
        <v>0.20225127087872183</v>
      </c>
      <c r="AH57" s="104">
        <f t="shared" si="34"/>
        <v>0.4621282236532302</v>
      </c>
      <c r="AJ57" s="104">
        <f t="shared" si="35"/>
        <v>29.576206313806729</v>
      </c>
      <c r="AK57" s="23">
        <f t="shared" si="33"/>
        <v>0.13453408944685141</v>
      </c>
    </row>
    <row r="58" spans="1:37" ht="45.5" x14ac:dyDescent="0.35">
      <c r="A58" s="96">
        <v>13</v>
      </c>
      <c r="B58" s="118" t="s">
        <v>232</v>
      </c>
      <c r="C58" s="23" t="s">
        <v>139</v>
      </c>
      <c r="D58" s="23" t="s">
        <v>171</v>
      </c>
      <c r="E58" s="23" t="s">
        <v>188</v>
      </c>
      <c r="F58" s="23" t="s">
        <v>83</v>
      </c>
      <c r="G58" s="167">
        <f>'time-factors'!F$36*'time-factors'!B63</f>
        <v>0.50834104601855323</v>
      </c>
      <c r="H58" s="166">
        <f>'time-factors'!N63</f>
        <v>46.5</v>
      </c>
      <c r="I58" s="96" t="s">
        <v>98</v>
      </c>
      <c r="J58" s="96">
        <f>'time-factors'!S$43</f>
        <v>10</v>
      </c>
      <c r="K58" s="170">
        <f>'time-factors'!M$43</f>
        <v>0.05</v>
      </c>
      <c r="L58" s="173">
        <f t="shared" si="19"/>
        <v>6.0219627358937347</v>
      </c>
      <c r="M58" s="170">
        <v>0</v>
      </c>
      <c r="N58" s="96">
        <f t="shared" si="20"/>
        <v>0</v>
      </c>
      <c r="O58" s="167" cm="1">
        <f t="array" ref="O58">IFERROR(_xlfn.IFS(E58="Heavy", 'vehicle E calcs'!$H$33,E58="Cars/vans",'vehicle E calcs'!$H$32),"")</f>
        <v>7.1233383316924828</v>
      </c>
      <c r="P58" s="106">
        <v>200</v>
      </c>
      <c r="Q58" s="108">
        <f t="shared" si="21"/>
        <v>1.4246676663384965</v>
      </c>
      <c r="R58" s="107">
        <f t="shared" si="22"/>
        <v>7.4466304022322314</v>
      </c>
      <c r="S58" s="107" cm="1">
        <f t="array" ref="S58">_xlfn.IFS(E58="Heavy", 'vehicle E calcs'!$T$21,E58="Cars/vans",'vehicle E calcs'!$S$21)*O58</f>
        <v>24.362584419881831</v>
      </c>
      <c r="T58" s="109">
        <v>0.27</v>
      </c>
      <c r="U58" s="23">
        <f t="shared" si="23"/>
        <v>6.5778977933680949</v>
      </c>
      <c r="V58" s="23">
        <f t="shared" si="24"/>
        <v>1.1320684261376031</v>
      </c>
      <c r="W58" s="106">
        <f t="shared" si="36"/>
        <v>168</v>
      </c>
      <c r="X58" s="23">
        <f t="shared" si="25"/>
        <v>4.0929141825401478</v>
      </c>
      <c r="Y58" s="96">
        <f t="shared" si="37"/>
        <v>0</v>
      </c>
      <c r="Z58" s="23">
        <f t="shared" si="27"/>
        <v>0</v>
      </c>
      <c r="AA58" s="107">
        <f t="shared" si="28"/>
        <v>3.3537162196920836</v>
      </c>
      <c r="AB58" s="23">
        <f t="shared" si="29"/>
        <v>0.50984620391538082</v>
      </c>
      <c r="AD58" s="107">
        <f t="shared" si="30"/>
        <v>0.9154843880312552</v>
      </c>
      <c r="AE58" s="23">
        <f t="shared" si="31"/>
        <v>0</v>
      </c>
      <c r="AF58" s="108">
        <f t="shared" si="32"/>
        <v>0.2165840381063478</v>
      </c>
      <c r="AH58" s="104">
        <f t="shared" si="34"/>
        <v>0.50834104601855323</v>
      </c>
      <c r="AJ58" s="104">
        <f t="shared" si="35"/>
        <v>30.084547359825283</v>
      </c>
      <c r="AK58" s="23">
        <f t="shared" si="33"/>
        <v>0.50984620391538082</v>
      </c>
    </row>
    <row r="59" spans="1:37" x14ac:dyDescent="0.35">
      <c r="A59" s="96">
        <v>11</v>
      </c>
      <c r="B59" s="118" t="s">
        <v>150</v>
      </c>
      <c r="C59" s="23" t="s">
        <v>139</v>
      </c>
      <c r="D59" s="23" t="s">
        <v>171</v>
      </c>
      <c r="E59" s="23" t="s">
        <v>128</v>
      </c>
      <c r="F59" s="23" t="s">
        <v>83</v>
      </c>
      <c r="G59" s="167">
        <f>'time-factors'!F$36*'time-factors'!B61</f>
        <v>0.2310641118266151</v>
      </c>
      <c r="H59" s="166">
        <f>'time-factors'!N61</f>
        <v>46.5</v>
      </c>
      <c r="I59" s="96" t="s">
        <v>98</v>
      </c>
      <c r="J59" s="96">
        <f>'time-factors'!S$43</f>
        <v>10</v>
      </c>
      <c r="K59" s="170">
        <f>'time-factors'!M$43</f>
        <v>0.05</v>
      </c>
      <c r="L59" s="173">
        <f t="shared" si="19"/>
        <v>6.0219627358937347</v>
      </c>
      <c r="M59" s="170">
        <v>0</v>
      </c>
      <c r="N59" s="96">
        <f t="shared" si="20"/>
        <v>0</v>
      </c>
      <c r="O59" s="167" cm="1">
        <f t="array" ref="O59">IFERROR(_xlfn.IFS(E59="Heavy", 'vehicle E calcs'!$H$33,E59="Cars/vans",'vehicle E calcs'!$H$32),"")</f>
        <v>6.3768270755398833</v>
      </c>
      <c r="P59" s="106">
        <v>200</v>
      </c>
      <c r="Q59" s="108">
        <f t="shared" si="21"/>
        <v>1.2753654151079765</v>
      </c>
      <c r="R59" s="107">
        <f t="shared" si="22"/>
        <v>7.2973281510017109</v>
      </c>
      <c r="S59" s="107" cm="1">
        <f t="array" ref="S59">_xlfn.IFS(E59="Heavy", 'vehicle E calcs'!$T$21,E59="Cars/vans",'vehicle E calcs'!$S$21)*O59</f>
        <v>23.354986057632608</v>
      </c>
      <c r="T59" s="109">
        <v>0.27</v>
      </c>
      <c r="U59" s="23">
        <f t="shared" si="23"/>
        <v>6.3058462355608045</v>
      </c>
      <c r="V59" s="23">
        <f t="shared" si="24"/>
        <v>1.1572321744621052</v>
      </c>
      <c r="W59" s="106">
        <f t="shared" si="36"/>
        <v>168</v>
      </c>
      <c r="X59" s="23">
        <f t="shared" si="25"/>
        <v>3.9236376576822782</v>
      </c>
      <c r="Y59" s="96">
        <f t="shared" si="37"/>
        <v>0</v>
      </c>
      <c r="Z59" s="23">
        <f t="shared" si="27"/>
        <v>0</v>
      </c>
      <c r="AA59" s="107">
        <f t="shared" si="28"/>
        <v>3.3736904933194327</v>
      </c>
      <c r="AB59" s="23">
        <f t="shared" si="29"/>
        <v>0.53500995223988312</v>
      </c>
      <c r="AD59" s="107">
        <f t="shared" si="30"/>
        <v>0.9549809035833835</v>
      </c>
      <c r="AE59" s="23">
        <f t="shared" si="31"/>
        <v>0</v>
      </c>
      <c r="AF59" s="108">
        <f t="shared" si="32"/>
        <v>0.20225127087872183</v>
      </c>
      <c r="AH59" s="104">
        <f t="shared" si="34"/>
        <v>0.2310641118266151</v>
      </c>
      <c r="AJ59" s="104">
        <f t="shared" si="35"/>
        <v>30.315611471651899</v>
      </c>
      <c r="AK59" s="23">
        <f t="shared" si="33"/>
        <v>0.53500995223988312</v>
      </c>
    </row>
    <row r="60" spans="1:37" x14ac:dyDescent="0.35">
      <c r="A60" s="96">
        <v>6</v>
      </c>
      <c r="B60" s="118" t="s">
        <v>146</v>
      </c>
      <c r="C60" s="23" t="s">
        <v>139</v>
      </c>
      <c r="D60" s="23" t="s">
        <v>171</v>
      </c>
      <c r="E60" s="23" t="s">
        <v>188</v>
      </c>
      <c r="F60" s="23" t="s">
        <v>83</v>
      </c>
      <c r="G60" s="167">
        <f>'time-factors'!F$36*'time-factors'!B56</f>
        <v>0.67008592429718372</v>
      </c>
      <c r="H60" s="166">
        <f>'time-factors'!N56</f>
        <v>89.187168</v>
      </c>
      <c r="I60" s="96" t="s">
        <v>98</v>
      </c>
      <c r="J60" s="96">
        <f>'time-factors'!S$43</f>
        <v>10</v>
      </c>
      <c r="K60" s="170">
        <f>'time-factors'!M$43</f>
        <v>0.05</v>
      </c>
      <c r="L60" s="173">
        <f t="shared" si="19"/>
        <v>11.550146284212778</v>
      </c>
      <c r="M60" s="170">
        <v>0</v>
      </c>
      <c r="N60" s="96">
        <f t="shared" si="20"/>
        <v>0</v>
      </c>
      <c r="O60" s="167" cm="1">
        <f t="array" ref="O60">IFERROR(_xlfn.IFS(E60="Heavy", 'vehicle E calcs'!$H$33,E60="Cars/vans",'vehicle E calcs'!$H$32),"")</f>
        <v>7.1233383316924828</v>
      </c>
      <c r="P60" s="106">
        <v>200</v>
      </c>
      <c r="Q60" s="108">
        <f t="shared" si="21"/>
        <v>1.4246676663384965</v>
      </c>
      <c r="R60" s="107">
        <f t="shared" si="22"/>
        <v>12.974813950551274</v>
      </c>
      <c r="S60" s="107" cm="1">
        <f t="array" ref="S60">_xlfn.IFS(E60="Heavy", 'vehicle E calcs'!$T$21,E60="Cars/vans",'vehicle E calcs'!$S$21)*O60</f>
        <v>24.362584419881831</v>
      </c>
      <c r="T60" s="109">
        <v>0.27</v>
      </c>
      <c r="U60" s="23">
        <f t="shared" si="23"/>
        <v>6.5778977933680949</v>
      </c>
      <c r="V60" s="23">
        <f t="shared" si="24"/>
        <v>1.972486401906794</v>
      </c>
      <c r="W60" s="106">
        <f t="shared" si="36"/>
        <v>168</v>
      </c>
      <c r="X60" s="23">
        <f t="shared" si="25"/>
        <v>4.0929141825401478</v>
      </c>
      <c r="Y60" s="96">
        <f t="shared" si="37"/>
        <v>0</v>
      </c>
      <c r="Z60" s="23">
        <f t="shared" si="27"/>
        <v>0</v>
      </c>
      <c r="AA60" s="107">
        <f t="shared" si="28"/>
        <v>8.8818997680111273</v>
      </c>
      <c r="AB60" s="23">
        <f t="shared" si="29"/>
        <v>1.350264179684572</v>
      </c>
      <c r="AD60" s="107">
        <f t="shared" si="30"/>
        <v>1.7559023638004463</v>
      </c>
      <c r="AE60" s="23">
        <f t="shared" si="31"/>
        <v>0</v>
      </c>
      <c r="AF60" s="108">
        <f t="shared" si="32"/>
        <v>0.2165840381063478</v>
      </c>
      <c r="AH60" s="104">
        <f t="shared" si="34"/>
        <v>0.67008592429718372</v>
      </c>
      <c r="AJ60" s="104">
        <f t="shared" si="35"/>
        <v>30.985697395949082</v>
      </c>
      <c r="AK60" s="23">
        <f t="shared" si="33"/>
        <v>1.350264179684572</v>
      </c>
    </row>
    <row r="61" spans="1:37" x14ac:dyDescent="0.35">
      <c r="A61" s="96">
        <v>1</v>
      </c>
      <c r="B61" s="118" t="s">
        <v>141</v>
      </c>
      <c r="C61" s="23" t="s">
        <v>139</v>
      </c>
      <c r="D61" s="23" t="s">
        <v>171</v>
      </c>
      <c r="E61" s="23" t="s">
        <v>128</v>
      </c>
      <c r="F61" s="23" t="s">
        <v>83</v>
      </c>
      <c r="G61" s="167">
        <f>'time-factors'!F$36*'time-factors'!B51</f>
        <v>0.80872439139315289</v>
      </c>
      <c r="H61" s="166">
        <f>'time-factors'!N51</f>
        <v>119.44709999999999</v>
      </c>
      <c r="I61" s="96" t="s">
        <v>98</v>
      </c>
      <c r="J61" s="96">
        <f>'time-factors'!S$43</f>
        <v>10</v>
      </c>
      <c r="K61" s="170">
        <f>'time-factors'!M$43</f>
        <v>0.05</v>
      </c>
      <c r="L61" s="173">
        <f t="shared" si="19"/>
        <v>15.468945916356398</v>
      </c>
      <c r="M61" s="170">
        <v>0</v>
      </c>
      <c r="N61" s="96">
        <f t="shared" si="20"/>
        <v>0</v>
      </c>
      <c r="O61" s="167" cm="1">
        <f t="array" ref="O61">IFERROR(_xlfn.IFS(E61="Heavy", 'vehicle E calcs'!$H$33,E61="Cars/vans",'vehicle E calcs'!$H$32),"")</f>
        <v>6.3768270755398833</v>
      </c>
      <c r="P61" s="106">
        <v>200</v>
      </c>
      <c r="Q61" s="108">
        <f t="shared" si="21"/>
        <v>1.2753654151079765</v>
      </c>
      <c r="R61" s="107">
        <f t="shared" si="22"/>
        <v>16.744311331464374</v>
      </c>
      <c r="S61" s="107" cm="1">
        <f t="array" ref="S61">_xlfn.IFS(E61="Heavy", 'vehicle E calcs'!$T$21,E61="Cars/vans",'vehicle E calcs'!$S$21)*O61</f>
        <v>23.354986057632608</v>
      </c>
      <c r="T61" s="109">
        <v>0.27</v>
      </c>
      <c r="U61" s="23">
        <f t="shared" si="23"/>
        <v>6.3058462355608045</v>
      </c>
      <c r="V61" s="23">
        <f t="shared" si="24"/>
        <v>2.6553630878338779</v>
      </c>
      <c r="W61" s="106">
        <f t="shared" si="36"/>
        <v>168</v>
      </c>
      <c r="X61" s="23">
        <f t="shared" si="25"/>
        <v>3.9236376576822782</v>
      </c>
      <c r="Y61" s="96">
        <f t="shared" si="37"/>
        <v>0</v>
      </c>
      <c r="Z61" s="23">
        <f t="shared" si="27"/>
        <v>0</v>
      </c>
      <c r="AA61" s="107">
        <f t="shared" si="28"/>
        <v>12.820673673782096</v>
      </c>
      <c r="AB61" s="23">
        <f t="shared" si="29"/>
        <v>2.0331408656116561</v>
      </c>
      <c r="AD61" s="107">
        <f t="shared" si="30"/>
        <v>2.4531118169551562</v>
      </c>
      <c r="AE61" s="23">
        <f t="shared" si="31"/>
        <v>0</v>
      </c>
      <c r="AF61" s="108">
        <f t="shared" si="32"/>
        <v>0.20225127087872183</v>
      </c>
      <c r="AH61" s="104">
        <f t="shared" si="34"/>
        <v>0.80872439139315289</v>
      </c>
      <c r="AJ61" s="104">
        <f t="shared" si="35"/>
        <v>31.794421787342234</v>
      </c>
      <c r="AK61" s="23">
        <f t="shared" si="33"/>
        <v>2.0331408656116561</v>
      </c>
    </row>
    <row r="62" spans="1:37" x14ac:dyDescent="0.35">
      <c r="A62" s="96">
        <v>4</v>
      </c>
      <c r="B62" s="118" t="s">
        <v>144</v>
      </c>
      <c r="C62" s="23" t="s">
        <v>139</v>
      </c>
      <c r="D62" s="23" t="s">
        <v>171</v>
      </c>
      <c r="E62" s="23" t="s">
        <v>188</v>
      </c>
      <c r="F62" s="23" t="s">
        <v>83</v>
      </c>
      <c r="G62" s="167">
        <f>'time-factors'!F$36*'time-factors'!B54</f>
        <v>0.34659616773992263</v>
      </c>
      <c r="H62" s="166">
        <f>'time-factors'!N54</f>
        <v>172.79999999999998</v>
      </c>
      <c r="I62" s="96" t="s">
        <v>98</v>
      </c>
      <c r="J62" s="96">
        <f>'time-factors'!S$43</f>
        <v>10</v>
      </c>
      <c r="K62" s="170">
        <f>'time-factors'!M$43</f>
        <v>0.05</v>
      </c>
      <c r="L62" s="173">
        <f t="shared" si="19"/>
        <v>22.378390554030911</v>
      </c>
      <c r="M62" s="170">
        <v>0</v>
      </c>
      <c r="N62" s="96">
        <f t="shared" si="20"/>
        <v>0</v>
      </c>
      <c r="O62" s="167" cm="1">
        <f t="array" ref="O62">IFERROR(_xlfn.IFS(E62="Heavy", 'vehicle E calcs'!$H$33,E62="Cars/vans",'vehicle E calcs'!$H$32),"")</f>
        <v>7.1233383316924828</v>
      </c>
      <c r="P62" s="106">
        <v>200</v>
      </c>
      <c r="Q62" s="108">
        <f t="shared" si="21"/>
        <v>1.4246676663384965</v>
      </c>
      <c r="R62" s="107">
        <f t="shared" si="22"/>
        <v>23.803058220369408</v>
      </c>
      <c r="S62" s="107" cm="1">
        <f t="array" ref="S62">_xlfn.IFS(E62="Heavy", 'vehicle E calcs'!$T$21,E62="Cars/vans",'vehicle E calcs'!$S$21)*O62</f>
        <v>24.362584419881831</v>
      </c>
      <c r="T62" s="109">
        <v>0.27</v>
      </c>
      <c r="U62" s="23">
        <f t="shared" si="23"/>
        <v>6.5778977933680949</v>
      </c>
      <c r="V62" s="23">
        <f t="shared" si="24"/>
        <v>3.6186421510483031</v>
      </c>
      <c r="W62" s="106">
        <f t="shared" si="36"/>
        <v>168</v>
      </c>
      <c r="X62" s="23">
        <f t="shared" si="25"/>
        <v>4.0929141825401478</v>
      </c>
      <c r="Y62" s="96">
        <f t="shared" si="37"/>
        <v>0</v>
      </c>
      <c r="Z62" s="23">
        <f t="shared" si="27"/>
        <v>0</v>
      </c>
      <c r="AA62" s="107">
        <f t="shared" si="28"/>
        <v>19.710144037829259</v>
      </c>
      <c r="AB62" s="23">
        <f t="shared" si="29"/>
        <v>2.9964199288260804</v>
      </c>
      <c r="AD62" s="107">
        <f t="shared" si="30"/>
        <v>3.4020581129419551</v>
      </c>
      <c r="AE62" s="23">
        <f t="shared" si="31"/>
        <v>0</v>
      </c>
      <c r="AF62" s="108">
        <f t="shared" si="32"/>
        <v>0.2165840381063478</v>
      </c>
      <c r="AH62" s="104">
        <f t="shared" si="34"/>
        <v>0.34659616773992263</v>
      </c>
      <c r="AJ62" s="104">
        <f t="shared" si="35"/>
        <v>32.141017955082155</v>
      </c>
      <c r="AK62" s="23">
        <f t="shared" si="33"/>
        <v>2.9964199288260804</v>
      </c>
    </row>
    <row r="63" spans="1:37" ht="29" x14ac:dyDescent="0.35">
      <c r="A63" s="96">
        <v>7</v>
      </c>
      <c r="B63" s="118" t="s">
        <v>147</v>
      </c>
      <c r="C63" s="23" t="s">
        <v>139</v>
      </c>
      <c r="D63" s="23" t="s">
        <v>171</v>
      </c>
      <c r="E63" s="23" t="s">
        <v>188</v>
      </c>
      <c r="F63" s="23" t="s">
        <v>83</v>
      </c>
      <c r="G63" s="167">
        <f>'time-factors'!F$36*'time-factors'!B57</f>
        <v>0.57766027956653776</v>
      </c>
      <c r="H63" s="166">
        <f>'time-factors'!N57</f>
        <v>172.79999999999998</v>
      </c>
      <c r="I63" s="96" t="s">
        <v>98</v>
      </c>
      <c r="J63" s="96">
        <f>'time-factors'!S$43</f>
        <v>10</v>
      </c>
      <c r="K63" s="170">
        <f>'time-factors'!M$43</f>
        <v>0.05</v>
      </c>
      <c r="L63" s="173">
        <f t="shared" si="19"/>
        <v>22.378390554030911</v>
      </c>
      <c r="M63" s="170">
        <v>0</v>
      </c>
      <c r="N63" s="96">
        <f t="shared" si="20"/>
        <v>0</v>
      </c>
      <c r="O63" s="167" cm="1">
        <f t="array" ref="O63">IFERROR(_xlfn.IFS(E63="Heavy", 'vehicle E calcs'!$H$33,E63="Cars/vans",'vehicle E calcs'!$H$32),"")</f>
        <v>7.1233383316924828</v>
      </c>
      <c r="P63" s="106">
        <v>200</v>
      </c>
      <c r="Q63" s="108">
        <f t="shared" si="21"/>
        <v>1.4246676663384965</v>
      </c>
      <c r="R63" s="107">
        <f t="shared" si="22"/>
        <v>23.803058220369408</v>
      </c>
      <c r="S63" s="107" cm="1">
        <f t="array" ref="S63">_xlfn.IFS(E63="Heavy", 'vehicle E calcs'!$T$21,E63="Cars/vans",'vehicle E calcs'!$S$21)*O63</f>
        <v>24.362584419881831</v>
      </c>
      <c r="T63" s="109">
        <v>0.27</v>
      </c>
      <c r="U63" s="23">
        <f t="shared" si="23"/>
        <v>6.5778977933680949</v>
      </c>
      <c r="V63" s="23">
        <f t="shared" si="24"/>
        <v>3.6186421510483031</v>
      </c>
      <c r="W63" s="106">
        <f t="shared" si="36"/>
        <v>168</v>
      </c>
      <c r="X63" s="23">
        <f t="shared" si="25"/>
        <v>4.0929141825401478</v>
      </c>
      <c r="Y63" s="96">
        <f t="shared" si="37"/>
        <v>0</v>
      </c>
      <c r="Z63" s="23">
        <f t="shared" si="27"/>
        <v>0</v>
      </c>
      <c r="AA63" s="107">
        <f t="shared" si="28"/>
        <v>19.710144037829259</v>
      </c>
      <c r="AB63" s="23">
        <f t="shared" si="29"/>
        <v>2.9964199288260804</v>
      </c>
      <c r="AD63" s="107">
        <f t="shared" si="30"/>
        <v>3.4020581129419551</v>
      </c>
      <c r="AE63" s="23">
        <f t="shared" si="31"/>
        <v>0</v>
      </c>
      <c r="AF63" s="108">
        <f t="shared" si="32"/>
        <v>0.2165840381063478</v>
      </c>
      <c r="AH63" s="104">
        <f t="shared" si="34"/>
        <v>0.57766027956653776</v>
      </c>
      <c r="AJ63" s="104">
        <f t="shared" si="35"/>
        <v>32.718678234648692</v>
      </c>
      <c r="AK63" s="23">
        <f t="shared" si="33"/>
        <v>2.9964199288260804</v>
      </c>
    </row>
    <row r="64" spans="1:37" x14ac:dyDescent="0.35">
      <c r="A64" s="96">
        <v>9</v>
      </c>
      <c r="B64" s="118" t="s">
        <v>149</v>
      </c>
      <c r="C64" s="23" t="s">
        <v>139</v>
      </c>
      <c r="D64" s="23" t="s">
        <v>171</v>
      </c>
      <c r="E64" s="23" t="s">
        <v>188</v>
      </c>
      <c r="F64" s="23" t="s">
        <v>83</v>
      </c>
      <c r="G64" s="167">
        <f>'time-factors'!F$36*'time-factors'!B59</f>
        <v>0.2310641118266151</v>
      </c>
      <c r="H64" s="166">
        <f>'time-factors'!N59</f>
        <v>172.79999999999998</v>
      </c>
      <c r="I64" s="96" t="s">
        <v>98</v>
      </c>
      <c r="J64" s="96">
        <f>'time-factors'!S$43</f>
        <v>10</v>
      </c>
      <c r="K64" s="170">
        <f>'time-factors'!M$43</f>
        <v>0.05</v>
      </c>
      <c r="L64" s="173">
        <f t="shared" si="19"/>
        <v>22.378390554030911</v>
      </c>
      <c r="M64" s="170">
        <v>0</v>
      </c>
      <c r="N64" s="96">
        <f t="shared" si="20"/>
        <v>0</v>
      </c>
      <c r="O64" s="167" cm="1">
        <f t="array" ref="O64">IFERROR(_xlfn.IFS(E64="Heavy", 'vehicle E calcs'!$H$33,E64="Cars/vans",'vehicle E calcs'!$H$32),"")</f>
        <v>7.1233383316924828</v>
      </c>
      <c r="P64" s="106">
        <v>200</v>
      </c>
      <c r="Q64" s="108">
        <f t="shared" si="21"/>
        <v>1.4246676663384965</v>
      </c>
      <c r="R64" s="107">
        <f t="shared" si="22"/>
        <v>23.803058220369408</v>
      </c>
      <c r="S64" s="107" cm="1">
        <f t="array" ref="S64">_xlfn.IFS(E64="Heavy", 'vehicle E calcs'!$T$21,E64="Cars/vans",'vehicle E calcs'!$S$21)*O64</f>
        <v>24.362584419881831</v>
      </c>
      <c r="T64" s="109">
        <v>0.27</v>
      </c>
      <c r="U64" s="23">
        <f t="shared" si="23"/>
        <v>6.5778977933680949</v>
      </c>
      <c r="V64" s="23">
        <f t="shared" si="24"/>
        <v>3.6186421510483031</v>
      </c>
      <c r="W64" s="106">
        <f t="shared" si="36"/>
        <v>168</v>
      </c>
      <c r="X64" s="23">
        <f t="shared" si="25"/>
        <v>4.0929141825401478</v>
      </c>
      <c r="Y64" s="96">
        <f t="shared" si="37"/>
        <v>0</v>
      </c>
      <c r="Z64" s="23">
        <f t="shared" si="27"/>
        <v>0</v>
      </c>
      <c r="AA64" s="107">
        <f t="shared" si="28"/>
        <v>19.710144037829259</v>
      </c>
      <c r="AB64" s="23">
        <f t="shared" si="29"/>
        <v>2.9964199288260804</v>
      </c>
      <c r="AD64" s="107">
        <f t="shared" si="30"/>
        <v>3.4020581129419551</v>
      </c>
      <c r="AE64" s="23">
        <f t="shared" si="31"/>
        <v>0</v>
      </c>
      <c r="AF64" s="108">
        <f t="shared" si="32"/>
        <v>0.2165840381063478</v>
      </c>
      <c r="AH64" s="104">
        <f t="shared" si="34"/>
        <v>0.2310641118266151</v>
      </c>
      <c r="AJ64" s="104">
        <f t="shared" si="35"/>
        <v>32.949742346475304</v>
      </c>
      <c r="AK64" s="23">
        <f t="shared" si="33"/>
        <v>2.9964199288260804</v>
      </c>
    </row>
    <row r="65" spans="1:37" x14ac:dyDescent="0.35">
      <c r="A65" s="96">
        <v>15</v>
      </c>
      <c r="B65" s="118" t="s">
        <v>153</v>
      </c>
      <c r="C65" s="23" t="s">
        <v>139</v>
      </c>
      <c r="D65" s="23" t="s">
        <v>171</v>
      </c>
      <c r="E65" s="23" t="s">
        <v>188</v>
      </c>
      <c r="F65" s="23" t="s">
        <v>83</v>
      </c>
      <c r="G65" s="167">
        <f>'time-factors'!F$36*'time-factors'!B65</f>
        <v>0.36970257892258418</v>
      </c>
      <c r="H65" s="166">
        <f>'time-factors'!N65</f>
        <v>172.79999999999998</v>
      </c>
      <c r="I65" s="96" t="s">
        <v>98</v>
      </c>
      <c r="J65" s="96">
        <f>'time-factors'!S$43</f>
        <v>10</v>
      </c>
      <c r="K65" s="170">
        <f>'time-factors'!M$43</f>
        <v>0.05</v>
      </c>
      <c r="L65" s="173">
        <f t="shared" si="19"/>
        <v>22.378390554030911</v>
      </c>
      <c r="M65" s="170">
        <v>0</v>
      </c>
      <c r="N65" s="96">
        <f t="shared" si="20"/>
        <v>0</v>
      </c>
      <c r="O65" s="167" cm="1">
        <f t="array" ref="O65">IFERROR(_xlfn.IFS(E65="Heavy", 'vehicle E calcs'!$H$33,E65="Cars/vans",'vehicle E calcs'!$H$32),"")</f>
        <v>7.1233383316924828</v>
      </c>
      <c r="P65" s="106">
        <v>200</v>
      </c>
      <c r="Q65" s="108">
        <f t="shared" si="21"/>
        <v>1.4246676663384965</v>
      </c>
      <c r="R65" s="107">
        <f t="shared" si="22"/>
        <v>23.803058220369408</v>
      </c>
      <c r="S65" s="107" cm="1">
        <f t="array" ref="S65">_xlfn.IFS(E65="Heavy", 'vehicle E calcs'!$T$21,E65="Cars/vans",'vehicle E calcs'!$S$21)*O65</f>
        <v>24.362584419881831</v>
      </c>
      <c r="T65" s="109">
        <v>0.27</v>
      </c>
      <c r="U65" s="23">
        <f t="shared" si="23"/>
        <v>6.5778977933680949</v>
      </c>
      <c r="V65" s="23">
        <f t="shared" si="24"/>
        <v>3.6186421510483031</v>
      </c>
      <c r="W65" s="106">
        <f t="shared" si="36"/>
        <v>168</v>
      </c>
      <c r="X65" s="23">
        <f t="shared" si="25"/>
        <v>4.0929141825401478</v>
      </c>
      <c r="Y65" s="96">
        <f t="shared" si="37"/>
        <v>0</v>
      </c>
      <c r="Z65" s="23">
        <f t="shared" si="27"/>
        <v>0</v>
      </c>
      <c r="AA65" s="107">
        <f t="shared" si="28"/>
        <v>19.710144037829259</v>
      </c>
      <c r="AB65" s="23">
        <f t="shared" si="29"/>
        <v>2.9964199288260804</v>
      </c>
      <c r="AD65" s="107">
        <f t="shared" si="30"/>
        <v>3.4020581129419551</v>
      </c>
      <c r="AE65" s="23">
        <f t="shared" si="31"/>
        <v>0</v>
      </c>
      <c r="AF65" s="108">
        <f t="shared" si="32"/>
        <v>0.2165840381063478</v>
      </c>
      <c r="AH65" s="104">
        <f t="shared" si="34"/>
        <v>0.36970257892258418</v>
      </c>
      <c r="AJ65" s="104">
        <f t="shared" si="35"/>
        <v>33.319444925397889</v>
      </c>
      <c r="AK65" s="23">
        <f t="shared" si="33"/>
        <v>2.9964199288260804</v>
      </c>
    </row>
    <row r="66" spans="1:37" x14ac:dyDescent="0.35">
      <c r="A66" s="96">
        <v>3</v>
      </c>
      <c r="B66" s="118" t="s">
        <v>143</v>
      </c>
      <c r="C66" s="23" t="s">
        <v>139</v>
      </c>
      <c r="D66" s="23" t="s">
        <v>171</v>
      </c>
      <c r="E66" s="23" t="s">
        <v>188</v>
      </c>
      <c r="F66" s="23" t="s">
        <v>83</v>
      </c>
      <c r="G66" s="167">
        <f>'time-factors'!F$36*'time-factors'!B53</f>
        <v>0.50834104601855323</v>
      </c>
      <c r="H66" s="166">
        <f>'time-factors'!N53</f>
        <v>182.74799999999999</v>
      </c>
      <c r="I66" s="96" t="s">
        <v>98</v>
      </c>
      <c r="J66" s="96">
        <f>'time-factors'!S$43</f>
        <v>10</v>
      </c>
      <c r="K66" s="170">
        <f>'time-factors'!M$43</f>
        <v>0.05</v>
      </c>
      <c r="L66" s="173">
        <f t="shared" si="19"/>
        <v>23.666702065787273</v>
      </c>
      <c r="M66" s="170">
        <v>0</v>
      </c>
      <c r="N66" s="96">
        <f t="shared" si="20"/>
        <v>0</v>
      </c>
      <c r="O66" s="167" cm="1">
        <f t="array" ref="O66">IFERROR(_xlfn.IFS(E66="Heavy", 'vehicle E calcs'!$H$33,E66="Cars/vans",'vehicle E calcs'!$H$32),"")</f>
        <v>7.1233383316924828</v>
      </c>
      <c r="P66" s="106">
        <v>200</v>
      </c>
      <c r="Q66" s="108">
        <f t="shared" si="21"/>
        <v>1.4246676663384965</v>
      </c>
      <c r="R66" s="107">
        <f t="shared" si="22"/>
        <v>25.09136973212577</v>
      </c>
      <c r="S66" s="107" cm="1">
        <f t="array" ref="S66">_xlfn.IFS(E66="Heavy", 'vehicle E calcs'!$T$21,E66="Cars/vans",'vehicle E calcs'!$S$21)*O66</f>
        <v>24.362584419881831</v>
      </c>
      <c r="T66" s="109">
        <v>0.27</v>
      </c>
      <c r="U66" s="23">
        <f t="shared" si="23"/>
        <v>6.5778977933680949</v>
      </c>
      <c r="V66" s="23">
        <f t="shared" si="24"/>
        <v>3.8144967465780861</v>
      </c>
      <c r="W66" s="106">
        <f t="shared" si="36"/>
        <v>168</v>
      </c>
      <c r="X66" s="23">
        <f t="shared" si="25"/>
        <v>4.0929141825401478</v>
      </c>
      <c r="Y66" s="96">
        <f t="shared" si="37"/>
        <v>0</v>
      </c>
      <c r="Z66" s="23">
        <f t="shared" si="27"/>
        <v>0</v>
      </c>
      <c r="AA66" s="107">
        <f t="shared" si="28"/>
        <v>20.998455549585621</v>
      </c>
      <c r="AB66" s="23">
        <f t="shared" si="29"/>
        <v>3.1922745243558639</v>
      </c>
      <c r="AD66" s="107">
        <f t="shared" si="30"/>
        <v>3.5979127084717382</v>
      </c>
      <c r="AE66" s="23">
        <f t="shared" si="31"/>
        <v>0</v>
      </c>
      <c r="AF66" s="108">
        <f t="shared" si="32"/>
        <v>0.2165840381063478</v>
      </c>
      <c r="AH66" s="104">
        <f t="shared" si="34"/>
        <v>0.50834104601855323</v>
      </c>
      <c r="AJ66" s="104">
        <f t="shared" si="35"/>
        <v>33.827785971416439</v>
      </c>
      <c r="AK66" s="23">
        <f t="shared" si="33"/>
        <v>3.1922745243558639</v>
      </c>
    </row>
    <row r="67" spans="1:37" x14ac:dyDescent="0.35">
      <c r="A67" s="96">
        <v>2</v>
      </c>
      <c r="B67" s="118" t="s">
        <v>142</v>
      </c>
      <c r="C67" s="23" t="s">
        <v>139</v>
      </c>
      <c r="D67" s="23" t="s">
        <v>171</v>
      </c>
      <c r="E67" s="23" t="s">
        <v>128</v>
      </c>
      <c r="F67" s="23" t="s">
        <v>83</v>
      </c>
      <c r="G67" s="167">
        <f>'time-factors'!F$36*'time-factors'!B52</f>
        <v>0.69319233547984527</v>
      </c>
      <c r="H67" s="166">
        <f>'time-factors'!N52</f>
        <v>182.74799999999999</v>
      </c>
      <c r="I67" s="96" t="s">
        <v>98</v>
      </c>
      <c r="J67" s="96">
        <f>'time-factors'!S$43</f>
        <v>10</v>
      </c>
      <c r="K67" s="170">
        <f>'time-factors'!M$43</f>
        <v>0.05</v>
      </c>
      <c r="L67" s="173">
        <f t="shared" si="19"/>
        <v>23.666702065787273</v>
      </c>
      <c r="M67" s="170">
        <v>0</v>
      </c>
      <c r="N67" s="96">
        <f t="shared" si="20"/>
        <v>0</v>
      </c>
      <c r="O67" s="167" cm="1">
        <f t="array" ref="O67">IFERROR(_xlfn.IFS(E67="Heavy", 'vehicle E calcs'!$H$33,E67="Cars/vans",'vehicle E calcs'!$H$32),"")</f>
        <v>6.3768270755398833</v>
      </c>
      <c r="P67" s="106">
        <v>200</v>
      </c>
      <c r="Q67" s="108">
        <f t="shared" si="21"/>
        <v>1.2753654151079765</v>
      </c>
      <c r="R67" s="107">
        <f t="shared" si="22"/>
        <v>24.94206748089525</v>
      </c>
      <c r="S67" s="107" cm="1">
        <f t="array" ref="S67">_xlfn.IFS(E67="Heavy", 'vehicle E calcs'!$T$21,E67="Cars/vans",'vehicle E calcs'!$S$21)*O67</f>
        <v>23.354986057632608</v>
      </c>
      <c r="T67" s="109">
        <v>0.27</v>
      </c>
      <c r="U67" s="23">
        <f t="shared" si="23"/>
        <v>6.3058462355608045</v>
      </c>
      <c r="V67" s="23">
        <f t="shared" si="24"/>
        <v>3.955387833632618</v>
      </c>
      <c r="W67" s="106">
        <f t="shared" si="36"/>
        <v>168</v>
      </c>
      <c r="X67" s="23">
        <f t="shared" si="25"/>
        <v>3.9236376576822782</v>
      </c>
      <c r="Y67" s="96">
        <f t="shared" si="37"/>
        <v>0</v>
      </c>
      <c r="Z67" s="23">
        <f t="shared" si="27"/>
        <v>0</v>
      </c>
      <c r="AA67" s="107">
        <f t="shared" si="28"/>
        <v>21.018429823212973</v>
      </c>
      <c r="AB67" s="23">
        <f t="shared" si="29"/>
        <v>3.3331656114103958</v>
      </c>
      <c r="AD67" s="107">
        <f t="shared" si="30"/>
        <v>3.7531365627538964</v>
      </c>
      <c r="AE67" s="23">
        <f t="shared" si="31"/>
        <v>0</v>
      </c>
      <c r="AF67" s="108">
        <f t="shared" si="32"/>
        <v>0.20225127087872183</v>
      </c>
      <c r="AH67" s="104">
        <f t="shared" si="34"/>
        <v>0.69319233547984527</v>
      </c>
      <c r="AJ67" s="104">
        <f t="shared" si="35"/>
        <v>34.520978306896282</v>
      </c>
      <c r="AK67" s="23">
        <f t="shared" si="33"/>
        <v>3.3331656114103958</v>
      </c>
    </row>
    <row r="68" spans="1:37" x14ac:dyDescent="0.35">
      <c r="A68" s="96">
        <v>17</v>
      </c>
      <c r="B68" s="118" t="s">
        <v>143</v>
      </c>
      <c r="C68" s="23" t="s">
        <v>156</v>
      </c>
      <c r="D68" s="23" t="s">
        <v>171</v>
      </c>
      <c r="E68" s="23" t="s">
        <v>188</v>
      </c>
      <c r="F68" s="23" t="s">
        <v>83</v>
      </c>
      <c r="G68" s="167">
        <f>'time-factors'!F$36*'time-factors'!B67</f>
        <v>0.4621282236532302</v>
      </c>
      <c r="H68" s="166">
        <f>'time-factors'!N67</f>
        <v>184.79999999999998</v>
      </c>
      <c r="I68" s="96" t="s">
        <v>98</v>
      </c>
      <c r="J68" s="96">
        <f>'time-factors'!S$44</f>
        <v>10</v>
      </c>
      <c r="K68" s="170">
        <f>'time-factors'!M$44</f>
        <v>0.05</v>
      </c>
      <c r="L68" s="173">
        <f t="shared" si="19"/>
        <v>23.932445453616388</v>
      </c>
      <c r="M68" s="170">
        <v>0</v>
      </c>
      <c r="N68" s="96">
        <f t="shared" si="20"/>
        <v>0</v>
      </c>
      <c r="O68" s="167" cm="1">
        <f t="array" ref="O68">IFERROR(_xlfn.IFS(E68="Heavy", 'vehicle E calcs'!$H$33,E68="Cars/vans",'vehicle E calcs'!$H$32),"")</f>
        <v>7.1233383316924828</v>
      </c>
      <c r="P68" s="106">
        <v>300</v>
      </c>
      <c r="Q68" s="108">
        <f t="shared" si="21"/>
        <v>2.1370014995077451</v>
      </c>
      <c r="R68" s="107">
        <f t="shared" si="22"/>
        <v>26.069446953124135</v>
      </c>
      <c r="S68" s="107" cm="1">
        <f t="array" ref="S68">_xlfn.IFS(E68="Heavy", 'vehicle E calcs'!$T$21,E68="Cars/vans",'vehicle E calcs'!$S$21)*O68</f>
        <v>24.362584419881831</v>
      </c>
      <c r="T68" s="109">
        <v>0.27</v>
      </c>
      <c r="U68" s="23">
        <f t="shared" si="23"/>
        <v>6.5778977933680949</v>
      </c>
      <c r="V68" s="23">
        <f t="shared" si="24"/>
        <v>3.9631882057224459</v>
      </c>
      <c r="W68" s="106">
        <f t="shared" si="36"/>
        <v>168</v>
      </c>
      <c r="X68" s="23">
        <f t="shared" si="25"/>
        <v>4.0929141825401478</v>
      </c>
      <c r="Y68" s="96">
        <f t="shared" si="37"/>
        <v>0</v>
      </c>
      <c r="Z68" s="23">
        <f t="shared" si="27"/>
        <v>0</v>
      </c>
      <c r="AA68" s="107">
        <f t="shared" si="28"/>
        <v>21.976532770583987</v>
      </c>
      <c r="AB68" s="23">
        <f t="shared" si="29"/>
        <v>3.3409659835002232</v>
      </c>
      <c r="AD68" s="107">
        <f t="shared" si="30"/>
        <v>3.6383121485629237</v>
      </c>
      <c r="AE68" s="23">
        <f t="shared" si="31"/>
        <v>0</v>
      </c>
      <c r="AF68" s="108">
        <f t="shared" si="32"/>
        <v>0.32487605715952173</v>
      </c>
      <c r="AH68" s="104">
        <f t="shared" si="34"/>
        <v>0.4621282236532302</v>
      </c>
      <c r="AJ68" s="104">
        <f t="shared" si="35"/>
        <v>34.983106530549513</v>
      </c>
      <c r="AK68" s="23">
        <f t="shared" si="33"/>
        <v>3.3409659835002232</v>
      </c>
    </row>
    <row r="69" spans="1:37" x14ac:dyDescent="0.35">
      <c r="A69" s="96">
        <v>18</v>
      </c>
      <c r="B69" s="119" t="s">
        <v>148</v>
      </c>
      <c r="C69" s="23" t="s">
        <v>156</v>
      </c>
      <c r="D69" s="23" t="s">
        <v>171</v>
      </c>
      <c r="E69" s="23" t="s">
        <v>188</v>
      </c>
      <c r="F69" s="23" t="s">
        <v>83</v>
      </c>
      <c r="G69" s="167">
        <f>'time-factors'!F$36*'time-factors'!B68</f>
        <v>0.4621282236532302</v>
      </c>
      <c r="H69" s="166">
        <f>'time-factors'!N68</f>
        <v>184.79999999999998</v>
      </c>
      <c r="I69" s="96" t="s">
        <v>98</v>
      </c>
      <c r="J69" s="96">
        <f>'time-factors'!S$44</f>
        <v>10</v>
      </c>
      <c r="K69" s="170">
        <f>'time-factors'!M$44</f>
        <v>0.05</v>
      </c>
      <c r="L69" s="173">
        <f t="shared" si="19"/>
        <v>23.932445453616388</v>
      </c>
      <c r="M69" s="170">
        <v>0</v>
      </c>
      <c r="N69" s="96">
        <f t="shared" si="20"/>
        <v>0</v>
      </c>
      <c r="O69" s="167" cm="1">
        <f t="array" ref="O69">IFERROR(_xlfn.IFS(E69="Heavy", 'vehicle E calcs'!$H$33,E69="Cars/vans",'vehicle E calcs'!$H$32),"")</f>
        <v>7.1233383316924828</v>
      </c>
      <c r="P69" s="106">
        <v>300</v>
      </c>
      <c r="Q69" s="108">
        <f t="shared" si="21"/>
        <v>2.1370014995077451</v>
      </c>
      <c r="R69" s="107">
        <f t="shared" si="22"/>
        <v>26.069446953124135</v>
      </c>
      <c r="S69" s="107" cm="1">
        <f t="array" ref="S69">_xlfn.IFS(E69="Heavy", 'vehicle E calcs'!$T$21,E69="Cars/vans",'vehicle E calcs'!$S$21)*O69</f>
        <v>24.362584419881831</v>
      </c>
      <c r="T69" s="109">
        <v>0.27</v>
      </c>
      <c r="U69" s="23">
        <f t="shared" si="23"/>
        <v>6.5778977933680949</v>
      </c>
      <c r="V69" s="23">
        <f t="shared" si="24"/>
        <v>3.9631882057224459</v>
      </c>
      <c r="W69" s="106">
        <f t="shared" si="36"/>
        <v>168</v>
      </c>
      <c r="X69" s="23">
        <f t="shared" si="25"/>
        <v>4.0929141825401478</v>
      </c>
      <c r="Y69" s="96">
        <f t="shared" si="37"/>
        <v>0</v>
      </c>
      <c r="Z69" s="23">
        <f t="shared" si="27"/>
        <v>0</v>
      </c>
      <c r="AA69" s="107">
        <f t="shared" si="28"/>
        <v>21.976532770583987</v>
      </c>
      <c r="AB69" s="23">
        <f t="shared" si="29"/>
        <v>3.3409659835002232</v>
      </c>
      <c r="AD69" s="107">
        <f t="shared" si="30"/>
        <v>3.6383121485629237</v>
      </c>
      <c r="AE69" s="23">
        <f t="shared" si="31"/>
        <v>0</v>
      </c>
      <c r="AF69" s="108">
        <f t="shared" si="32"/>
        <v>0.32487605715952173</v>
      </c>
      <c r="AH69" s="104">
        <f t="shared" si="34"/>
        <v>0.4621282236532302</v>
      </c>
      <c r="AJ69" s="104">
        <f t="shared" si="35"/>
        <v>35.445234754202744</v>
      </c>
      <c r="AK69" s="23">
        <f t="shared" si="33"/>
        <v>3.3409659835002232</v>
      </c>
    </row>
    <row r="70" spans="1:37" x14ac:dyDescent="0.35">
      <c r="A70" s="96">
        <v>5</v>
      </c>
      <c r="B70" s="118" t="s">
        <v>145</v>
      </c>
      <c r="C70" s="23" t="s">
        <v>139</v>
      </c>
      <c r="D70" s="23" t="s">
        <v>171</v>
      </c>
      <c r="E70" s="23" t="s">
        <v>188</v>
      </c>
      <c r="F70" s="23" t="s">
        <v>83</v>
      </c>
      <c r="G70" s="167">
        <f>'time-factors'!F$36*'time-factors'!B55</f>
        <v>0.48523463483589174</v>
      </c>
      <c r="H70" s="166">
        <f>'time-factors'!N55</f>
        <v>295.2</v>
      </c>
      <c r="I70" s="96" t="s">
        <v>98</v>
      </c>
      <c r="J70" s="96">
        <f>'time-factors'!S$43</f>
        <v>10</v>
      </c>
      <c r="K70" s="170">
        <f>'time-factors'!M$43</f>
        <v>0.05</v>
      </c>
      <c r="L70" s="173">
        <f t="shared" si="19"/>
        <v>38.229750529802807</v>
      </c>
      <c r="M70" s="170">
        <v>0</v>
      </c>
      <c r="N70" s="96">
        <f t="shared" si="20"/>
        <v>0</v>
      </c>
      <c r="O70" s="167" cm="1">
        <f t="array" ref="O70">IFERROR(_xlfn.IFS(E70="Heavy", 'vehicle E calcs'!$H$33,E70="Cars/vans",'vehicle E calcs'!$H$32),"")</f>
        <v>7.1233383316924828</v>
      </c>
      <c r="P70" s="106">
        <v>200</v>
      </c>
      <c r="Q70" s="108">
        <f t="shared" si="21"/>
        <v>1.4246676663384965</v>
      </c>
      <c r="R70" s="107">
        <f t="shared" si="22"/>
        <v>39.6544181961413</v>
      </c>
      <c r="S70" s="107" cm="1">
        <f t="array" ref="S70">_xlfn.IFS(E70="Heavy", 'vehicle E calcs'!$T$21,E70="Cars/vans",'vehicle E calcs'!$S$21)*O70</f>
        <v>24.362584419881831</v>
      </c>
      <c r="T70" s="109">
        <v>0.27</v>
      </c>
      <c r="U70" s="23">
        <f t="shared" si="23"/>
        <v>6.5778977933680949</v>
      </c>
      <c r="V70" s="23">
        <f t="shared" si="24"/>
        <v>6.0284333143821875</v>
      </c>
      <c r="W70" s="106">
        <f t="shared" si="36"/>
        <v>168</v>
      </c>
      <c r="X70" s="23">
        <f t="shared" si="25"/>
        <v>4.0929141825401478</v>
      </c>
      <c r="Y70" s="96">
        <f t="shared" si="37"/>
        <v>0</v>
      </c>
      <c r="Z70" s="23">
        <f t="shared" si="27"/>
        <v>0</v>
      </c>
      <c r="AA70" s="107">
        <f t="shared" si="28"/>
        <v>35.561504013601152</v>
      </c>
      <c r="AB70" s="23">
        <f t="shared" si="29"/>
        <v>5.4062110921599649</v>
      </c>
      <c r="AD70" s="107">
        <f t="shared" si="30"/>
        <v>5.81184927627584</v>
      </c>
      <c r="AE70" s="23">
        <f t="shared" si="31"/>
        <v>0</v>
      </c>
      <c r="AF70" s="108">
        <f t="shared" si="32"/>
        <v>0.2165840381063478</v>
      </c>
      <c r="AH70" s="104">
        <f t="shared" si="34"/>
        <v>0.48523463483589174</v>
      </c>
      <c r="AJ70" s="104">
        <f t="shared" si="35"/>
        <v>35.930469389038635</v>
      </c>
      <c r="AK70" s="23">
        <f t="shared" si="33"/>
        <v>5.4062110921599649</v>
      </c>
    </row>
    <row r="71" spans="1:37" x14ac:dyDescent="0.35">
      <c r="A71" s="96">
        <v>8</v>
      </c>
      <c r="B71" s="119" t="s">
        <v>148</v>
      </c>
      <c r="C71" s="23" t="s">
        <v>139</v>
      </c>
      <c r="D71" s="23" t="s">
        <v>171</v>
      </c>
      <c r="E71" s="23" t="s">
        <v>188</v>
      </c>
      <c r="F71" s="23" t="s">
        <v>83</v>
      </c>
      <c r="G71" s="167">
        <f>'time-factors'!F$36*'time-factors'!B58</f>
        <v>0.34659616773992263</v>
      </c>
      <c r="H71" s="166">
        <f>'time-factors'!N58</f>
        <v>295.2</v>
      </c>
      <c r="I71" s="96" t="s">
        <v>98</v>
      </c>
      <c r="J71" s="96">
        <f>'time-factors'!S$43</f>
        <v>10</v>
      </c>
      <c r="K71" s="170">
        <f>'time-factors'!M$43</f>
        <v>0.05</v>
      </c>
      <c r="L71" s="173">
        <f t="shared" si="19"/>
        <v>38.229750529802807</v>
      </c>
      <c r="M71" s="170">
        <v>0</v>
      </c>
      <c r="N71" s="96">
        <f t="shared" si="20"/>
        <v>0</v>
      </c>
      <c r="O71" s="167" cm="1">
        <f t="array" ref="O71">IFERROR(_xlfn.IFS(E71="Heavy", 'vehicle E calcs'!$H$33,E71="Cars/vans",'vehicle E calcs'!$H$32),"")</f>
        <v>7.1233383316924828</v>
      </c>
      <c r="P71" s="106">
        <v>200</v>
      </c>
      <c r="Q71" s="108">
        <f t="shared" si="21"/>
        <v>1.4246676663384965</v>
      </c>
      <c r="R71" s="107">
        <f t="shared" si="22"/>
        <v>39.6544181961413</v>
      </c>
      <c r="S71" s="107" cm="1">
        <f t="array" ref="S71">_xlfn.IFS(E71="Heavy", 'vehicle E calcs'!$T$21,E71="Cars/vans",'vehicle E calcs'!$S$21)*O71</f>
        <v>24.362584419881831</v>
      </c>
      <c r="T71" s="109">
        <v>0.27</v>
      </c>
      <c r="U71" s="23">
        <f t="shared" si="23"/>
        <v>6.5778977933680949</v>
      </c>
      <c r="V71" s="23">
        <f t="shared" si="24"/>
        <v>6.0284333143821875</v>
      </c>
      <c r="W71" s="106">
        <f t="shared" si="36"/>
        <v>168</v>
      </c>
      <c r="X71" s="23">
        <f t="shared" si="25"/>
        <v>4.0929141825401478</v>
      </c>
      <c r="Y71" s="96">
        <f t="shared" si="37"/>
        <v>0</v>
      </c>
      <c r="Z71" s="23">
        <f t="shared" si="27"/>
        <v>0</v>
      </c>
      <c r="AA71" s="107">
        <f t="shared" si="28"/>
        <v>35.561504013601152</v>
      </c>
      <c r="AB71" s="23">
        <f t="shared" si="29"/>
        <v>5.4062110921599649</v>
      </c>
      <c r="AD71" s="107">
        <f t="shared" si="30"/>
        <v>5.81184927627584</v>
      </c>
      <c r="AE71" s="23">
        <f t="shared" si="31"/>
        <v>0</v>
      </c>
      <c r="AF71" s="108">
        <f t="shared" si="32"/>
        <v>0.2165840381063478</v>
      </c>
      <c r="AH71" s="104">
        <f t="shared" si="34"/>
        <v>0.34659616773992263</v>
      </c>
      <c r="AJ71" s="104">
        <f t="shared" si="35"/>
        <v>36.27706555677856</v>
      </c>
      <c r="AK71" s="23">
        <f t="shared" si="33"/>
        <v>5.4062110921599649</v>
      </c>
    </row>
    <row r="72" spans="1:37" x14ac:dyDescent="0.35">
      <c r="A72" s="96">
        <v>10</v>
      </c>
      <c r="B72" s="118" t="s">
        <v>58</v>
      </c>
      <c r="C72" s="23" t="s">
        <v>139</v>
      </c>
      <c r="D72" s="23" t="s">
        <v>171</v>
      </c>
      <c r="E72" s="23" t="s">
        <v>188</v>
      </c>
      <c r="F72" s="23" t="s">
        <v>83</v>
      </c>
      <c r="G72" s="167">
        <f>'time-factors'!F$36*'time-factors'!B60</f>
        <v>0.4621282236532302</v>
      </c>
      <c r="H72" s="166">
        <f>'time-factors'!N60</f>
        <v>465.59999999999997</v>
      </c>
      <c r="I72" s="96" t="s">
        <v>98</v>
      </c>
      <c r="J72" s="96">
        <f>'time-factors'!S$43</f>
        <v>10</v>
      </c>
      <c r="K72" s="170">
        <f>'time-factors'!M$43</f>
        <v>0.05</v>
      </c>
      <c r="L72" s="173">
        <f t="shared" si="19"/>
        <v>60.297330103916615</v>
      </c>
      <c r="M72" s="170">
        <v>0</v>
      </c>
      <c r="N72" s="96">
        <f t="shared" si="20"/>
        <v>0</v>
      </c>
      <c r="O72" s="167" cm="1">
        <f t="array" ref="O72">IFERROR(_xlfn.IFS(E72="Heavy", 'vehicle E calcs'!$H$33,E72="Cars/vans",'vehicle E calcs'!$H$32),"")</f>
        <v>7.1233383316924828</v>
      </c>
      <c r="P72" s="106">
        <v>200</v>
      </c>
      <c r="Q72" s="108">
        <f t="shared" si="21"/>
        <v>1.4246676663384965</v>
      </c>
      <c r="R72" s="107">
        <f t="shared" si="22"/>
        <v>61.721997770255108</v>
      </c>
      <c r="S72" s="107" cm="1">
        <f t="array" ref="S72">_xlfn.IFS(E72="Heavy", 'vehicle E calcs'!$T$21,E72="Cars/vans",'vehicle E calcs'!$S$21)*O72</f>
        <v>24.362584419881831</v>
      </c>
      <c r="T72" s="109">
        <v>0.27</v>
      </c>
      <c r="U72" s="23">
        <f t="shared" si="23"/>
        <v>6.5778977933680949</v>
      </c>
      <c r="V72" s="23">
        <f t="shared" si="24"/>
        <v>9.3832406201999472</v>
      </c>
      <c r="W72" s="106">
        <f t="shared" si="36"/>
        <v>168</v>
      </c>
      <c r="X72" s="23">
        <f t="shared" si="25"/>
        <v>4.0929141825401478</v>
      </c>
      <c r="Y72" s="96">
        <f t="shared" si="37"/>
        <v>0</v>
      </c>
      <c r="Z72" s="23">
        <f t="shared" si="27"/>
        <v>0</v>
      </c>
      <c r="AA72" s="107">
        <f t="shared" si="28"/>
        <v>57.629083587714959</v>
      </c>
      <c r="AB72" s="23">
        <f t="shared" si="29"/>
        <v>8.7610183979777254</v>
      </c>
      <c r="AD72" s="107">
        <f t="shared" si="30"/>
        <v>9.1666565820935997</v>
      </c>
      <c r="AE72" s="23">
        <f t="shared" si="31"/>
        <v>0</v>
      </c>
      <c r="AF72" s="108">
        <f t="shared" si="32"/>
        <v>0.2165840381063478</v>
      </c>
      <c r="AH72" s="104">
        <f t="shared" si="34"/>
        <v>0.4621282236532302</v>
      </c>
      <c r="AJ72" s="104">
        <f t="shared" si="35"/>
        <v>36.739193780431791</v>
      </c>
      <c r="AK72" s="23">
        <f t="shared" si="33"/>
        <v>8.7610183979777254</v>
      </c>
    </row>
    <row r="73" spans="1:37" x14ac:dyDescent="0.35">
      <c r="A73" s="96">
        <v>14</v>
      </c>
      <c r="B73" s="118" t="s">
        <v>152</v>
      </c>
      <c r="C73" s="23" t="s">
        <v>139</v>
      </c>
      <c r="D73" s="23" t="s">
        <v>171</v>
      </c>
      <c r="E73" s="23" t="s">
        <v>188</v>
      </c>
      <c r="F73" s="23" t="s">
        <v>83</v>
      </c>
      <c r="G73" s="167">
        <f>'time-factors'!F$36*'time-factors'!B64</f>
        <v>0.30038334537459965</v>
      </c>
      <c r="H73" s="166">
        <f>'time-factors'!N64</f>
        <v>465.59999999999997</v>
      </c>
      <c r="I73" s="96" t="s">
        <v>98</v>
      </c>
      <c r="J73" s="96">
        <f>'time-factors'!S$43</f>
        <v>10</v>
      </c>
      <c r="K73" s="170">
        <f>'time-factors'!M$43</f>
        <v>0.05</v>
      </c>
      <c r="L73" s="173">
        <f t="shared" si="19"/>
        <v>60.297330103916615</v>
      </c>
      <c r="M73" s="170">
        <v>0</v>
      </c>
      <c r="N73" s="96">
        <f t="shared" si="20"/>
        <v>0</v>
      </c>
      <c r="O73" s="167" cm="1">
        <f t="array" ref="O73">IFERROR(_xlfn.IFS(E73="Heavy", 'vehicle E calcs'!$H$33,E73="Cars/vans",'vehicle E calcs'!$H$32),"")</f>
        <v>7.1233383316924828</v>
      </c>
      <c r="P73" s="106">
        <v>200</v>
      </c>
      <c r="Q73" s="108">
        <f t="shared" si="21"/>
        <v>1.4246676663384965</v>
      </c>
      <c r="R73" s="107">
        <f t="shared" si="22"/>
        <v>61.721997770255108</v>
      </c>
      <c r="S73" s="107" cm="1">
        <f t="array" ref="S73">_xlfn.IFS(E73="Heavy", 'vehicle E calcs'!$T$21,E73="Cars/vans",'vehicle E calcs'!$S$21)*O73</f>
        <v>24.362584419881831</v>
      </c>
      <c r="T73" s="109">
        <v>0.27</v>
      </c>
      <c r="U73" s="23">
        <f t="shared" si="23"/>
        <v>6.5778977933680949</v>
      </c>
      <c r="V73" s="23">
        <f t="shared" si="24"/>
        <v>9.3832406201999472</v>
      </c>
      <c r="W73" s="106">
        <f t="shared" si="36"/>
        <v>168</v>
      </c>
      <c r="X73" s="23">
        <f t="shared" si="25"/>
        <v>4.0929141825401478</v>
      </c>
      <c r="Y73" s="96">
        <f t="shared" si="37"/>
        <v>0</v>
      </c>
      <c r="Z73" s="23">
        <f t="shared" si="27"/>
        <v>0</v>
      </c>
      <c r="AA73" s="107">
        <f t="shared" si="28"/>
        <v>57.629083587714959</v>
      </c>
      <c r="AB73" s="23">
        <f t="shared" si="29"/>
        <v>8.7610183979777254</v>
      </c>
      <c r="AD73" s="107">
        <f t="shared" si="30"/>
        <v>9.1666565820935997</v>
      </c>
      <c r="AE73" s="23">
        <f t="shared" si="31"/>
        <v>0</v>
      </c>
      <c r="AF73" s="108">
        <f t="shared" si="32"/>
        <v>0.2165840381063478</v>
      </c>
      <c r="AH73" s="104">
        <f t="shared" si="34"/>
        <v>0.30038334537459965</v>
      </c>
      <c r="AJ73" s="104">
        <f t="shared" si="35"/>
        <v>37.039577125806389</v>
      </c>
      <c r="AK73" s="23">
        <f t="shared" si="33"/>
        <v>8.7610183979777254</v>
      </c>
    </row>
    <row r="74" spans="1:37" x14ac:dyDescent="0.35">
      <c r="A74" s="96"/>
      <c r="B74" s="122"/>
      <c r="C74" s="24"/>
      <c r="D74" s="24"/>
      <c r="E74" s="24"/>
      <c r="F74" s="131" t="s">
        <v>50</v>
      </c>
      <c r="G74" s="179">
        <f>SUM(G49:G73)</f>
        <v>37.039577125806389</v>
      </c>
      <c r="H74" s="96"/>
      <c r="I74" s="96"/>
      <c r="J74" s="96"/>
      <c r="K74" s="96"/>
      <c r="L74" s="96"/>
      <c r="M74" s="96"/>
      <c r="N74" s="96"/>
      <c r="O74" s="96"/>
    </row>
    <row r="75" spans="1:37" x14ac:dyDescent="0.35">
      <c r="A75" s="96"/>
      <c r="B75" s="122"/>
      <c r="C75" s="24"/>
      <c r="D75" s="24"/>
      <c r="E75" s="24"/>
      <c r="F75" s="24"/>
      <c r="G75" s="96"/>
      <c r="H75" s="96"/>
      <c r="I75" s="96"/>
      <c r="J75" s="96"/>
      <c r="K75" s="96"/>
      <c r="L75" s="96"/>
      <c r="M75" s="96"/>
      <c r="N75" s="96"/>
      <c r="O75" s="96"/>
    </row>
    <row r="76" spans="1:37" x14ac:dyDescent="0.35">
      <c r="A76" s="96"/>
      <c r="B76" s="123"/>
      <c r="C76" s="125"/>
      <c r="F76" s="24"/>
      <c r="G76" s="96"/>
      <c r="H76" s="96"/>
      <c r="I76" s="96"/>
      <c r="J76" s="96"/>
      <c r="K76" s="96"/>
      <c r="L76" s="96"/>
      <c r="M76" s="96"/>
      <c r="N76" s="96"/>
      <c r="O76" s="96"/>
    </row>
    <row r="77" spans="1:37" x14ac:dyDescent="0.35">
      <c r="A77" s="96"/>
      <c r="B77" s="123"/>
      <c r="C77" s="125"/>
      <c r="G77" s="96"/>
      <c r="H77" s="96"/>
      <c r="I77" s="96"/>
      <c r="J77" s="96"/>
      <c r="K77" s="96"/>
      <c r="L77" s="96"/>
      <c r="M77" s="96"/>
      <c r="N77" s="96"/>
      <c r="O77" s="96"/>
    </row>
    <row r="78" spans="1:37" x14ac:dyDescent="0.35">
      <c r="A78" s="96"/>
      <c r="B78" s="96"/>
      <c r="C78" s="96"/>
      <c r="G78" s="96"/>
      <c r="H78" s="96"/>
      <c r="I78" s="96"/>
      <c r="J78" s="96"/>
      <c r="K78" s="96"/>
      <c r="L78" s="96"/>
      <c r="M78" s="96"/>
      <c r="N78" s="96"/>
      <c r="O78" s="96"/>
    </row>
    <row r="79" spans="1:37" x14ac:dyDescent="0.35">
      <c r="A79" s="96"/>
      <c r="B79" s="96"/>
      <c r="C79" s="96"/>
      <c r="G79" s="96"/>
      <c r="H79" s="96"/>
      <c r="I79" s="96"/>
      <c r="J79" s="96"/>
      <c r="K79" s="96"/>
      <c r="L79" s="96"/>
      <c r="M79" s="96"/>
      <c r="N79" s="96"/>
      <c r="O79" s="96"/>
    </row>
    <row r="80" spans="1:37" x14ac:dyDescent="0.35">
      <c r="A80" s="96"/>
      <c r="G80" s="96"/>
      <c r="H80" s="96"/>
      <c r="I80" s="96"/>
      <c r="J80" s="96"/>
      <c r="K80" s="96"/>
      <c r="L80" s="96"/>
      <c r="M80" s="96"/>
      <c r="N80" s="96"/>
      <c r="O80" s="96"/>
    </row>
    <row r="81" spans="1:37" x14ac:dyDescent="0.35">
      <c r="A81" s="96"/>
      <c r="G81" s="96"/>
      <c r="H81" s="96"/>
      <c r="I81" s="96"/>
      <c r="J81" s="96"/>
      <c r="K81" s="96"/>
      <c r="L81" s="96"/>
      <c r="M81" s="96"/>
      <c r="N81" s="96"/>
      <c r="O81" s="96"/>
    </row>
    <row r="82" spans="1:37" x14ac:dyDescent="0.35">
      <c r="A82" s="96"/>
      <c r="G82" s="96"/>
      <c r="H82" s="96"/>
      <c r="I82" s="96"/>
      <c r="J82" s="96"/>
      <c r="K82" s="96"/>
      <c r="L82" s="96"/>
      <c r="M82" s="96"/>
      <c r="N82" s="96"/>
      <c r="O82" s="96"/>
    </row>
    <row r="83" spans="1:37" x14ac:dyDescent="0.35">
      <c r="A83" s="96"/>
      <c r="G83" s="96"/>
      <c r="H83" s="96"/>
      <c r="I83" s="96"/>
      <c r="J83" s="96"/>
      <c r="K83" s="96"/>
      <c r="L83" s="96"/>
      <c r="M83" s="96"/>
      <c r="N83" s="96"/>
      <c r="O83" s="96"/>
    </row>
    <row r="84" spans="1:37" x14ac:dyDescent="0.35">
      <c r="A84" s="96"/>
      <c r="G84" s="96"/>
      <c r="H84" s="96"/>
      <c r="I84" s="96"/>
      <c r="J84" s="96"/>
      <c r="K84" s="96"/>
      <c r="L84" s="96"/>
      <c r="M84" s="96"/>
      <c r="N84" s="96"/>
      <c r="O84" s="96"/>
    </row>
    <row r="85" spans="1:37" x14ac:dyDescent="0.35">
      <c r="A85" s="96"/>
      <c r="G85" s="96"/>
      <c r="H85" s="96"/>
      <c r="I85" s="96"/>
      <c r="J85" s="96"/>
      <c r="K85" s="96"/>
      <c r="L85" s="96"/>
      <c r="M85" s="96"/>
      <c r="N85" s="96"/>
      <c r="O85" s="96"/>
    </row>
    <row r="86" spans="1:37" x14ac:dyDescent="0.35">
      <c r="A86" s="96"/>
      <c r="G86" s="96"/>
      <c r="H86" s="96"/>
      <c r="I86" s="96"/>
      <c r="J86" s="96"/>
      <c r="K86" s="96"/>
      <c r="L86" s="96"/>
      <c r="M86" s="96"/>
      <c r="N86" s="96"/>
      <c r="O86" s="96"/>
    </row>
    <row r="87" spans="1:37" x14ac:dyDescent="0.35">
      <c r="A87" s="96"/>
      <c r="G87" s="96"/>
      <c r="H87" s="96"/>
      <c r="I87" s="96"/>
      <c r="J87" s="96"/>
      <c r="K87" s="96"/>
      <c r="L87" s="96"/>
      <c r="M87" s="96"/>
      <c r="N87" s="96"/>
      <c r="O87" s="96"/>
    </row>
    <row r="88" spans="1:37" x14ac:dyDescent="0.35">
      <c r="A88" s="96"/>
      <c r="G88" s="96"/>
      <c r="H88" s="96"/>
      <c r="I88" s="96"/>
      <c r="J88" s="96"/>
      <c r="K88" s="96"/>
      <c r="L88" s="96"/>
      <c r="M88" s="96"/>
      <c r="N88" s="96"/>
      <c r="O88" s="96"/>
    </row>
    <row r="89" spans="1:37" x14ac:dyDescent="0.35">
      <c r="A89" s="96"/>
      <c r="G89" s="96"/>
      <c r="H89" s="96"/>
      <c r="I89" s="96"/>
      <c r="J89" s="96"/>
      <c r="K89" s="96"/>
      <c r="L89" s="96"/>
      <c r="M89" s="96"/>
      <c r="N89" s="96"/>
      <c r="O89" s="96"/>
    </row>
    <row r="90" spans="1:37" x14ac:dyDescent="0.35">
      <c r="A90" s="132"/>
      <c r="G90" s="96"/>
      <c r="H90" s="96"/>
      <c r="I90" s="96"/>
      <c r="J90" s="96"/>
      <c r="K90" s="96"/>
      <c r="L90" s="96"/>
      <c r="M90" s="96"/>
      <c r="N90" s="96"/>
      <c r="O90" s="96"/>
    </row>
    <row r="91" spans="1:37" ht="21" x14ac:dyDescent="0.5">
      <c r="B91" s="134" t="s">
        <v>255</v>
      </c>
      <c r="C91" s="136">
        <f>C46</f>
        <v>2040</v>
      </c>
      <c r="G91" s="96"/>
      <c r="H91" s="96"/>
      <c r="I91" s="96"/>
      <c r="J91" s="96"/>
      <c r="K91" s="96"/>
      <c r="L91" s="96"/>
      <c r="M91" s="96"/>
      <c r="N91" s="96"/>
      <c r="O91" s="96"/>
      <c r="W91" s="23" t="s">
        <v>202</v>
      </c>
      <c r="AB91" s="95"/>
    </row>
    <row r="92" spans="1:37" x14ac:dyDescent="0.35">
      <c r="G92" s="96"/>
      <c r="H92" s="96"/>
      <c r="I92" s="96"/>
      <c r="J92" s="96"/>
      <c r="K92" s="96"/>
      <c r="L92" s="96"/>
      <c r="M92" s="96"/>
      <c r="N92" s="96"/>
      <c r="O92" s="96"/>
      <c r="T92" s="99" t="s">
        <v>138</v>
      </c>
      <c r="W92" s="99">
        <v>1.7</v>
      </c>
      <c r="X92" s="23" t="s">
        <v>174</v>
      </c>
      <c r="Z92" s="100">
        <v>0</v>
      </c>
      <c r="AA92" s="23" t="s">
        <v>175</v>
      </c>
      <c r="AC92" s="101">
        <v>0</v>
      </c>
    </row>
    <row r="93" spans="1:37" ht="72.5" x14ac:dyDescent="0.35">
      <c r="B93" s="102" t="s">
        <v>173</v>
      </c>
      <c r="C93" s="103" t="s">
        <v>95</v>
      </c>
      <c r="D93" s="103" t="s">
        <v>172</v>
      </c>
      <c r="E93" s="103" t="s">
        <v>231</v>
      </c>
      <c r="F93" s="103" t="s">
        <v>96</v>
      </c>
      <c r="G93" s="176" t="s">
        <v>205</v>
      </c>
      <c r="H93" s="176" t="s">
        <v>99</v>
      </c>
      <c r="I93" s="176" t="s">
        <v>97</v>
      </c>
      <c r="J93" s="176" t="s">
        <v>100</v>
      </c>
      <c r="K93" s="176" t="s">
        <v>101</v>
      </c>
      <c r="L93" s="176" t="s">
        <v>102</v>
      </c>
      <c r="M93" s="176" t="s">
        <v>129</v>
      </c>
      <c r="N93" s="176" t="s">
        <v>130</v>
      </c>
      <c r="O93" s="176" t="s">
        <v>132</v>
      </c>
      <c r="P93" s="103" t="s">
        <v>133</v>
      </c>
      <c r="Q93" s="103" t="s">
        <v>131</v>
      </c>
      <c r="R93" s="117" t="s">
        <v>136</v>
      </c>
      <c r="S93" s="103" t="s">
        <v>135</v>
      </c>
      <c r="T93" s="103" t="s">
        <v>134</v>
      </c>
      <c r="U93" s="103" t="s">
        <v>103</v>
      </c>
      <c r="V93" s="117" t="s">
        <v>108</v>
      </c>
      <c r="W93" s="103" t="s">
        <v>199</v>
      </c>
      <c r="X93" s="103" t="s">
        <v>104</v>
      </c>
      <c r="Y93" s="103" t="s">
        <v>105</v>
      </c>
      <c r="Z93" s="103" t="s">
        <v>106</v>
      </c>
      <c r="AA93" s="103" t="s">
        <v>137</v>
      </c>
      <c r="AB93" s="117" t="s">
        <v>107</v>
      </c>
      <c r="AD93" s="103" t="s">
        <v>167</v>
      </c>
      <c r="AE93" s="103" t="s">
        <v>168</v>
      </c>
      <c r="AF93" s="103" t="s">
        <v>169</v>
      </c>
      <c r="AJ93" s="103" t="s">
        <v>177</v>
      </c>
      <c r="AK93" s="103" t="s">
        <v>176</v>
      </c>
    </row>
    <row r="94" spans="1:37" x14ac:dyDescent="0.35">
      <c r="A94" s="23">
        <v>20</v>
      </c>
      <c r="B94" s="120" t="s">
        <v>162</v>
      </c>
      <c r="C94" s="111" t="s">
        <v>157</v>
      </c>
      <c r="D94" s="111" t="s">
        <v>170</v>
      </c>
      <c r="E94" s="111"/>
      <c r="F94" s="111" t="s">
        <v>158</v>
      </c>
      <c r="G94" s="167">
        <f>'time-factors'!F$37*'time-factors'!B70</f>
        <v>0.78218846278012188</v>
      </c>
      <c r="H94" s="166">
        <f>'time-factors'!N70</f>
        <v>0.09</v>
      </c>
      <c r="I94" s="168" t="s">
        <v>166</v>
      </c>
      <c r="J94" s="96">
        <f>'time-factors'!S$46</f>
        <v>20</v>
      </c>
      <c r="K94" s="170">
        <f>'time-factors'!M$46</f>
        <v>0.05</v>
      </c>
      <c r="L94" s="172">
        <f t="shared" ref="L94:L118" si="38">PMT(K94,J94,-H94)</f>
        <v>7.2218328471622189E-3</v>
      </c>
      <c r="M94" s="171">
        <v>0.02</v>
      </c>
      <c r="N94" s="168">
        <f t="shared" ref="N94:N118" si="39">M94*H94</f>
        <v>1.8E-3</v>
      </c>
      <c r="O94" s="168">
        <v>1.5</v>
      </c>
      <c r="P94" s="111">
        <v>200</v>
      </c>
      <c r="Q94" s="115">
        <f t="shared" ref="Q94:Q118" si="40">P94*O94*0.001</f>
        <v>0.3</v>
      </c>
      <c r="R94" s="114">
        <f t="shared" ref="R94:R118" si="41">L94+N94+Q94</f>
        <v>0.30902183284716223</v>
      </c>
      <c r="S94" s="114">
        <f>2*O94</f>
        <v>3</v>
      </c>
      <c r="T94" s="114">
        <v>0.1</v>
      </c>
      <c r="U94" s="111">
        <f t="shared" ref="U94:U118" si="42">T94*S94</f>
        <v>0.30000000000000004</v>
      </c>
      <c r="V94" s="111">
        <f t="shared" ref="V94:V118" si="43">R94/U94</f>
        <v>1.0300727761572073</v>
      </c>
      <c r="W94" s="111">
        <v>200</v>
      </c>
      <c r="X94" s="111">
        <f t="shared" ref="X94:X118" si="44">W94*S94*0.001</f>
        <v>0.6</v>
      </c>
      <c r="Y94" s="111">
        <f t="shared" ref="Y94:Y100" si="45">$AC$2</f>
        <v>0</v>
      </c>
      <c r="Z94" s="111">
        <f t="shared" ref="Z94:Z118" si="46">Y94*U94</f>
        <v>0</v>
      </c>
      <c r="AA94" s="114">
        <f t="shared" ref="AA94:AA118" si="47">R94-X94-Z94</f>
        <v>-0.29097816715283775</v>
      </c>
      <c r="AB94" s="111">
        <f t="shared" ref="AB94:AB118" si="48">AA94/U94</f>
        <v>-0.9699272238427924</v>
      </c>
      <c r="AC94" s="111"/>
      <c r="AD94" s="107">
        <f t="shared" ref="AD94:AD118" si="49">L94/U94</f>
        <v>2.4072776157207394E-2</v>
      </c>
      <c r="AE94" s="23">
        <f t="shared" ref="AE94:AE118" si="50">N94/U94</f>
        <v>5.9999999999999993E-3</v>
      </c>
      <c r="AF94" s="108">
        <f t="shared" ref="AF94:AF118" si="51">Q94/U94</f>
        <v>0.99999999999999978</v>
      </c>
      <c r="AH94" s="104">
        <f>G94</f>
        <v>0.78218846278012188</v>
      </c>
      <c r="AJ94" s="104">
        <f>AH94</f>
        <v>0.78218846278012188</v>
      </c>
      <c r="AK94" s="23">
        <f t="shared" ref="AK94:AK118" si="52">AB94</f>
        <v>-0.9699272238427924</v>
      </c>
    </row>
    <row r="95" spans="1:37" x14ac:dyDescent="0.35">
      <c r="A95" s="23">
        <v>21</v>
      </c>
      <c r="B95" s="120" t="s">
        <v>160</v>
      </c>
      <c r="C95" s="48" t="s">
        <v>163</v>
      </c>
      <c r="D95" s="111" t="s">
        <v>170</v>
      </c>
      <c r="E95" s="111"/>
      <c r="F95" s="48" t="s">
        <v>158</v>
      </c>
      <c r="G95" s="167">
        <f>'time-factors'!F$37*'time-factors'!B71</f>
        <v>1.4340121817635567</v>
      </c>
      <c r="H95" s="166">
        <f>'time-factors'!N71</f>
        <v>0.15</v>
      </c>
      <c r="I95" s="168" t="s">
        <v>166</v>
      </c>
      <c r="J95" s="96">
        <f>'time-factors'!S$46</f>
        <v>20</v>
      </c>
      <c r="K95" s="170">
        <f>'time-factors'!M$46</f>
        <v>0.05</v>
      </c>
      <c r="L95" s="172">
        <f t="shared" si="38"/>
        <v>1.2036388078603697E-2</v>
      </c>
      <c r="M95" s="171">
        <v>0.02</v>
      </c>
      <c r="N95" s="168">
        <f t="shared" si="39"/>
        <v>3.0000000000000001E-3</v>
      </c>
      <c r="O95" s="168">
        <v>4.4000000000000004</v>
      </c>
      <c r="P95" s="111">
        <v>200</v>
      </c>
      <c r="Q95" s="115">
        <f t="shared" si="40"/>
        <v>0.88000000000000012</v>
      </c>
      <c r="R95" s="114">
        <f t="shared" si="41"/>
        <v>0.89503638807860386</v>
      </c>
      <c r="S95" s="114">
        <f>1.2*O95</f>
        <v>5.28</v>
      </c>
      <c r="T95" s="114">
        <v>0.1</v>
      </c>
      <c r="U95" s="111">
        <f t="shared" si="42"/>
        <v>0.52800000000000002</v>
      </c>
      <c r="V95" s="111">
        <f t="shared" si="43"/>
        <v>1.695144674391295</v>
      </c>
      <c r="W95" s="111">
        <v>200</v>
      </c>
      <c r="X95" s="111">
        <f t="shared" si="44"/>
        <v>1.056</v>
      </c>
      <c r="Y95" s="111">
        <f t="shared" si="45"/>
        <v>0</v>
      </c>
      <c r="Z95" s="111">
        <f t="shared" si="46"/>
        <v>0</v>
      </c>
      <c r="AA95" s="114">
        <f t="shared" si="47"/>
        <v>-0.16096361192139619</v>
      </c>
      <c r="AB95" s="111">
        <f t="shared" si="48"/>
        <v>-0.30485532560870487</v>
      </c>
      <c r="AC95" s="111"/>
      <c r="AD95" s="107">
        <f t="shared" si="49"/>
        <v>2.2796189542810031E-2</v>
      </c>
      <c r="AE95" s="23">
        <f t="shared" si="50"/>
        <v>5.681818181818182E-3</v>
      </c>
      <c r="AF95" s="108">
        <f t="shared" si="51"/>
        <v>1.6666666666666667</v>
      </c>
      <c r="AH95" s="104">
        <f t="shared" ref="AH95:AH118" si="53">G95</f>
        <v>1.4340121817635567</v>
      </c>
      <c r="AJ95" s="104">
        <f>AJ94+AH95</f>
        <v>2.2162006445436786</v>
      </c>
      <c r="AK95" s="23">
        <f t="shared" si="52"/>
        <v>-0.30485532560870487</v>
      </c>
    </row>
    <row r="96" spans="1:37" ht="29" x14ac:dyDescent="0.35">
      <c r="A96" s="23">
        <v>22</v>
      </c>
      <c r="B96" s="120" t="s">
        <v>161</v>
      </c>
      <c r="C96" s="48" t="s">
        <v>163</v>
      </c>
      <c r="D96" s="111" t="s">
        <v>170</v>
      </c>
      <c r="E96" s="111"/>
      <c r="F96" s="48" t="s">
        <v>158</v>
      </c>
      <c r="G96" s="167">
        <f>'time-factors'!F$37*'time-factors'!B72</f>
        <v>0.78218846278012188</v>
      </c>
      <c r="H96" s="166">
        <f>'time-factors'!N72</f>
        <v>0.3</v>
      </c>
      <c r="I96" s="168" t="s">
        <v>166</v>
      </c>
      <c r="J96" s="96">
        <f>'time-factors'!S$46</f>
        <v>20</v>
      </c>
      <c r="K96" s="170">
        <f>'time-factors'!M$46</f>
        <v>0.05</v>
      </c>
      <c r="L96" s="172">
        <f t="shared" si="38"/>
        <v>2.4072776157207394E-2</v>
      </c>
      <c r="M96" s="171">
        <v>0.02</v>
      </c>
      <c r="N96" s="168">
        <f t="shared" si="39"/>
        <v>6.0000000000000001E-3</v>
      </c>
      <c r="O96" s="168">
        <v>4.4000000000000004</v>
      </c>
      <c r="P96" s="111">
        <v>200</v>
      </c>
      <c r="Q96" s="115">
        <f t="shared" si="40"/>
        <v>0.88000000000000012</v>
      </c>
      <c r="R96" s="114">
        <f t="shared" si="41"/>
        <v>0.9100727761572075</v>
      </c>
      <c r="S96" s="114">
        <f>1.2*O96</f>
        <v>5.28</v>
      </c>
      <c r="T96" s="114">
        <v>0.1</v>
      </c>
      <c r="U96" s="111">
        <f t="shared" si="42"/>
        <v>0.52800000000000002</v>
      </c>
      <c r="V96" s="111">
        <f t="shared" si="43"/>
        <v>1.7236226821159233</v>
      </c>
      <c r="W96" s="111">
        <v>200</v>
      </c>
      <c r="X96" s="111">
        <f t="shared" si="44"/>
        <v>1.056</v>
      </c>
      <c r="Y96" s="111">
        <f t="shared" si="45"/>
        <v>0</v>
      </c>
      <c r="Z96" s="111">
        <f t="shared" si="46"/>
        <v>0</v>
      </c>
      <c r="AA96" s="114">
        <f t="shared" si="47"/>
        <v>-0.14592722384279255</v>
      </c>
      <c r="AB96" s="111">
        <f t="shared" si="48"/>
        <v>-0.27637731788407677</v>
      </c>
      <c r="AC96" s="111"/>
      <c r="AD96" s="107">
        <f t="shared" si="49"/>
        <v>4.5592379085620062E-2</v>
      </c>
      <c r="AE96" s="23">
        <f t="shared" si="50"/>
        <v>1.1363636363636364E-2</v>
      </c>
      <c r="AF96" s="108">
        <f t="shared" si="51"/>
        <v>1.6666666666666667</v>
      </c>
      <c r="AH96" s="104">
        <f t="shared" si="53"/>
        <v>0.78218846278012188</v>
      </c>
      <c r="AJ96" s="104">
        <f t="shared" ref="AJ96:AJ118" si="54">AJ95+AH96</f>
        <v>2.9983891073238005</v>
      </c>
      <c r="AK96" s="23">
        <f t="shared" si="52"/>
        <v>-0.27637731788407677</v>
      </c>
    </row>
    <row r="97" spans="1:37" x14ac:dyDescent="0.35">
      <c r="A97" s="23">
        <v>24</v>
      </c>
      <c r="B97" s="120" t="s">
        <v>165</v>
      </c>
      <c r="C97" s="120" t="s">
        <v>165</v>
      </c>
      <c r="D97" s="111" t="s">
        <v>170</v>
      </c>
      <c r="E97" s="111"/>
      <c r="F97" s="48" t="s">
        <v>158</v>
      </c>
      <c r="G97" s="167">
        <f>'time-factors'!F$37*'time-factors'!B74</f>
        <v>0.52145897518674789</v>
      </c>
      <c r="H97" s="166">
        <f>'time-factors'!N74</f>
        <v>0.3</v>
      </c>
      <c r="I97" s="168" t="s">
        <v>166</v>
      </c>
      <c r="J97" s="96">
        <f>'time-factors'!S$46</f>
        <v>20</v>
      </c>
      <c r="K97" s="170">
        <f>'time-factors'!M$46</f>
        <v>0.05</v>
      </c>
      <c r="L97" s="172">
        <f t="shared" si="38"/>
        <v>2.4072776157207394E-2</v>
      </c>
      <c r="M97" s="171">
        <v>0.02</v>
      </c>
      <c r="N97" s="168">
        <f t="shared" si="39"/>
        <v>6.0000000000000001E-3</v>
      </c>
      <c r="O97" s="168">
        <v>4.4000000000000004</v>
      </c>
      <c r="P97" s="111">
        <v>200</v>
      </c>
      <c r="Q97" s="115">
        <f t="shared" si="40"/>
        <v>0.88000000000000012</v>
      </c>
      <c r="R97" s="114">
        <f t="shared" si="41"/>
        <v>0.9100727761572075</v>
      </c>
      <c r="S97" s="114">
        <f>1.2*O97</f>
        <v>5.28</v>
      </c>
      <c r="T97" s="114">
        <v>0.1</v>
      </c>
      <c r="U97" s="111">
        <f t="shared" si="42"/>
        <v>0.52800000000000002</v>
      </c>
      <c r="V97" s="111">
        <f t="shared" si="43"/>
        <v>1.7236226821159233</v>
      </c>
      <c r="W97" s="111">
        <v>200</v>
      </c>
      <c r="X97" s="111">
        <f t="shared" si="44"/>
        <v>1.056</v>
      </c>
      <c r="Y97" s="111">
        <f t="shared" si="45"/>
        <v>0</v>
      </c>
      <c r="Z97" s="111">
        <f t="shared" si="46"/>
        <v>0</v>
      </c>
      <c r="AA97" s="114">
        <f t="shared" si="47"/>
        <v>-0.14592722384279255</v>
      </c>
      <c r="AB97" s="111">
        <f t="shared" si="48"/>
        <v>-0.27637731788407677</v>
      </c>
      <c r="AC97" s="111"/>
      <c r="AD97" s="107">
        <f t="shared" si="49"/>
        <v>4.5592379085620062E-2</v>
      </c>
      <c r="AE97" s="23">
        <f t="shared" si="50"/>
        <v>1.1363636363636364E-2</v>
      </c>
      <c r="AF97" s="108">
        <f t="shared" si="51"/>
        <v>1.6666666666666667</v>
      </c>
      <c r="AH97" s="104">
        <f t="shared" si="53"/>
        <v>0.52145897518674789</v>
      </c>
      <c r="AJ97" s="104">
        <f t="shared" si="54"/>
        <v>3.5198480825105483</v>
      </c>
      <c r="AK97" s="23">
        <f t="shared" si="52"/>
        <v>-0.27637731788407677</v>
      </c>
    </row>
    <row r="98" spans="1:37" x14ac:dyDescent="0.35">
      <c r="A98" s="23">
        <v>23</v>
      </c>
      <c r="B98" s="120" t="s">
        <v>164</v>
      </c>
      <c r="C98" s="48" t="s">
        <v>163</v>
      </c>
      <c r="D98" s="111" t="s">
        <v>170</v>
      </c>
      <c r="E98" s="111"/>
      <c r="F98" s="48" t="s">
        <v>158</v>
      </c>
      <c r="G98" s="167">
        <f>'time-factors'!F$37*'time-factors'!B73</f>
        <v>1.3036474379668697</v>
      </c>
      <c r="H98" s="166">
        <f>'time-factors'!N73</f>
        <v>0.6</v>
      </c>
      <c r="I98" s="168" t="s">
        <v>166</v>
      </c>
      <c r="J98" s="96">
        <f>'time-factors'!S$46</f>
        <v>20</v>
      </c>
      <c r="K98" s="170">
        <f>'time-factors'!M$46</f>
        <v>0.05</v>
      </c>
      <c r="L98" s="172">
        <f t="shared" si="38"/>
        <v>4.8145552314414787E-2</v>
      </c>
      <c r="M98" s="171">
        <v>0.02</v>
      </c>
      <c r="N98" s="168">
        <f t="shared" si="39"/>
        <v>1.2E-2</v>
      </c>
      <c r="O98" s="168">
        <v>4.4000000000000004</v>
      </c>
      <c r="P98" s="111">
        <v>200</v>
      </c>
      <c r="Q98" s="115">
        <f t="shared" si="40"/>
        <v>0.88000000000000012</v>
      </c>
      <c r="R98" s="114">
        <f t="shared" si="41"/>
        <v>0.94014555231441488</v>
      </c>
      <c r="S98" s="114">
        <f>1.2*O98</f>
        <v>5.28</v>
      </c>
      <c r="T98" s="114">
        <v>0.1</v>
      </c>
      <c r="U98" s="111">
        <f t="shared" si="42"/>
        <v>0.52800000000000002</v>
      </c>
      <c r="V98" s="111">
        <f t="shared" si="43"/>
        <v>1.7805786975651796</v>
      </c>
      <c r="W98" s="111">
        <v>200</v>
      </c>
      <c r="X98" s="111">
        <f t="shared" si="44"/>
        <v>1.056</v>
      </c>
      <c r="Y98" s="111">
        <f t="shared" si="45"/>
        <v>0</v>
      </c>
      <c r="Z98" s="111">
        <f t="shared" si="46"/>
        <v>0</v>
      </c>
      <c r="AA98" s="114">
        <f t="shared" si="47"/>
        <v>-0.11585444768558517</v>
      </c>
      <c r="AB98" s="111">
        <f t="shared" si="48"/>
        <v>-0.21942130243482039</v>
      </c>
      <c r="AC98" s="111"/>
      <c r="AD98" s="107">
        <f t="shared" si="49"/>
        <v>9.1184758171240124E-2</v>
      </c>
      <c r="AE98" s="23">
        <f t="shared" si="50"/>
        <v>2.2727272727272728E-2</v>
      </c>
      <c r="AF98" s="108">
        <f t="shared" si="51"/>
        <v>1.6666666666666667</v>
      </c>
      <c r="AH98" s="104">
        <f t="shared" si="53"/>
        <v>1.3036474379668697</v>
      </c>
      <c r="AJ98" s="104">
        <f t="shared" si="54"/>
        <v>4.8234955204774179</v>
      </c>
      <c r="AK98" s="23">
        <f t="shared" si="52"/>
        <v>-0.21942130243482039</v>
      </c>
    </row>
    <row r="99" spans="1:37" x14ac:dyDescent="0.35">
      <c r="A99" s="23">
        <v>19</v>
      </c>
      <c r="B99" s="120" t="s">
        <v>140</v>
      </c>
      <c r="C99" s="111" t="s">
        <v>157</v>
      </c>
      <c r="D99" s="111" t="s">
        <v>170</v>
      </c>
      <c r="E99" s="111"/>
      <c r="F99" s="111" t="s">
        <v>159</v>
      </c>
      <c r="G99" s="167">
        <f>'time-factors'!F$37*'time-factors'!B69</f>
        <v>1.6295592974585871</v>
      </c>
      <c r="H99" s="166">
        <f>'time-factors'!N69</f>
        <v>1.2</v>
      </c>
      <c r="I99" s="168" t="s">
        <v>166</v>
      </c>
      <c r="J99" s="96">
        <f>'time-factors'!S$45</f>
        <v>15</v>
      </c>
      <c r="K99" s="170">
        <f>'time-factors'!M$45</f>
        <v>0.05</v>
      </c>
      <c r="L99" s="172">
        <f t="shared" si="38"/>
        <v>0.11561074513109325</v>
      </c>
      <c r="M99" s="171">
        <v>0</v>
      </c>
      <c r="N99" s="168">
        <f t="shared" si="39"/>
        <v>0</v>
      </c>
      <c r="O99" s="168">
        <v>2.63</v>
      </c>
      <c r="P99" s="111">
        <v>200</v>
      </c>
      <c r="Q99" s="115">
        <f t="shared" si="40"/>
        <v>0.52600000000000002</v>
      </c>
      <c r="R99" s="114">
        <f t="shared" si="41"/>
        <v>0.64161074513109329</v>
      </c>
      <c r="S99" s="114">
        <f>3.5*O99</f>
        <v>9.2050000000000001</v>
      </c>
      <c r="T99" s="114">
        <v>0.18</v>
      </c>
      <c r="U99" s="111">
        <f t="shared" si="42"/>
        <v>1.6569</v>
      </c>
      <c r="V99" s="111">
        <f t="shared" si="43"/>
        <v>0.38723564797579413</v>
      </c>
      <c r="W99" s="116">
        <v>103</v>
      </c>
      <c r="X99" s="111">
        <f t="shared" si="44"/>
        <v>0.94811500000000004</v>
      </c>
      <c r="Y99" s="111">
        <f t="shared" si="45"/>
        <v>0</v>
      </c>
      <c r="Z99" s="111">
        <f t="shared" si="46"/>
        <v>0</v>
      </c>
      <c r="AA99" s="114">
        <f t="shared" si="47"/>
        <v>-0.30650425486890676</v>
      </c>
      <c r="AB99" s="111">
        <f t="shared" si="48"/>
        <v>-0.18498657424642811</v>
      </c>
      <c r="AC99" s="111"/>
      <c r="AD99" s="107">
        <f t="shared" si="49"/>
        <v>6.9775330515476644E-2</v>
      </c>
      <c r="AE99" s="23">
        <f t="shared" si="50"/>
        <v>0</v>
      </c>
      <c r="AF99" s="108">
        <f t="shared" si="51"/>
        <v>0.31746031746031744</v>
      </c>
      <c r="AH99" s="104">
        <f t="shared" si="53"/>
        <v>1.6295592974585871</v>
      </c>
      <c r="AJ99" s="104">
        <f t="shared" si="54"/>
        <v>6.453054817936005</v>
      </c>
      <c r="AK99" s="23">
        <f t="shared" si="52"/>
        <v>-0.18498657424642811</v>
      </c>
    </row>
    <row r="100" spans="1:37" ht="29" x14ac:dyDescent="0.35">
      <c r="A100" s="23">
        <v>25</v>
      </c>
      <c r="B100" s="121" t="s">
        <v>204</v>
      </c>
      <c r="C100" s="24" t="s">
        <v>41</v>
      </c>
      <c r="D100" s="24" t="s">
        <v>198</v>
      </c>
      <c r="E100" s="24"/>
      <c r="F100" s="24" t="s">
        <v>203</v>
      </c>
      <c r="G100" s="167">
        <f>'time-factors'!F$37*'time-factors'!B75</f>
        <v>1.6295592974585871</v>
      </c>
      <c r="H100" s="166">
        <f>'time-factors'!N75</f>
        <v>2.4599999999999995</v>
      </c>
      <c r="I100" s="53" t="s">
        <v>166</v>
      </c>
      <c r="J100" s="96">
        <f>'time-factors'!S$47</f>
        <v>10</v>
      </c>
      <c r="K100" s="170">
        <f>'time-factors'!M$47</f>
        <v>0.05</v>
      </c>
      <c r="L100" s="55">
        <f t="shared" si="38"/>
        <v>0.31858125441502333</v>
      </c>
      <c r="M100" s="54">
        <v>0</v>
      </c>
      <c r="N100" s="53">
        <f t="shared" si="39"/>
        <v>0</v>
      </c>
      <c r="O100" s="53">
        <v>2.2000000000000002</v>
      </c>
      <c r="P100" s="53">
        <v>200</v>
      </c>
      <c r="Q100" s="56">
        <f t="shared" si="40"/>
        <v>0.44000000000000006</v>
      </c>
      <c r="R100" s="55">
        <f t="shared" si="41"/>
        <v>0.75858125441502344</v>
      </c>
      <c r="S100" s="59">
        <f>2*O100</f>
        <v>4.4000000000000004</v>
      </c>
      <c r="T100" s="59">
        <v>0.27</v>
      </c>
      <c r="U100" s="53">
        <f t="shared" si="42"/>
        <v>1.1880000000000002</v>
      </c>
      <c r="V100" s="53">
        <f t="shared" si="43"/>
        <v>0.63853640944025536</v>
      </c>
      <c r="W100" s="53">
        <v>200</v>
      </c>
      <c r="X100" s="57">
        <f t="shared" si="44"/>
        <v>0.88000000000000012</v>
      </c>
      <c r="Y100" s="53">
        <f t="shared" si="45"/>
        <v>0</v>
      </c>
      <c r="Z100" s="53">
        <f t="shared" si="46"/>
        <v>0</v>
      </c>
      <c r="AA100" s="55">
        <f t="shared" si="47"/>
        <v>-0.12141874558497667</v>
      </c>
      <c r="AB100" s="53">
        <f t="shared" si="48"/>
        <v>-0.1022043313004854</v>
      </c>
      <c r="AC100" s="53"/>
      <c r="AD100" s="107">
        <f t="shared" si="49"/>
        <v>0.2681660390698849</v>
      </c>
      <c r="AE100" s="23">
        <f t="shared" si="50"/>
        <v>0</v>
      </c>
      <c r="AF100" s="108">
        <f t="shared" si="51"/>
        <v>0.37037037037037035</v>
      </c>
      <c r="AH100" s="104">
        <f t="shared" si="53"/>
        <v>1.6295592974585871</v>
      </c>
      <c r="AJ100" s="104">
        <f t="shared" si="54"/>
        <v>8.0826141153945912</v>
      </c>
      <c r="AK100" s="23">
        <f t="shared" si="52"/>
        <v>-0.1022043313004854</v>
      </c>
    </row>
    <row r="101" spans="1:37" x14ac:dyDescent="0.35">
      <c r="A101" s="23">
        <v>12</v>
      </c>
      <c r="B101" s="118" t="s">
        <v>151</v>
      </c>
      <c r="C101" s="23" t="s">
        <v>139</v>
      </c>
      <c r="D101" s="23" t="s">
        <v>171</v>
      </c>
      <c r="E101" s="23" t="s">
        <v>128</v>
      </c>
      <c r="F101" s="23" t="s">
        <v>83</v>
      </c>
      <c r="G101" s="167">
        <f>'time-factors'!F$37*'time-factors'!B62</f>
        <v>0.13036474379668697</v>
      </c>
      <c r="H101" s="166">
        <f>'time-factors'!N62</f>
        <v>27</v>
      </c>
      <c r="I101" s="96" t="s">
        <v>98</v>
      </c>
      <c r="J101" s="96">
        <f>'time-factors'!S$43</f>
        <v>10</v>
      </c>
      <c r="K101" s="170">
        <f>'time-factors'!M$43</f>
        <v>0.05</v>
      </c>
      <c r="L101" s="173">
        <f t="shared" si="38"/>
        <v>3.49662352406733</v>
      </c>
      <c r="M101" s="170">
        <v>0</v>
      </c>
      <c r="N101" s="96">
        <f t="shared" si="39"/>
        <v>0</v>
      </c>
      <c r="O101" s="167" cm="1">
        <f t="array" ref="O101">IFERROR(_xlfn.IFS(E101="Heavy", 'vehicle E calcs'!$H$33,E101="Cars/vans",'vehicle E calcs'!$H$32),"")</f>
        <v>6.3768270755398833</v>
      </c>
      <c r="P101" s="106">
        <v>200</v>
      </c>
      <c r="Q101" s="108">
        <f t="shared" si="40"/>
        <v>1.2753654151079765</v>
      </c>
      <c r="R101" s="107">
        <f t="shared" si="41"/>
        <v>4.7719889391753068</v>
      </c>
      <c r="S101" s="107" cm="1">
        <f t="array" ref="S101">_xlfn.IFS(E101="Heavy", 'vehicle E calcs'!$T$21,E101="Cars/vans",'vehicle E calcs'!$S$21)*O101</f>
        <v>23.354986057632608</v>
      </c>
      <c r="T101" s="109">
        <v>0.27</v>
      </c>
      <c r="U101" s="23">
        <f t="shared" si="42"/>
        <v>6.3058462355608045</v>
      </c>
      <c r="V101" s="23">
        <f t="shared" si="43"/>
        <v>0.75675631166907364</v>
      </c>
      <c r="W101" s="106">
        <f t="shared" ref="W101:W118" si="55">W$2*105</f>
        <v>168</v>
      </c>
      <c r="X101" s="23">
        <f t="shared" si="44"/>
        <v>3.9236376576822782</v>
      </c>
      <c r="Y101" s="96">
        <f t="shared" ref="Y101:Y118" si="56">$Z$2</f>
        <v>0</v>
      </c>
      <c r="Z101" s="23">
        <f t="shared" si="46"/>
        <v>0</v>
      </c>
      <c r="AA101" s="107">
        <f t="shared" si="47"/>
        <v>0.84835128149302852</v>
      </c>
      <c r="AB101" s="23">
        <f t="shared" si="48"/>
        <v>0.13453408944685141</v>
      </c>
      <c r="AD101" s="107">
        <f t="shared" si="49"/>
        <v>0.55450504079035179</v>
      </c>
      <c r="AE101" s="23">
        <f t="shared" si="50"/>
        <v>0</v>
      </c>
      <c r="AF101" s="108">
        <f t="shared" si="51"/>
        <v>0.20225127087872183</v>
      </c>
      <c r="AH101" s="104">
        <f t="shared" si="53"/>
        <v>0.13036474379668697</v>
      </c>
      <c r="AJ101" s="104">
        <f t="shared" si="54"/>
        <v>8.2129788591912778</v>
      </c>
      <c r="AK101" s="23">
        <f t="shared" si="52"/>
        <v>0.13453408944685141</v>
      </c>
    </row>
    <row r="102" spans="1:37" x14ac:dyDescent="0.35">
      <c r="A102" s="23">
        <v>16</v>
      </c>
      <c r="B102" s="118" t="s">
        <v>154</v>
      </c>
      <c r="C102" s="23" t="s">
        <v>139</v>
      </c>
      <c r="D102" s="23" t="s">
        <v>171</v>
      </c>
      <c r="E102" s="23" t="s">
        <v>128</v>
      </c>
      <c r="F102" s="23" t="s">
        <v>83</v>
      </c>
      <c r="G102" s="167">
        <f>'time-factors'!F$37*'time-factors'!B66</f>
        <v>0.13036474379668697</v>
      </c>
      <c r="H102" s="166">
        <f>'time-factors'!N66</f>
        <v>27</v>
      </c>
      <c r="I102" s="96" t="s">
        <v>98</v>
      </c>
      <c r="J102" s="96">
        <f>'time-factors'!S$43</f>
        <v>10</v>
      </c>
      <c r="K102" s="170">
        <f>'time-factors'!M$43</f>
        <v>0.05</v>
      </c>
      <c r="L102" s="173">
        <f t="shared" si="38"/>
        <v>3.49662352406733</v>
      </c>
      <c r="M102" s="170">
        <v>0</v>
      </c>
      <c r="N102" s="96">
        <f t="shared" si="39"/>
        <v>0</v>
      </c>
      <c r="O102" s="167" cm="1">
        <f t="array" ref="O102">IFERROR(_xlfn.IFS(E102="Heavy", 'vehicle E calcs'!$H$33,E102="Cars/vans",'vehicle E calcs'!$H$32),"")</f>
        <v>6.3768270755398833</v>
      </c>
      <c r="P102" s="106">
        <v>200</v>
      </c>
      <c r="Q102" s="108">
        <f t="shared" si="40"/>
        <v>1.2753654151079765</v>
      </c>
      <c r="R102" s="107">
        <f t="shared" si="41"/>
        <v>4.7719889391753068</v>
      </c>
      <c r="S102" s="107" cm="1">
        <f t="array" ref="S102">_xlfn.IFS(E102="Heavy", 'vehicle E calcs'!$T$21,E102="Cars/vans",'vehicle E calcs'!$S$21)*O102</f>
        <v>23.354986057632608</v>
      </c>
      <c r="T102" s="109">
        <v>0.27</v>
      </c>
      <c r="U102" s="23">
        <f t="shared" si="42"/>
        <v>6.3058462355608045</v>
      </c>
      <c r="V102" s="23">
        <f t="shared" si="43"/>
        <v>0.75675631166907364</v>
      </c>
      <c r="W102" s="106">
        <f t="shared" si="55"/>
        <v>168</v>
      </c>
      <c r="X102" s="23">
        <f t="shared" si="44"/>
        <v>3.9236376576822782</v>
      </c>
      <c r="Y102" s="96">
        <f t="shared" si="56"/>
        <v>0</v>
      </c>
      <c r="Z102" s="23">
        <f t="shared" si="46"/>
        <v>0</v>
      </c>
      <c r="AA102" s="107">
        <f t="shared" si="47"/>
        <v>0.84835128149302852</v>
      </c>
      <c r="AB102" s="23">
        <f t="shared" si="48"/>
        <v>0.13453408944685141</v>
      </c>
      <c r="AD102" s="107">
        <f t="shared" si="49"/>
        <v>0.55450504079035179</v>
      </c>
      <c r="AE102" s="23">
        <f t="shared" si="50"/>
        <v>0</v>
      </c>
      <c r="AF102" s="108">
        <f t="shared" si="51"/>
        <v>0.20225127087872183</v>
      </c>
      <c r="AH102" s="104">
        <f t="shared" si="53"/>
        <v>0.13036474379668697</v>
      </c>
      <c r="AJ102" s="104">
        <f t="shared" si="54"/>
        <v>8.3433436029879644</v>
      </c>
      <c r="AK102" s="23">
        <f t="shared" si="52"/>
        <v>0.13453408944685141</v>
      </c>
    </row>
    <row r="103" spans="1:37" ht="45.5" x14ac:dyDescent="0.35">
      <c r="A103" s="23">
        <v>13</v>
      </c>
      <c r="B103" s="118" t="s">
        <v>232</v>
      </c>
      <c r="C103" s="23" t="s">
        <v>139</v>
      </c>
      <c r="D103" s="23" t="s">
        <v>171</v>
      </c>
      <c r="E103" s="23" t="s">
        <v>188</v>
      </c>
      <c r="F103" s="23" t="s">
        <v>83</v>
      </c>
      <c r="G103" s="167">
        <f>'time-factors'!F$37*'time-factors'!B63</f>
        <v>0.14340121817635568</v>
      </c>
      <c r="H103" s="166">
        <f>'time-factors'!N63</f>
        <v>46.5</v>
      </c>
      <c r="I103" s="96" t="s">
        <v>98</v>
      </c>
      <c r="J103" s="96">
        <f>'time-factors'!S$43</f>
        <v>10</v>
      </c>
      <c r="K103" s="170">
        <f>'time-factors'!M$43</f>
        <v>0.05</v>
      </c>
      <c r="L103" s="173">
        <f t="shared" si="38"/>
        <v>6.0219627358937347</v>
      </c>
      <c r="M103" s="170">
        <v>0</v>
      </c>
      <c r="N103" s="96">
        <f t="shared" si="39"/>
        <v>0</v>
      </c>
      <c r="O103" s="167" cm="1">
        <f t="array" ref="O103">IFERROR(_xlfn.IFS(E103="Heavy", 'vehicle E calcs'!$H$33,E103="Cars/vans",'vehicle E calcs'!$H$32),"")</f>
        <v>7.1233383316924828</v>
      </c>
      <c r="P103" s="106">
        <v>200</v>
      </c>
      <c r="Q103" s="108">
        <f t="shared" si="40"/>
        <v>1.4246676663384965</v>
      </c>
      <c r="R103" s="107">
        <f t="shared" si="41"/>
        <v>7.4466304022322314</v>
      </c>
      <c r="S103" s="107" cm="1">
        <f t="array" ref="S103">_xlfn.IFS(E103="Heavy", 'vehicle E calcs'!$T$21,E103="Cars/vans",'vehicle E calcs'!$S$21)*O103</f>
        <v>24.362584419881831</v>
      </c>
      <c r="T103" s="109">
        <v>0.27</v>
      </c>
      <c r="U103" s="23">
        <f t="shared" si="42"/>
        <v>6.5778977933680949</v>
      </c>
      <c r="V103" s="23">
        <f t="shared" si="43"/>
        <v>1.1320684261376031</v>
      </c>
      <c r="W103" s="106">
        <f t="shared" si="55"/>
        <v>168</v>
      </c>
      <c r="X103" s="23">
        <f t="shared" si="44"/>
        <v>4.0929141825401478</v>
      </c>
      <c r="Y103" s="96">
        <f t="shared" si="56"/>
        <v>0</v>
      </c>
      <c r="Z103" s="23">
        <f t="shared" si="46"/>
        <v>0</v>
      </c>
      <c r="AA103" s="107">
        <f t="shared" si="47"/>
        <v>3.3537162196920836</v>
      </c>
      <c r="AB103" s="23">
        <f t="shared" si="48"/>
        <v>0.50984620391538082</v>
      </c>
      <c r="AD103" s="107">
        <f t="shared" si="49"/>
        <v>0.9154843880312552</v>
      </c>
      <c r="AE103" s="23">
        <f t="shared" si="50"/>
        <v>0</v>
      </c>
      <c r="AF103" s="108">
        <f t="shared" si="51"/>
        <v>0.2165840381063478</v>
      </c>
      <c r="AH103" s="104">
        <f t="shared" si="53"/>
        <v>0.14340121817635568</v>
      </c>
      <c r="AJ103" s="104">
        <f t="shared" si="54"/>
        <v>8.4867448211643204</v>
      </c>
      <c r="AK103" s="23">
        <f t="shared" si="52"/>
        <v>0.50984620391538082</v>
      </c>
    </row>
    <row r="104" spans="1:37" x14ac:dyDescent="0.35">
      <c r="A104" s="23">
        <v>11</v>
      </c>
      <c r="B104" s="118" t="s">
        <v>150</v>
      </c>
      <c r="C104" s="23" t="s">
        <v>139</v>
      </c>
      <c r="D104" s="23" t="s">
        <v>171</v>
      </c>
      <c r="E104" s="23" t="s">
        <v>128</v>
      </c>
      <c r="F104" s="23" t="s">
        <v>83</v>
      </c>
      <c r="G104" s="167">
        <f>'time-factors'!F$37*'time-factors'!B61</f>
        <v>6.5182371898343486E-2</v>
      </c>
      <c r="H104" s="166">
        <f>'time-factors'!N61</f>
        <v>46.5</v>
      </c>
      <c r="I104" s="96" t="s">
        <v>98</v>
      </c>
      <c r="J104" s="96">
        <f>'time-factors'!S$43</f>
        <v>10</v>
      </c>
      <c r="K104" s="170">
        <f>'time-factors'!M$43</f>
        <v>0.05</v>
      </c>
      <c r="L104" s="173">
        <f t="shared" si="38"/>
        <v>6.0219627358937347</v>
      </c>
      <c r="M104" s="170">
        <v>0</v>
      </c>
      <c r="N104" s="96">
        <f t="shared" si="39"/>
        <v>0</v>
      </c>
      <c r="O104" s="167" cm="1">
        <f t="array" ref="O104">IFERROR(_xlfn.IFS(E104="Heavy", 'vehicle E calcs'!$H$33,E104="Cars/vans",'vehicle E calcs'!$H$32),"")</f>
        <v>6.3768270755398833</v>
      </c>
      <c r="P104" s="106">
        <v>200</v>
      </c>
      <c r="Q104" s="108">
        <f t="shared" si="40"/>
        <v>1.2753654151079765</v>
      </c>
      <c r="R104" s="107">
        <f t="shared" si="41"/>
        <v>7.2973281510017109</v>
      </c>
      <c r="S104" s="107" cm="1">
        <f t="array" ref="S104">_xlfn.IFS(E104="Heavy", 'vehicle E calcs'!$T$21,E104="Cars/vans",'vehicle E calcs'!$S$21)*O104</f>
        <v>23.354986057632608</v>
      </c>
      <c r="T104" s="109">
        <v>0.27</v>
      </c>
      <c r="U104" s="23">
        <f t="shared" si="42"/>
        <v>6.3058462355608045</v>
      </c>
      <c r="V104" s="23">
        <f t="shared" si="43"/>
        <v>1.1572321744621052</v>
      </c>
      <c r="W104" s="106">
        <f t="shared" si="55"/>
        <v>168</v>
      </c>
      <c r="X104" s="23">
        <f t="shared" si="44"/>
        <v>3.9236376576822782</v>
      </c>
      <c r="Y104" s="96">
        <f t="shared" si="56"/>
        <v>0</v>
      </c>
      <c r="Z104" s="23">
        <f t="shared" si="46"/>
        <v>0</v>
      </c>
      <c r="AA104" s="107">
        <f t="shared" si="47"/>
        <v>3.3736904933194327</v>
      </c>
      <c r="AB104" s="23">
        <f t="shared" si="48"/>
        <v>0.53500995223988312</v>
      </c>
      <c r="AD104" s="107">
        <f t="shared" si="49"/>
        <v>0.9549809035833835</v>
      </c>
      <c r="AE104" s="23">
        <f t="shared" si="50"/>
        <v>0</v>
      </c>
      <c r="AF104" s="108">
        <f t="shared" si="51"/>
        <v>0.20225127087872183</v>
      </c>
      <c r="AH104" s="104">
        <f t="shared" si="53"/>
        <v>6.5182371898343486E-2</v>
      </c>
      <c r="AJ104" s="104">
        <f t="shared" si="54"/>
        <v>8.5519271930626637</v>
      </c>
      <c r="AK104" s="23">
        <f t="shared" si="52"/>
        <v>0.53500995223988312</v>
      </c>
    </row>
    <row r="105" spans="1:37" x14ac:dyDescent="0.35">
      <c r="A105" s="23">
        <v>6</v>
      </c>
      <c r="B105" s="118" t="s">
        <v>146</v>
      </c>
      <c r="C105" s="23" t="s">
        <v>139</v>
      </c>
      <c r="D105" s="23" t="s">
        <v>171</v>
      </c>
      <c r="E105" s="23" t="s">
        <v>188</v>
      </c>
      <c r="F105" s="23" t="s">
        <v>83</v>
      </c>
      <c r="G105" s="167">
        <f>'time-factors'!F$37*'time-factors'!B56</f>
        <v>0.18902887850519609</v>
      </c>
      <c r="H105" s="166">
        <f>'time-factors'!N56</f>
        <v>89.187168</v>
      </c>
      <c r="I105" s="96" t="s">
        <v>98</v>
      </c>
      <c r="J105" s="96">
        <f>'time-factors'!S$43</f>
        <v>10</v>
      </c>
      <c r="K105" s="170">
        <f>'time-factors'!M$43</f>
        <v>0.05</v>
      </c>
      <c r="L105" s="173">
        <f t="shared" si="38"/>
        <v>11.550146284212778</v>
      </c>
      <c r="M105" s="170">
        <v>0</v>
      </c>
      <c r="N105" s="96">
        <f t="shared" si="39"/>
        <v>0</v>
      </c>
      <c r="O105" s="167" cm="1">
        <f t="array" ref="O105">IFERROR(_xlfn.IFS(E105="Heavy", 'vehicle E calcs'!$H$33,E105="Cars/vans",'vehicle E calcs'!$H$32),"")</f>
        <v>7.1233383316924828</v>
      </c>
      <c r="P105" s="106">
        <v>200</v>
      </c>
      <c r="Q105" s="108">
        <f t="shared" si="40"/>
        <v>1.4246676663384965</v>
      </c>
      <c r="R105" s="107">
        <f t="shared" si="41"/>
        <v>12.974813950551274</v>
      </c>
      <c r="S105" s="107" cm="1">
        <f t="array" ref="S105">_xlfn.IFS(E105="Heavy", 'vehicle E calcs'!$T$21,E105="Cars/vans",'vehicle E calcs'!$S$21)*O105</f>
        <v>24.362584419881831</v>
      </c>
      <c r="T105" s="109">
        <v>0.27</v>
      </c>
      <c r="U105" s="23">
        <f t="shared" si="42"/>
        <v>6.5778977933680949</v>
      </c>
      <c r="V105" s="23">
        <f t="shared" si="43"/>
        <v>1.972486401906794</v>
      </c>
      <c r="W105" s="106">
        <f t="shared" si="55"/>
        <v>168</v>
      </c>
      <c r="X105" s="23">
        <f t="shared" si="44"/>
        <v>4.0929141825401478</v>
      </c>
      <c r="Y105" s="96">
        <f t="shared" si="56"/>
        <v>0</v>
      </c>
      <c r="Z105" s="23">
        <f t="shared" si="46"/>
        <v>0</v>
      </c>
      <c r="AA105" s="107">
        <f t="shared" si="47"/>
        <v>8.8818997680111273</v>
      </c>
      <c r="AB105" s="23">
        <f t="shared" si="48"/>
        <v>1.350264179684572</v>
      </c>
      <c r="AD105" s="107">
        <f t="shared" si="49"/>
        <v>1.7559023638004463</v>
      </c>
      <c r="AE105" s="23">
        <f t="shared" si="50"/>
        <v>0</v>
      </c>
      <c r="AF105" s="108">
        <f t="shared" si="51"/>
        <v>0.2165840381063478</v>
      </c>
      <c r="AH105" s="104">
        <f t="shared" si="53"/>
        <v>0.18902887850519609</v>
      </c>
      <c r="AJ105" s="104">
        <f t="shared" si="54"/>
        <v>8.7409560715678598</v>
      </c>
      <c r="AK105" s="23">
        <f t="shared" si="52"/>
        <v>1.350264179684572</v>
      </c>
    </row>
    <row r="106" spans="1:37" x14ac:dyDescent="0.35">
      <c r="A106" s="23">
        <v>1</v>
      </c>
      <c r="B106" s="118" t="s">
        <v>141</v>
      </c>
      <c r="C106" s="23" t="s">
        <v>139</v>
      </c>
      <c r="D106" s="23" t="s">
        <v>171</v>
      </c>
      <c r="E106" s="23" t="s">
        <v>128</v>
      </c>
      <c r="F106" s="23" t="s">
        <v>83</v>
      </c>
      <c r="G106" s="167">
        <f>'time-factors'!F$37*'time-factors'!B51</f>
        <v>0.22813830164420221</v>
      </c>
      <c r="H106" s="166">
        <f>'time-factors'!N51</f>
        <v>119.44709999999999</v>
      </c>
      <c r="I106" s="96" t="s">
        <v>98</v>
      </c>
      <c r="J106" s="96">
        <f>'time-factors'!S$43</f>
        <v>10</v>
      </c>
      <c r="K106" s="170">
        <f>'time-factors'!M$43</f>
        <v>0.05</v>
      </c>
      <c r="L106" s="173">
        <f t="shared" si="38"/>
        <v>15.468945916356398</v>
      </c>
      <c r="M106" s="170">
        <v>0</v>
      </c>
      <c r="N106" s="96">
        <f t="shared" si="39"/>
        <v>0</v>
      </c>
      <c r="O106" s="167" cm="1">
        <f t="array" ref="O106">IFERROR(_xlfn.IFS(E106="Heavy", 'vehicle E calcs'!$H$33,E106="Cars/vans",'vehicle E calcs'!$H$32),"")</f>
        <v>6.3768270755398833</v>
      </c>
      <c r="P106" s="106">
        <v>200</v>
      </c>
      <c r="Q106" s="108">
        <f t="shared" si="40"/>
        <v>1.2753654151079765</v>
      </c>
      <c r="R106" s="107">
        <f t="shared" si="41"/>
        <v>16.744311331464374</v>
      </c>
      <c r="S106" s="107" cm="1">
        <f t="array" ref="S106">_xlfn.IFS(E106="Heavy", 'vehicle E calcs'!$T$21,E106="Cars/vans",'vehicle E calcs'!$S$21)*O106</f>
        <v>23.354986057632608</v>
      </c>
      <c r="T106" s="109">
        <v>0.27</v>
      </c>
      <c r="U106" s="23">
        <f t="shared" si="42"/>
        <v>6.3058462355608045</v>
      </c>
      <c r="V106" s="23">
        <f t="shared" si="43"/>
        <v>2.6553630878338779</v>
      </c>
      <c r="W106" s="106">
        <f t="shared" si="55"/>
        <v>168</v>
      </c>
      <c r="X106" s="23">
        <f t="shared" si="44"/>
        <v>3.9236376576822782</v>
      </c>
      <c r="Y106" s="96">
        <f t="shared" si="56"/>
        <v>0</v>
      </c>
      <c r="Z106" s="23">
        <f t="shared" si="46"/>
        <v>0</v>
      </c>
      <c r="AA106" s="107">
        <f t="shared" si="47"/>
        <v>12.820673673782096</v>
      </c>
      <c r="AB106" s="23">
        <f t="shared" si="48"/>
        <v>2.0331408656116561</v>
      </c>
      <c r="AD106" s="107">
        <f t="shared" si="49"/>
        <v>2.4531118169551562</v>
      </c>
      <c r="AE106" s="23">
        <f t="shared" si="50"/>
        <v>0</v>
      </c>
      <c r="AF106" s="108">
        <f t="shared" si="51"/>
        <v>0.20225127087872183</v>
      </c>
      <c r="AH106" s="104">
        <f t="shared" si="53"/>
        <v>0.22813830164420221</v>
      </c>
      <c r="AJ106" s="104">
        <f t="shared" si="54"/>
        <v>8.9690943732120623</v>
      </c>
      <c r="AK106" s="23">
        <f t="shared" si="52"/>
        <v>2.0331408656116561</v>
      </c>
    </row>
    <row r="107" spans="1:37" x14ac:dyDescent="0.35">
      <c r="A107" s="23">
        <v>4</v>
      </c>
      <c r="B107" s="118" t="s">
        <v>144</v>
      </c>
      <c r="C107" s="23" t="s">
        <v>139</v>
      </c>
      <c r="D107" s="23" t="s">
        <v>171</v>
      </c>
      <c r="E107" s="23" t="s">
        <v>188</v>
      </c>
      <c r="F107" s="23" t="s">
        <v>83</v>
      </c>
      <c r="G107" s="167">
        <f>'time-factors'!F$37*'time-factors'!B54</f>
        <v>9.7773557847515236E-2</v>
      </c>
      <c r="H107" s="166">
        <f>'time-factors'!N54</f>
        <v>172.79999999999998</v>
      </c>
      <c r="I107" s="96" t="s">
        <v>98</v>
      </c>
      <c r="J107" s="96">
        <f>'time-factors'!S$43</f>
        <v>10</v>
      </c>
      <c r="K107" s="170">
        <f>'time-factors'!M$43</f>
        <v>0.05</v>
      </c>
      <c r="L107" s="173">
        <f t="shared" si="38"/>
        <v>22.378390554030911</v>
      </c>
      <c r="M107" s="170">
        <v>0</v>
      </c>
      <c r="N107" s="96">
        <f t="shared" si="39"/>
        <v>0</v>
      </c>
      <c r="O107" s="167" cm="1">
        <f t="array" ref="O107">IFERROR(_xlfn.IFS(E107="Heavy", 'vehicle E calcs'!$H$33,E107="Cars/vans",'vehicle E calcs'!$H$32),"")</f>
        <v>7.1233383316924828</v>
      </c>
      <c r="P107" s="106">
        <v>200</v>
      </c>
      <c r="Q107" s="108">
        <f t="shared" si="40"/>
        <v>1.4246676663384965</v>
      </c>
      <c r="R107" s="107">
        <f t="shared" si="41"/>
        <v>23.803058220369408</v>
      </c>
      <c r="S107" s="107" cm="1">
        <f t="array" ref="S107">_xlfn.IFS(E107="Heavy", 'vehicle E calcs'!$T$21,E107="Cars/vans",'vehicle E calcs'!$S$21)*O107</f>
        <v>24.362584419881831</v>
      </c>
      <c r="T107" s="109">
        <v>0.27</v>
      </c>
      <c r="U107" s="23">
        <f t="shared" si="42"/>
        <v>6.5778977933680949</v>
      </c>
      <c r="V107" s="23">
        <f t="shared" si="43"/>
        <v>3.6186421510483031</v>
      </c>
      <c r="W107" s="106">
        <f t="shared" si="55"/>
        <v>168</v>
      </c>
      <c r="X107" s="23">
        <f t="shared" si="44"/>
        <v>4.0929141825401478</v>
      </c>
      <c r="Y107" s="96">
        <f t="shared" si="56"/>
        <v>0</v>
      </c>
      <c r="Z107" s="23">
        <f t="shared" si="46"/>
        <v>0</v>
      </c>
      <c r="AA107" s="107">
        <f t="shared" si="47"/>
        <v>19.710144037829259</v>
      </c>
      <c r="AB107" s="23">
        <f t="shared" si="48"/>
        <v>2.9964199288260804</v>
      </c>
      <c r="AD107" s="107">
        <f t="shared" si="49"/>
        <v>3.4020581129419551</v>
      </c>
      <c r="AE107" s="23">
        <f t="shared" si="50"/>
        <v>0</v>
      </c>
      <c r="AF107" s="108">
        <f t="shared" si="51"/>
        <v>0.2165840381063478</v>
      </c>
      <c r="AH107" s="104">
        <f t="shared" si="53"/>
        <v>9.7773557847515236E-2</v>
      </c>
      <c r="AJ107" s="104">
        <f t="shared" si="54"/>
        <v>9.0668679310595781</v>
      </c>
      <c r="AK107" s="23">
        <f t="shared" si="52"/>
        <v>2.9964199288260804</v>
      </c>
    </row>
    <row r="108" spans="1:37" ht="29" x14ac:dyDescent="0.35">
      <c r="A108" s="23">
        <v>7</v>
      </c>
      <c r="B108" s="118" t="s">
        <v>147</v>
      </c>
      <c r="C108" s="23" t="s">
        <v>139</v>
      </c>
      <c r="D108" s="23" t="s">
        <v>171</v>
      </c>
      <c r="E108" s="23" t="s">
        <v>188</v>
      </c>
      <c r="F108" s="23" t="s">
        <v>83</v>
      </c>
      <c r="G108" s="167">
        <f>'time-factors'!F$37*'time-factors'!B57</f>
        <v>0.16295592974585871</v>
      </c>
      <c r="H108" s="166">
        <f>'time-factors'!N57</f>
        <v>172.79999999999998</v>
      </c>
      <c r="I108" s="96" t="s">
        <v>98</v>
      </c>
      <c r="J108" s="96">
        <f>'time-factors'!S$43</f>
        <v>10</v>
      </c>
      <c r="K108" s="170">
        <f>'time-factors'!M$43</f>
        <v>0.05</v>
      </c>
      <c r="L108" s="173">
        <f t="shared" si="38"/>
        <v>22.378390554030911</v>
      </c>
      <c r="M108" s="170">
        <v>0</v>
      </c>
      <c r="N108" s="96">
        <f t="shared" si="39"/>
        <v>0</v>
      </c>
      <c r="O108" s="167" cm="1">
        <f t="array" ref="O108">IFERROR(_xlfn.IFS(E108="Heavy", 'vehicle E calcs'!$H$33,E108="Cars/vans",'vehicle E calcs'!$H$32),"")</f>
        <v>7.1233383316924828</v>
      </c>
      <c r="P108" s="106">
        <v>200</v>
      </c>
      <c r="Q108" s="108">
        <f t="shared" si="40"/>
        <v>1.4246676663384965</v>
      </c>
      <c r="R108" s="107">
        <f t="shared" si="41"/>
        <v>23.803058220369408</v>
      </c>
      <c r="S108" s="107" cm="1">
        <f t="array" ref="S108">_xlfn.IFS(E108="Heavy", 'vehicle E calcs'!$T$21,E108="Cars/vans",'vehicle E calcs'!$S$21)*O108</f>
        <v>24.362584419881831</v>
      </c>
      <c r="T108" s="109">
        <v>0.27</v>
      </c>
      <c r="U108" s="23">
        <f t="shared" si="42"/>
        <v>6.5778977933680949</v>
      </c>
      <c r="V108" s="23">
        <f t="shared" si="43"/>
        <v>3.6186421510483031</v>
      </c>
      <c r="W108" s="106">
        <f t="shared" si="55"/>
        <v>168</v>
      </c>
      <c r="X108" s="23">
        <f t="shared" si="44"/>
        <v>4.0929141825401478</v>
      </c>
      <c r="Y108" s="96">
        <f t="shared" si="56"/>
        <v>0</v>
      </c>
      <c r="Z108" s="23">
        <f t="shared" si="46"/>
        <v>0</v>
      </c>
      <c r="AA108" s="107">
        <f t="shared" si="47"/>
        <v>19.710144037829259</v>
      </c>
      <c r="AB108" s="23">
        <f t="shared" si="48"/>
        <v>2.9964199288260804</v>
      </c>
      <c r="AD108" s="107">
        <f t="shared" si="49"/>
        <v>3.4020581129419551</v>
      </c>
      <c r="AE108" s="23">
        <f t="shared" si="50"/>
        <v>0</v>
      </c>
      <c r="AF108" s="108">
        <f t="shared" si="51"/>
        <v>0.2165840381063478</v>
      </c>
      <c r="AH108" s="104">
        <f t="shared" si="53"/>
        <v>0.16295592974585871</v>
      </c>
      <c r="AJ108" s="104">
        <f t="shared" si="54"/>
        <v>9.2298238608054373</v>
      </c>
      <c r="AK108" s="23">
        <f t="shared" si="52"/>
        <v>2.9964199288260804</v>
      </c>
    </row>
    <row r="109" spans="1:37" x14ac:dyDescent="0.35">
      <c r="A109" s="23">
        <v>9</v>
      </c>
      <c r="B109" s="118" t="s">
        <v>149</v>
      </c>
      <c r="C109" s="23" t="s">
        <v>139</v>
      </c>
      <c r="D109" s="23" t="s">
        <v>171</v>
      </c>
      <c r="E109" s="23" t="s">
        <v>188</v>
      </c>
      <c r="F109" s="23" t="s">
        <v>83</v>
      </c>
      <c r="G109" s="167">
        <f>'time-factors'!F$37*'time-factors'!B59</f>
        <v>6.5182371898343486E-2</v>
      </c>
      <c r="H109" s="166">
        <f>'time-factors'!N59</f>
        <v>172.79999999999998</v>
      </c>
      <c r="I109" s="96" t="s">
        <v>98</v>
      </c>
      <c r="J109" s="96">
        <f>'time-factors'!S$43</f>
        <v>10</v>
      </c>
      <c r="K109" s="170">
        <f>'time-factors'!M$43</f>
        <v>0.05</v>
      </c>
      <c r="L109" s="173">
        <f t="shared" si="38"/>
        <v>22.378390554030911</v>
      </c>
      <c r="M109" s="170">
        <v>0</v>
      </c>
      <c r="N109" s="96">
        <f t="shared" si="39"/>
        <v>0</v>
      </c>
      <c r="O109" s="167" cm="1">
        <f t="array" ref="O109">IFERROR(_xlfn.IFS(E109="Heavy", 'vehicle E calcs'!$H$33,E109="Cars/vans",'vehicle E calcs'!$H$32),"")</f>
        <v>7.1233383316924828</v>
      </c>
      <c r="P109" s="106">
        <v>200</v>
      </c>
      <c r="Q109" s="108">
        <f t="shared" si="40"/>
        <v>1.4246676663384965</v>
      </c>
      <c r="R109" s="107">
        <f t="shared" si="41"/>
        <v>23.803058220369408</v>
      </c>
      <c r="S109" s="107" cm="1">
        <f t="array" ref="S109">_xlfn.IFS(E109="Heavy", 'vehicle E calcs'!$T$21,E109="Cars/vans",'vehicle E calcs'!$S$21)*O109</f>
        <v>24.362584419881831</v>
      </c>
      <c r="T109" s="109">
        <v>0.27</v>
      </c>
      <c r="U109" s="23">
        <f t="shared" si="42"/>
        <v>6.5778977933680949</v>
      </c>
      <c r="V109" s="23">
        <f t="shared" si="43"/>
        <v>3.6186421510483031</v>
      </c>
      <c r="W109" s="106">
        <f t="shared" si="55"/>
        <v>168</v>
      </c>
      <c r="X109" s="23">
        <f t="shared" si="44"/>
        <v>4.0929141825401478</v>
      </c>
      <c r="Y109" s="96">
        <f t="shared" si="56"/>
        <v>0</v>
      </c>
      <c r="Z109" s="23">
        <f t="shared" si="46"/>
        <v>0</v>
      </c>
      <c r="AA109" s="107">
        <f t="shared" si="47"/>
        <v>19.710144037829259</v>
      </c>
      <c r="AB109" s="23">
        <f t="shared" si="48"/>
        <v>2.9964199288260804</v>
      </c>
      <c r="AD109" s="107">
        <f t="shared" si="49"/>
        <v>3.4020581129419551</v>
      </c>
      <c r="AE109" s="23">
        <f t="shared" si="50"/>
        <v>0</v>
      </c>
      <c r="AF109" s="108">
        <f t="shared" si="51"/>
        <v>0.2165840381063478</v>
      </c>
      <c r="AH109" s="104">
        <f t="shared" si="53"/>
        <v>6.5182371898343486E-2</v>
      </c>
      <c r="AJ109" s="104">
        <f t="shared" si="54"/>
        <v>9.2950062327037806</v>
      </c>
      <c r="AK109" s="23">
        <f t="shared" si="52"/>
        <v>2.9964199288260804</v>
      </c>
    </row>
    <row r="110" spans="1:37" x14ac:dyDescent="0.35">
      <c r="A110" s="23">
        <v>15</v>
      </c>
      <c r="B110" s="118" t="s">
        <v>153</v>
      </c>
      <c r="C110" s="23" t="s">
        <v>139</v>
      </c>
      <c r="D110" s="23" t="s">
        <v>171</v>
      </c>
      <c r="E110" s="23" t="s">
        <v>188</v>
      </c>
      <c r="F110" s="23" t="s">
        <v>83</v>
      </c>
      <c r="G110" s="167">
        <f>'time-factors'!F$37*'time-factors'!B65</f>
        <v>0.10429179503734959</v>
      </c>
      <c r="H110" s="166">
        <f>'time-factors'!N65</f>
        <v>172.79999999999998</v>
      </c>
      <c r="I110" s="96" t="s">
        <v>98</v>
      </c>
      <c r="J110" s="96">
        <f>'time-factors'!S$43</f>
        <v>10</v>
      </c>
      <c r="K110" s="170">
        <f>'time-factors'!M$43</f>
        <v>0.05</v>
      </c>
      <c r="L110" s="173">
        <f t="shared" si="38"/>
        <v>22.378390554030911</v>
      </c>
      <c r="M110" s="170">
        <v>0</v>
      </c>
      <c r="N110" s="96">
        <f t="shared" si="39"/>
        <v>0</v>
      </c>
      <c r="O110" s="167" cm="1">
        <f t="array" ref="O110">IFERROR(_xlfn.IFS(E110="Heavy", 'vehicle E calcs'!$H$33,E110="Cars/vans",'vehicle E calcs'!$H$32),"")</f>
        <v>7.1233383316924828</v>
      </c>
      <c r="P110" s="106">
        <v>200</v>
      </c>
      <c r="Q110" s="108">
        <f t="shared" si="40"/>
        <v>1.4246676663384965</v>
      </c>
      <c r="R110" s="107">
        <f t="shared" si="41"/>
        <v>23.803058220369408</v>
      </c>
      <c r="S110" s="107" cm="1">
        <f t="array" ref="S110">_xlfn.IFS(E110="Heavy", 'vehicle E calcs'!$T$21,E110="Cars/vans",'vehicle E calcs'!$S$21)*O110</f>
        <v>24.362584419881831</v>
      </c>
      <c r="T110" s="109">
        <v>0.27</v>
      </c>
      <c r="U110" s="23">
        <f t="shared" si="42"/>
        <v>6.5778977933680949</v>
      </c>
      <c r="V110" s="23">
        <f t="shared" si="43"/>
        <v>3.6186421510483031</v>
      </c>
      <c r="W110" s="106">
        <f t="shared" si="55"/>
        <v>168</v>
      </c>
      <c r="X110" s="23">
        <f t="shared" si="44"/>
        <v>4.0929141825401478</v>
      </c>
      <c r="Y110" s="96">
        <f t="shared" si="56"/>
        <v>0</v>
      </c>
      <c r="Z110" s="23">
        <f t="shared" si="46"/>
        <v>0</v>
      </c>
      <c r="AA110" s="107">
        <f t="shared" si="47"/>
        <v>19.710144037829259</v>
      </c>
      <c r="AB110" s="23">
        <f t="shared" si="48"/>
        <v>2.9964199288260804</v>
      </c>
      <c r="AD110" s="107">
        <f t="shared" si="49"/>
        <v>3.4020581129419551</v>
      </c>
      <c r="AE110" s="23">
        <f t="shared" si="50"/>
        <v>0</v>
      </c>
      <c r="AF110" s="108">
        <f t="shared" si="51"/>
        <v>0.2165840381063478</v>
      </c>
      <c r="AH110" s="104">
        <f t="shared" si="53"/>
        <v>0.10429179503734959</v>
      </c>
      <c r="AJ110" s="104">
        <f t="shared" si="54"/>
        <v>9.3992980277411302</v>
      </c>
      <c r="AK110" s="23">
        <f t="shared" si="52"/>
        <v>2.9964199288260804</v>
      </c>
    </row>
    <row r="111" spans="1:37" x14ac:dyDescent="0.35">
      <c r="A111" s="23">
        <v>3</v>
      </c>
      <c r="B111" s="118" t="s">
        <v>143</v>
      </c>
      <c r="C111" s="23" t="s">
        <v>139</v>
      </c>
      <c r="D111" s="23" t="s">
        <v>171</v>
      </c>
      <c r="E111" s="23" t="s">
        <v>188</v>
      </c>
      <c r="F111" s="23" t="s">
        <v>83</v>
      </c>
      <c r="G111" s="167">
        <f>'time-factors'!F$37*'time-factors'!B53</f>
        <v>0.14340121817635568</v>
      </c>
      <c r="H111" s="166">
        <f>'time-factors'!N53</f>
        <v>182.74799999999999</v>
      </c>
      <c r="I111" s="96" t="s">
        <v>98</v>
      </c>
      <c r="J111" s="96">
        <f>'time-factors'!S$43</f>
        <v>10</v>
      </c>
      <c r="K111" s="170">
        <f>'time-factors'!M$43</f>
        <v>0.05</v>
      </c>
      <c r="L111" s="173">
        <f t="shared" si="38"/>
        <v>23.666702065787273</v>
      </c>
      <c r="M111" s="170">
        <v>0</v>
      </c>
      <c r="N111" s="96">
        <f t="shared" si="39"/>
        <v>0</v>
      </c>
      <c r="O111" s="167" cm="1">
        <f t="array" ref="O111">IFERROR(_xlfn.IFS(E111="Heavy", 'vehicle E calcs'!$H$33,E111="Cars/vans",'vehicle E calcs'!$H$32),"")</f>
        <v>7.1233383316924828</v>
      </c>
      <c r="P111" s="106">
        <v>200</v>
      </c>
      <c r="Q111" s="108">
        <f t="shared" si="40"/>
        <v>1.4246676663384965</v>
      </c>
      <c r="R111" s="107">
        <f t="shared" si="41"/>
        <v>25.09136973212577</v>
      </c>
      <c r="S111" s="107" cm="1">
        <f t="array" ref="S111">_xlfn.IFS(E111="Heavy", 'vehicle E calcs'!$T$21,E111="Cars/vans",'vehicle E calcs'!$S$21)*O111</f>
        <v>24.362584419881831</v>
      </c>
      <c r="T111" s="109">
        <v>0.27</v>
      </c>
      <c r="U111" s="23">
        <f t="shared" si="42"/>
        <v>6.5778977933680949</v>
      </c>
      <c r="V111" s="23">
        <f t="shared" si="43"/>
        <v>3.8144967465780861</v>
      </c>
      <c r="W111" s="106">
        <f t="shared" si="55"/>
        <v>168</v>
      </c>
      <c r="X111" s="23">
        <f t="shared" si="44"/>
        <v>4.0929141825401478</v>
      </c>
      <c r="Y111" s="96">
        <f t="shared" si="56"/>
        <v>0</v>
      </c>
      <c r="Z111" s="23">
        <f t="shared" si="46"/>
        <v>0</v>
      </c>
      <c r="AA111" s="107">
        <f t="shared" si="47"/>
        <v>20.998455549585621</v>
      </c>
      <c r="AB111" s="23">
        <f t="shared" si="48"/>
        <v>3.1922745243558639</v>
      </c>
      <c r="AD111" s="107">
        <f t="shared" si="49"/>
        <v>3.5979127084717382</v>
      </c>
      <c r="AE111" s="23">
        <f t="shared" si="50"/>
        <v>0</v>
      </c>
      <c r="AF111" s="108">
        <f t="shared" si="51"/>
        <v>0.2165840381063478</v>
      </c>
      <c r="AH111" s="104">
        <f t="shared" si="53"/>
        <v>0.14340121817635568</v>
      </c>
      <c r="AJ111" s="104">
        <f t="shared" si="54"/>
        <v>9.5426992459174862</v>
      </c>
      <c r="AK111" s="23">
        <f t="shared" si="52"/>
        <v>3.1922745243558639</v>
      </c>
    </row>
    <row r="112" spans="1:37" x14ac:dyDescent="0.35">
      <c r="A112" s="23">
        <v>2</v>
      </c>
      <c r="B112" s="118" t="s">
        <v>142</v>
      </c>
      <c r="C112" s="23" t="s">
        <v>139</v>
      </c>
      <c r="D112" s="23" t="s">
        <v>171</v>
      </c>
      <c r="E112" s="23" t="s">
        <v>128</v>
      </c>
      <c r="F112" s="23" t="s">
        <v>83</v>
      </c>
      <c r="G112" s="167">
        <f>'time-factors'!F$37*'time-factors'!B52</f>
        <v>0.19554711569503047</v>
      </c>
      <c r="H112" s="166">
        <f>'time-factors'!N52</f>
        <v>182.74799999999999</v>
      </c>
      <c r="I112" s="96" t="s">
        <v>98</v>
      </c>
      <c r="J112" s="96">
        <f>'time-factors'!S$43</f>
        <v>10</v>
      </c>
      <c r="K112" s="170">
        <f>'time-factors'!M$43</f>
        <v>0.05</v>
      </c>
      <c r="L112" s="173">
        <f t="shared" si="38"/>
        <v>23.666702065787273</v>
      </c>
      <c r="M112" s="170">
        <v>0</v>
      </c>
      <c r="N112" s="96">
        <f t="shared" si="39"/>
        <v>0</v>
      </c>
      <c r="O112" s="167" cm="1">
        <f t="array" ref="O112">IFERROR(_xlfn.IFS(E112="Heavy", 'vehicle E calcs'!$H$33,E112="Cars/vans",'vehicle E calcs'!$H$32),"")</f>
        <v>6.3768270755398833</v>
      </c>
      <c r="P112" s="106">
        <v>200</v>
      </c>
      <c r="Q112" s="108">
        <f t="shared" si="40"/>
        <v>1.2753654151079765</v>
      </c>
      <c r="R112" s="107">
        <f t="shared" si="41"/>
        <v>24.94206748089525</v>
      </c>
      <c r="S112" s="107" cm="1">
        <f t="array" ref="S112">_xlfn.IFS(E112="Heavy", 'vehicle E calcs'!$T$21,E112="Cars/vans",'vehicle E calcs'!$S$21)*O112</f>
        <v>23.354986057632608</v>
      </c>
      <c r="T112" s="109">
        <v>0.27</v>
      </c>
      <c r="U112" s="23">
        <f t="shared" si="42"/>
        <v>6.3058462355608045</v>
      </c>
      <c r="V112" s="23">
        <f t="shared" si="43"/>
        <v>3.955387833632618</v>
      </c>
      <c r="W112" s="106">
        <f t="shared" si="55"/>
        <v>168</v>
      </c>
      <c r="X112" s="23">
        <f t="shared" si="44"/>
        <v>3.9236376576822782</v>
      </c>
      <c r="Y112" s="96">
        <f t="shared" si="56"/>
        <v>0</v>
      </c>
      <c r="Z112" s="23">
        <f t="shared" si="46"/>
        <v>0</v>
      </c>
      <c r="AA112" s="107">
        <f t="shared" si="47"/>
        <v>21.018429823212973</v>
      </c>
      <c r="AB112" s="23">
        <f t="shared" si="48"/>
        <v>3.3331656114103958</v>
      </c>
      <c r="AD112" s="107">
        <f t="shared" si="49"/>
        <v>3.7531365627538964</v>
      </c>
      <c r="AE112" s="23">
        <f t="shared" si="50"/>
        <v>0</v>
      </c>
      <c r="AF112" s="108">
        <f t="shared" si="51"/>
        <v>0.20225127087872183</v>
      </c>
      <c r="AH112" s="104">
        <f t="shared" si="53"/>
        <v>0.19554711569503047</v>
      </c>
      <c r="AJ112" s="104">
        <f t="shared" si="54"/>
        <v>9.7382463616125161</v>
      </c>
      <c r="AK112" s="23">
        <f t="shared" si="52"/>
        <v>3.3331656114103958</v>
      </c>
    </row>
    <row r="113" spans="1:37" x14ac:dyDescent="0.35">
      <c r="A113" s="23">
        <v>17</v>
      </c>
      <c r="B113" s="118" t="s">
        <v>143</v>
      </c>
      <c r="C113" s="23" t="s">
        <v>156</v>
      </c>
      <c r="D113" s="23" t="s">
        <v>171</v>
      </c>
      <c r="E113" s="23" t="s">
        <v>188</v>
      </c>
      <c r="F113" s="23" t="s">
        <v>83</v>
      </c>
      <c r="G113" s="167">
        <f>'time-factors'!F$37*'time-factors'!B67</f>
        <v>0.13036474379668697</v>
      </c>
      <c r="H113" s="166">
        <f>'time-factors'!N67</f>
        <v>184.79999999999998</v>
      </c>
      <c r="I113" s="96" t="s">
        <v>98</v>
      </c>
      <c r="J113" s="96">
        <f>'time-factors'!S$44</f>
        <v>10</v>
      </c>
      <c r="K113" s="170">
        <f>'time-factors'!M$44</f>
        <v>0.05</v>
      </c>
      <c r="L113" s="173">
        <f t="shared" si="38"/>
        <v>23.932445453616388</v>
      </c>
      <c r="M113" s="170">
        <v>0</v>
      </c>
      <c r="N113" s="96">
        <f t="shared" si="39"/>
        <v>0</v>
      </c>
      <c r="O113" s="167" cm="1">
        <f t="array" ref="O113">IFERROR(_xlfn.IFS(E113="Heavy", 'vehicle E calcs'!$H$33,E113="Cars/vans",'vehicle E calcs'!$H$32),"")</f>
        <v>7.1233383316924828</v>
      </c>
      <c r="P113" s="106">
        <v>300</v>
      </c>
      <c r="Q113" s="108">
        <f t="shared" si="40"/>
        <v>2.1370014995077451</v>
      </c>
      <c r="R113" s="107">
        <f t="shared" si="41"/>
        <v>26.069446953124135</v>
      </c>
      <c r="S113" s="107" cm="1">
        <f t="array" ref="S113">_xlfn.IFS(E113="Heavy", 'vehicle E calcs'!$T$21,E113="Cars/vans",'vehicle E calcs'!$S$21)*O113</f>
        <v>24.362584419881831</v>
      </c>
      <c r="T113" s="109">
        <v>0.27</v>
      </c>
      <c r="U113" s="23">
        <f t="shared" si="42"/>
        <v>6.5778977933680949</v>
      </c>
      <c r="V113" s="23">
        <f t="shared" si="43"/>
        <v>3.9631882057224459</v>
      </c>
      <c r="W113" s="106">
        <f t="shared" si="55"/>
        <v>168</v>
      </c>
      <c r="X113" s="23">
        <f t="shared" si="44"/>
        <v>4.0929141825401478</v>
      </c>
      <c r="Y113" s="96">
        <f t="shared" si="56"/>
        <v>0</v>
      </c>
      <c r="Z113" s="23">
        <f t="shared" si="46"/>
        <v>0</v>
      </c>
      <c r="AA113" s="107">
        <f t="shared" si="47"/>
        <v>21.976532770583987</v>
      </c>
      <c r="AB113" s="23">
        <f t="shared" si="48"/>
        <v>3.3409659835002232</v>
      </c>
      <c r="AD113" s="107">
        <f t="shared" si="49"/>
        <v>3.6383121485629237</v>
      </c>
      <c r="AE113" s="23">
        <f t="shared" si="50"/>
        <v>0</v>
      </c>
      <c r="AF113" s="108">
        <f t="shared" si="51"/>
        <v>0.32487605715952173</v>
      </c>
      <c r="AH113" s="104">
        <f t="shared" si="53"/>
        <v>0.13036474379668697</v>
      </c>
      <c r="AJ113" s="104">
        <f t="shared" si="54"/>
        <v>9.8686111054092027</v>
      </c>
      <c r="AK113" s="23">
        <f t="shared" si="52"/>
        <v>3.3409659835002232</v>
      </c>
    </row>
    <row r="114" spans="1:37" x14ac:dyDescent="0.35">
      <c r="A114" s="23">
        <v>18</v>
      </c>
      <c r="B114" s="119" t="s">
        <v>148</v>
      </c>
      <c r="C114" s="23" t="s">
        <v>156</v>
      </c>
      <c r="D114" s="23" t="s">
        <v>171</v>
      </c>
      <c r="E114" s="23" t="s">
        <v>188</v>
      </c>
      <c r="F114" s="23" t="s">
        <v>83</v>
      </c>
      <c r="G114" s="167">
        <f>'time-factors'!F$37*'time-factors'!B68</f>
        <v>0.13036474379668697</v>
      </c>
      <c r="H114" s="166">
        <f>'time-factors'!N68</f>
        <v>184.79999999999998</v>
      </c>
      <c r="I114" s="96" t="s">
        <v>98</v>
      </c>
      <c r="J114" s="96">
        <f>'time-factors'!S$44</f>
        <v>10</v>
      </c>
      <c r="K114" s="170">
        <f>'time-factors'!M$44</f>
        <v>0.05</v>
      </c>
      <c r="L114" s="173">
        <f t="shared" si="38"/>
        <v>23.932445453616388</v>
      </c>
      <c r="M114" s="170">
        <v>0</v>
      </c>
      <c r="N114" s="96">
        <f t="shared" si="39"/>
        <v>0</v>
      </c>
      <c r="O114" s="167" cm="1">
        <f t="array" ref="O114">IFERROR(_xlfn.IFS(E114="Heavy", 'vehicle E calcs'!$H$33,E114="Cars/vans",'vehicle E calcs'!$H$32),"")</f>
        <v>7.1233383316924828</v>
      </c>
      <c r="P114" s="106">
        <v>300</v>
      </c>
      <c r="Q114" s="108">
        <f t="shared" si="40"/>
        <v>2.1370014995077451</v>
      </c>
      <c r="R114" s="107">
        <f t="shared" si="41"/>
        <v>26.069446953124135</v>
      </c>
      <c r="S114" s="107" cm="1">
        <f t="array" ref="S114">_xlfn.IFS(E114="Heavy", 'vehicle E calcs'!$T$21,E114="Cars/vans",'vehicle E calcs'!$S$21)*O114</f>
        <v>24.362584419881831</v>
      </c>
      <c r="T114" s="109">
        <v>0.27</v>
      </c>
      <c r="U114" s="23">
        <f t="shared" si="42"/>
        <v>6.5778977933680949</v>
      </c>
      <c r="V114" s="23">
        <f t="shared" si="43"/>
        <v>3.9631882057224459</v>
      </c>
      <c r="W114" s="106">
        <f t="shared" si="55"/>
        <v>168</v>
      </c>
      <c r="X114" s="23">
        <f t="shared" si="44"/>
        <v>4.0929141825401478</v>
      </c>
      <c r="Y114" s="96">
        <f t="shared" si="56"/>
        <v>0</v>
      </c>
      <c r="Z114" s="23">
        <f t="shared" si="46"/>
        <v>0</v>
      </c>
      <c r="AA114" s="107">
        <f t="shared" si="47"/>
        <v>21.976532770583987</v>
      </c>
      <c r="AB114" s="23">
        <f t="shared" si="48"/>
        <v>3.3409659835002232</v>
      </c>
      <c r="AD114" s="107">
        <f t="shared" si="49"/>
        <v>3.6383121485629237</v>
      </c>
      <c r="AE114" s="23">
        <f t="shared" si="50"/>
        <v>0</v>
      </c>
      <c r="AF114" s="108">
        <f t="shared" si="51"/>
        <v>0.32487605715952173</v>
      </c>
      <c r="AH114" s="104">
        <f t="shared" si="53"/>
        <v>0.13036474379668697</v>
      </c>
      <c r="AJ114" s="104">
        <f t="shared" si="54"/>
        <v>9.9989758492058893</v>
      </c>
      <c r="AK114" s="23">
        <f t="shared" si="52"/>
        <v>3.3409659835002232</v>
      </c>
    </row>
    <row r="115" spans="1:37" x14ac:dyDescent="0.35">
      <c r="A115" s="23">
        <v>5</v>
      </c>
      <c r="B115" s="118" t="s">
        <v>145</v>
      </c>
      <c r="C115" s="23" t="s">
        <v>139</v>
      </c>
      <c r="D115" s="23" t="s">
        <v>171</v>
      </c>
      <c r="E115" s="23" t="s">
        <v>188</v>
      </c>
      <c r="F115" s="23" t="s">
        <v>83</v>
      </c>
      <c r="G115" s="167">
        <f>'time-factors'!F$37*'time-factors'!B55</f>
        <v>0.13688298098652132</v>
      </c>
      <c r="H115" s="166">
        <f>'time-factors'!N55</f>
        <v>295.2</v>
      </c>
      <c r="I115" s="96" t="s">
        <v>98</v>
      </c>
      <c r="J115" s="96">
        <f>'time-factors'!S$43</f>
        <v>10</v>
      </c>
      <c r="K115" s="170">
        <f>'time-factors'!M$43</f>
        <v>0.05</v>
      </c>
      <c r="L115" s="173">
        <f t="shared" si="38"/>
        <v>38.229750529802807</v>
      </c>
      <c r="M115" s="170">
        <v>0</v>
      </c>
      <c r="N115" s="96">
        <f t="shared" si="39"/>
        <v>0</v>
      </c>
      <c r="O115" s="167" cm="1">
        <f t="array" ref="O115">IFERROR(_xlfn.IFS(E115="Heavy", 'vehicle E calcs'!$H$33,E115="Cars/vans",'vehicle E calcs'!$H$32),"")</f>
        <v>7.1233383316924828</v>
      </c>
      <c r="P115" s="106">
        <v>200</v>
      </c>
      <c r="Q115" s="108">
        <f t="shared" si="40"/>
        <v>1.4246676663384965</v>
      </c>
      <c r="R115" s="107">
        <f t="shared" si="41"/>
        <v>39.6544181961413</v>
      </c>
      <c r="S115" s="107" cm="1">
        <f t="array" ref="S115">_xlfn.IFS(E115="Heavy", 'vehicle E calcs'!$T$21,E115="Cars/vans",'vehicle E calcs'!$S$21)*O115</f>
        <v>24.362584419881831</v>
      </c>
      <c r="T115" s="109">
        <v>0.27</v>
      </c>
      <c r="U115" s="23">
        <f t="shared" si="42"/>
        <v>6.5778977933680949</v>
      </c>
      <c r="V115" s="23">
        <f t="shared" si="43"/>
        <v>6.0284333143821875</v>
      </c>
      <c r="W115" s="106">
        <f t="shared" si="55"/>
        <v>168</v>
      </c>
      <c r="X115" s="23">
        <f t="shared" si="44"/>
        <v>4.0929141825401478</v>
      </c>
      <c r="Y115" s="96">
        <f t="shared" si="56"/>
        <v>0</v>
      </c>
      <c r="Z115" s="23">
        <f t="shared" si="46"/>
        <v>0</v>
      </c>
      <c r="AA115" s="107">
        <f t="shared" si="47"/>
        <v>35.561504013601152</v>
      </c>
      <c r="AB115" s="23">
        <f t="shared" si="48"/>
        <v>5.4062110921599649</v>
      </c>
      <c r="AD115" s="107">
        <f t="shared" si="49"/>
        <v>5.81184927627584</v>
      </c>
      <c r="AE115" s="23">
        <f t="shared" si="50"/>
        <v>0</v>
      </c>
      <c r="AF115" s="108">
        <f t="shared" si="51"/>
        <v>0.2165840381063478</v>
      </c>
      <c r="AH115" s="104">
        <f t="shared" si="53"/>
        <v>0.13688298098652132</v>
      </c>
      <c r="AJ115" s="104">
        <f t="shared" si="54"/>
        <v>10.135858830192412</v>
      </c>
      <c r="AK115" s="23">
        <f t="shared" si="52"/>
        <v>5.4062110921599649</v>
      </c>
    </row>
    <row r="116" spans="1:37" x14ac:dyDescent="0.35">
      <c r="A116" s="23">
        <v>8</v>
      </c>
      <c r="B116" s="119" t="s">
        <v>148</v>
      </c>
      <c r="C116" s="23" t="s">
        <v>139</v>
      </c>
      <c r="D116" s="23" t="s">
        <v>171</v>
      </c>
      <c r="E116" s="23" t="s">
        <v>188</v>
      </c>
      <c r="F116" s="23" t="s">
        <v>83</v>
      </c>
      <c r="G116" s="167">
        <f>'time-factors'!F$37*'time-factors'!B58</f>
        <v>9.7773557847515236E-2</v>
      </c>
      <c r="H116" s="166">
        <f>'time-factors'!N58</f>
        <v>295.2</v>
      </c>
      <c r="I116" s="96" t="s">
        <v>98</v>
      </c>
      <c r="J116" s="96">
        <f>'time-factors'!S$43</f>
        <v>10</v>
      </c>
      <c r="K116" s="170">
        <f>'time-factors'!M$43</f>
        <v>0.05</v>
      </c>
      <c r="L116" s="173">
        <f t="shared" si="38"/>
        <v>38.229750529802807</v>
      </c>
      <c r="M116" s="170">
        <v>0</v>
      </c>
      <c r="N116" s="96">
        <f t="shared" si="39"/>
        <v>0</v>
      </c>
      <c r="O116" s="167" cm="1">
        <f t="array" ref="O116">IFERROR(_xlfn.IFS(E116="Heavy", 'vehicle E calcs'!$H$33,E116="Cars/vans",'vehicle E calcs'!$H$32),"")</f>
        <v>7.1233383316924828</v>
      </c>
      <c r="P116" s="106">
        <v>200</v>
      </c>
      <c r="Q116" s="108">
        <f t="shared" si="40"/>
        <v>1.4246676663384965</v>
      </c>
      <c r="R116" s="107">
        <f t="shared" si="41"/>
        <v>39.6544181961413</v>
      </c>
      <c r="S116" s="107" cm="1">
        <f t="array" ref="S116">_xlfn.IFS(E116="Heavy", 'vehicle E calcs'!$T$21,E116="Cars/vans",'vehicle E calcs'!$S$21)*O116</f>
        <v>24.362584419881831</v>
      </c>
      <c r="T116" s="109">
        <v>0.27</v>
      </c>
      <c r="U116" s="23">
        <f t="shared" si="42"/>
        <v>6.5778977933680949</v>
      </c>
      <c r="V116" s="23">
        <f t="shared" si="43"/>
        <v>6.0284333143821875</v>
      </c>
      <c r="W116" s="106">
        <f t="shared" si="55"/>
        <v>168</v>
      </c>
      <c r="X116" s="23">
        <f t="shared" si="44"/>
        <v>4.0929141825401478</v>
      </c>
      <c r="Y116" s="96">
        <f t="shared" si="56"/>
        <v>0</v>
      </c>
      <c r="Z116" s="23">
        <f t="shared" si="46"/>
        <v>0</v>
      </c>
      <c r="AA116" s="107">
        <f t="shared" si="47"/>
        <v>35.561504013601152</v>
      </c>
      <c r="AB116" s="23">
        <f t="shared" si="48"/>
        <v>5.4062110921599649</v>
      </c>
      <c r="AD116" s="107">
        <f t="shared" si="49"/>
        <v>5.81184927627584</v>
      </c>
      <c r="AE116" s="23">
        <f t="shared" si="50"/>
        <v>0</v>
      </c>
      <c r="AF116" s="108">
        <f t="shared" si="51"/>
        <v>0.2165840381063478</v>
      </c>
      <c r="AH116" s="104">
        <f t="shared" si="53"/>
        <v>9.7773557847515236E-2</v>
      </c>
      <c r="AJ116" s="104">
        <f t="shared" si="54"/>
        <v>10.233632388039927</v>
      </c>
      <c r="AK116" s="23">
        <f t="shared" si="52"/>
        <v>5.4062110921599649</v>
      </c>
    </row>
    <row r="117" spans="1:37" x14ac:dyDescent="0.35">
      <c r="A117" s="23">
        <v>10</v>
      </c>
      <c r="B117" s="118" t="s">
        <v>58</v>
      </c>
      <c r="C117" s="23" t="s">
        <v>139</v>
      </c>
      <c r="D117" s="23" t="s">
        <v>171</v>
      </c>
      <c r="E117" s="23" t="s">
        <v>188</v>
      </c>
      <c r="F117" s="23" t="s">
        <v>83</v>
      </c>
      <c r="G117" s="167">
        <f>'time-factors'!F$37*'time-factors'!B60</f>
        <v>0.13036474379668697</v>
      </c>
      <c r="H117" s="166">
        <f>'time-factors'!N60</f>
        <v>465.59999999999997</v>
      </c>
      <c r="I117" s="96" t="s">
        <v>98</v>
      </c>
      <c r="J117" s="96">
        <f>'time-factors'!S$43</f>
        <v>10</v>
      </c>
      <c r="K117" s="170">
        <f>'time-factors'!M$43</f>
        <v>0.05</v>
      </c>
      <c r="L117" s="173">
        <f t="shared" si="38"/>
        <v>60.297330103916615</v>
      </c>
      <c r="M117" s="170">
        <v>0</v>
      </c>
      <c r="N117" s="96">
        <f t="shared" si="39"/>
        <v>0</v>
      </c>
      <c r="O117" s="167" cm="1">
        <f t="array" ref="O117">IFERROR(_xlfn.IFS(E117="Heavy", 'vehicle E calcs'!$H$33,E117="Cars/vans",'vehicle E calcs'!$H$32),"")</f>
        <v>7.1233383316924828</v>
      </c>
      <c r="P117" s="106">
        <v>200</v>
      </c>
      <c r="Q117" s="108">
        <f t="shared" si="40"/>
        <v>1.4246676663384965</v>
      </c>
      <c r="R117" s="107">
        <f t="shared" si="41"/>
        <v>61.721997770255108</v>
      </c>
      <c r="S117" s="107" cm="1">
        <f t="array" ref="S117">_xlfn.IFS(E117="Heavy", 'vehicle E calcs'!$T$21,E117="Cars/vans",'vehicle E calcs'!$S$21)*O117</f>
        <v>24.362584419881831</v>
      </c>
      <c r="T117" s="109">
        <v>0.27</v>
      </c>
      <c r="U117" s="23">
        <f t="shared" si="42"/>
        <v>6.5778977933680949</v>
      </c>
      <c r="V117" s="23">
        <f t="shared" si="43"/>
        <v>9.3832406201999472</v>
      </c>
      <c r="W117" s="106">
        <f t="shared" si="55"/>
        <v>168</v>
      </c>
      <c r="X117" s="23">
        <f t="shared" si="44"/>
        <v>4.0929141825401478</v>
      </c>
      <c r="Y117" s="96">
        <f t="shared" si="56"/>
        <v>0</v>
      </c>
      <c r="Z117" s="23">
        <f t="shared" si="46"/>
        <v>0</v>
      </c>
      <c r="AA117" s="107">
        <f t="shared" si="47"/>
        <v>57.629083587714959</v>
      </c>
      <c r="AB117" s="23">
        <f t="shared" si="48"/>
        <v>8.7610183979777254</v>
      </c>
      <c r="AD117" s="107">
        <f t="shared" si="49"/>
        <v>9.1666565820935997</v>
      </c>
      <c r="AE117" s="23">
        <f t="shared" si="50"/>
        <v>0</v>
      </c>
      <c r="AF117" s="108">
        <f t="shared" si="51"/>
        <v>0.2165840381063478</v>
      </c>
      <c r="AH117" s="104">
        <f t="shared" si="53"/>
        <v>0.13036474379668697</v>
      </c>
      <c r="AJ117" s="104">
        <f t="shared" si="54"/>
        <v>10.363997131836614</v>
      </c>
      <c r="AK117" s="23">
        <f t="shared" si="52"/>
        <v>8.7610183979777254</v>
      </c>
    </row>
    <row r="118" spans="1:37" x14ac:dyDescent="0.35">
      <c r="A118" s="23">
        <v>14</v>
      </c>
      <c r="B118" s="118" t="s">
        <v>152</v>
      </c>
      <c r="C118" s="23" t="s">
        <v>139</v>
      </c>
      <c r="D118" s="23" t="s">
        <v>171</v>
      </c>
      <c r="E118" s="23" t="s">
        <v>188</v>
      </c>
      <c r="F118" s="23" t="s">
        <v>83</v>
      </c>
      <c r="G118" s="167">
        <f>'time-factors'!F$37*'time-factors'!B64</f>
        <v>8.473708346784653E-2</v>
      </c>
      <c r="H118" s="166">
        <f>'time-factors'!N64</f>
        <v>465.59999999999997</v>
      </c>
      <c r="I118" s="96" t="s">
        <v>98</v>
      </c>
      <c r="J118" s="96">
        <f>'time-factors'!S$43</f>
        <v>10</v>
      </c>
      <c r="K118" s="170">
        <f>'time-factors'!M$43</f>
        <v>0.05</v>
      </c>
      <c r="L118" s="173">
        <f t="shared" si="38"/>
        <v>60.297330103916615</v>
      </c>
      <c r="M118" s="170">
        <v>0</v>
      </c>
      <c r="N118" s="96">
        <f t="shared" si="39"/>
        <v>0</v>
      </c>
      <c r="O118" s="167" cm="1">
        <f t="array" ref="O118">IFERROR(_xlfn.IFS(E118="Heavy", 'vehicle E calcs'!$H$33,E118="Cars/vans",'vehicle E calcs'!$H$32),"")</f>
        <v>7.1233383316924828</v>
      </c>
      <c r="P118" s="106">
        <v>200</v>
      </c>
      <c r="Q118" s="108">
        <f t="shared" si="40"/>
        <v>1.4246676663384965</v>
      </c>
      <c r="R118" s="107">
        <f t="shared" si="41"/>
        <v>61.721997770255108</v>
      </c>
      <c r="S118" s="107" cm="1">
        <f t="array" ref="S118">_xlfn.IFS(E118="Heavy", 'vehicle E calcs'!$T$21,E118="Cars/vans",'vehicle E calcs'!$S$21)*O118</f>
        <v>24.362584419881831</v>
      </c>
      <c r="T118" s="109">
        <v>0.27</v>
      </c>
      <c r="U118" s="23">
        <f t="shared" si="42"/>
        <v>6.5778977933680949</v>
      </c>
      <c r="V118" s="23">
        <f t="shared" si="43"/>
        <v>9.3832406201999472</v>
      </c>
      <c r="W118" s="106">
        <f t="shared" si="55"/>
        <v>168</v>
      </c>
      <c r="X118" s="23">
        <f t="shared" si="44"/>
        <v>4.0929141825401478</v>
      </c>
      <c r="Y118" s="96">
        <f t="shared" si="56"/>
        <v>0</v>
      </c>
      <c r="Z118" s="23">
        <f t="shared" si="46"/>
        <v>0</v>
      </c>
      <c r="AA118" s="107">
        <f t="shared" si="47"/>
        <v>57.629083587714959</v>
      </c>
      <c r="AB118" s="23">
        <f t="shared" si="48"/>
        <v>8.7610183979777254</v>
      </c>
      <c r="AD118" s="107">
        <f t="shared" si="49"/>
        <v>9.1666565820935997</v>
      </c>
      <c r="AE118" s="23">
        <f t="shared" si="50"/>
        <v>0</v>
      </c>
      <c r="AF118" s="108">
        <f t="shared" si="51"/>
        <v>0.2165840381063478</v>
      </c>
      <c r="AH118" s="104">
        <f t="shared" si="53"/>
        <v>8.473708346784653E-2</v>
      </c>
      <c r="AJ118" s="104">
        <f t="shared" si="54"/>
        <v>10.44873421530446</v>
      </c>
      <c r="AK118" s="23">
        <f t="shared" si="52"/>
        <v>8.7610183979777254</v>
      </c>
    </row>
    <row r="119" spans="1:37" x14ac:dyDescent="0.35">
      <c r="B119" s="122"/>
      <c r="C119" s="24"/>
      <c r="D119" s="24"/>
      <c r="E119" s="24"/>
      <c r="F119" s="131" t="s">
        <v>50</v>
      </c>
      <c r="G119" s="179">
        <f>SUM(G94:G118)</f>
        <v>10.44873421530446</v>
      </c>
      <c r="H119" s="96"/>
      <c r="I119" s="96"/>
      <c r="J119" s="96"/>
      <c r="K119" s="96"/>
      <c r="L119" s="96"/>
      <c r="M119" s="96"/>
      <c r="N119" s="96"/>
      <c r="O119" s="96"/>
    </row>
    <row r="120" spans="1:37" x14ac:dyDescent="0.35">
      <c r="B120" s="122"/>
      <c r="C120" s="24"/>
      <c r="D120" s="24"/>
      <c r="E120" s="24"/>
      <c r="F120" s="24"/>
      <c r="G120" s="96"/>
      <c r="H120" s="96"/>
      <c r="I120" s="96"/>
      <c r="J120" s="96"/>
      <c r="K120" s="96"/>
      <c r="L120" s="96"/>
      <c r="M120" s="96"/>
      <c r="N120" s="96"/>
      <c r="O120" s="96"/>
    </row>
    <row r="121" spans="1:37" x14ac:dyDescent="0.35">
      <c r="B121" s="123"/>
      <c r="C121" s="125"/>
      <c r="F121" s="24"/>
      <c r="G121" s="96"/>
      <c r="H121" s="96"/>
      <c r="I121" s="96"/>
      <c r="J121" s="96"/>
      <c r="K121" s="96"/>
      <c r="L121" s="96"/>
      <c r="M121" s="96"/>
      <c r="N121" s="96"/>
      <c r="O121" s="96"/>
    </row>
    <row r="122" spans="1:37" x14ac:dyDescent="0.35">
      <c r="B122" s="123"/>
      <c r="C122" s="125"/>
      <c r="G122" s="96"/>
      <c r="H122" s="96"/>
      <c r="I122" s="96"/>
      <c r="J122" s="96"/>
      <c r="K122" s="96"/>
      <c r="L122" s="96"/>
      <c r="M122" s="96"/>
      <c r="N122" s="96"/>
      <c r="O122" s="96"/>
    </row>
    <row r="123" spans="1:37" x14ac:dyDescent="0.35">
      <c r="B123" s="96"/>
      <c r="C123" s="96"/>
      <c r="G123" s="96"/>
      <c r="H123" s="96"/>
      <c r="I123" s="96"/>
      <c r="J123" s="96"/>
      <c r="K123" s="96"/>
      <c r="L123" s="96"/>
      <c r="M123" s="96"/>
      <c r="N123" s="96"/>
      <c r="O123" s="96"/>
    </row>
    <row r="124" spans="1:37" x14ac:dyDescent="0.35">
      <c r="B124" s="96"/>
      <c r="C124" s="96"/>
      <c r="G124" s="96"/>
      <c r="H124" s="96"/>
      <c r="I124" s="96"/>
      <c r="J124" s="96"/>
      <c r="K124" s="96"/>
      <c r="L124" s="96"/>
      <c r="M124" s="96"/>
      <c r="N124" s="96"/>
      <c r="O124" s="96"/>
    </row>
    <row r="125" spans="1:37" x14ac:dyDescent="0.35">
      <c r="G125" s="96"/>
      <c r="H125" s="96"/>
      <c r="I125" s="96"/>
      <c r="J125" s="96"/>
      <c r="K125" s="96"/>
      <c r="L125" s="96"/>
      <c r="M125" s="96"/>
      <c r="N125" s="96"/>
      <c r="O125" s="96"/>
    </row>
    <row r="126" spans="1:37" x14ac:dyDescent="0.35">
      <c r="G126" s="96"/>
      <c r="H126" s="96"/>
      <c r="I126" s="96"/>
      <c r="J126" s="96"/>
      <c r="K126" s="96"/>
      <c r="L126" s="96"/>
      <c r="M126" s="96"/>
      <c r="N126" s="96"/>
      <c r="O126" s="96"/>
    </row>
    <row r="127" spans="1:37" x14ac:dyDescent="0.35">
      <c r="G127" s="96"/>
      <c r="H127" s="96"/>
      <c r="I127" s="96"/>
      <c r="J127" s="96"/>
      <c r="K127" s="96"/>
      <c r="L127" s="96"/>
      <c r="M127" s="96"/>
      <c r="N127" s="96"/>
      <c r="O127" s="96"/>
    </row>
    <row r="128" spans="1:37" x14ac:dyDescent="0.35">
      <c r="O128" s="96"/>
    </row>
    <row r="129" spans="1:37" x14ac:dyDescent="0.35">
      <c r="O129" s="96"/>
    </row>
    <row r="130" spans="1:37" x14ac:dyDescent="0.35">
      <c r="O130" s="96"/>
    </row>
    <row r="131" spans="1:37" x14ac:dyDescent="0.35">
      <c r="O131" s="96"/>
    </row>
    <row r="132" spans="1:37" x14ac:dyDescent="0.35">
      <c r="O132" s="96"/>
    </row>
    <row r="133" spans="1:37" x14ac:dyDescent="0.35">
      <c r="O133" s="96"/>
    </row>
    <row r="134" spans="1:37" x14ac:dyDescent="0.35">
      <c r="O134" s="96"/>
    </row>
    <row r="135" spans="1:37" x14ac:dyDescent="0.35">
      <c r="A135" s="132"/>
      <c r="B135" s="132"/>
      <c r="C135" s="132"/>
      <c r="D135" s="132"/>
      <c r="E135" s="132"/>
      <c r="F135" s="132"/>
      <c r="G135" s="132"/>
      <c r="H135" s="132"/>
      <c r="I135" s="132"/>
      <c r="J135" s="132"/>
      <c r="K135" s="132"/>
      <c r="L135" s="132"/>
      <c r="M135" s="132"/>
      <c r="N135" s="132"/>
      <c r="O135" s="96"/>
      <c r="P135" s="132"/>
      <c r="Q135" s="132"/>
      <c r="R135" s="132"/>
      <c r="S135" s="132"/>
      <c r="T135" s="132"/>
      <c r="U135" s="132"/>
      <c r="V135" s="132"/>
      <c r="W135" s="132"/>
      <c r="X135" s="132"/>
      <c r="Y135" s="132"/>
      <c r="Z135" s="132"/>
      <c r="AA135" s="132"/>
      <c r="AB135" s="132"/>
      <c r="AC135" s="132"/>
      <c r="AD135" s="132"/>
      <c r="AE135" s="132"/>
      <c r="AF135" s="132"/>
      <c r="AG135" s="132"/>
      <c r="AH135" s="132"/>
      <c r="AI135" s="132"/>
      <c r="AJ135" s="132"/>
      <c r="AK135" s="132"/>
    </row>
    <row r="136" spans="1:37" ht="21" x14ac:dyDescent="0.5">
      <c r="B136" s="134" t="s">
        <v>280</v>
      </c>
      <c r="C136" s="136">
        <f>C91</f>
        <v>2040</v>
      </c>
      <c r="O136" s="96"/>
      <c r="W136" s="23" t="s">
        <v>202</v>
      </c>
      <c r="AB136" s="95"/>
    </row>
    <row r="137" spans="1:37" x14ac:dyDescent="0.35">
      <c r="H137" s="96"/>
      <c r="O137" s="96"/>
      <c r="T137" s="99" t="s">
        <v>138</v>
      </c>
      <c r="W137" s="99">
        <v>1.7</v>
      </c>
      <c r="X137" s="23" t="s">
        <v>174</v>
      </c>
      <c r="Z137" s="100">
        <v>0</v>
      </c>
      <c r="AA137" s="23" t="s">
        <v>175</v>
      </c>
      <c r="AC137" s="101">
        <v>0</v>
      </c>
    </row>
    <row r="138" spans="1:37" ht="72.5" x14ac:dyDescent="0.35">
      <c r="B138" s="102" t="s">
        <v>173</v>
      </c>
      <c r="C138" s="103" t="s">
        <v>95</v>
      </c>
      <c r="D138" s="103" t="s">
        <v>172</v>
      </c>
      <c r="E138" s="103" t="s">
        <v>231</v>
      </c>
      <c r="F138" s="103" t="s">
        <v>96</v>
      </c>
      <c r="G138" s="103" t="s">
        <v>205</v>
      </c>
      <c r="H138" s="103" t="s">
        <v>99</v>
      </c>
      <c r="I138" s="103" t="s">
        <v>97</v>
      </c>
      <c r="J138" s="103" t="s">
        <v>100</v>
      </c>
      <c r="K138" s="103" t="s">
        <v>101</v>
      </c>
      <c r="L138" s="103" t="s">
        <v>102</v>
      </c>
      <c r="M138" s="103" t="s">
        <v>129</v>
      </c>
      <c r="N138" s="103" t="s">
        <v>130</v>
      </c>
      <c r="O138" s="176" t="s">
        <v>132</v>
      </c>
      <c r="P138" s="103" t="s">
        <v>133</v>
      </c>
      <c r="Q138" s="103" t="s">
        <v>131</v>
      </c>
      <c r="R138" s="117" t="s">
        <v>136</v>
      </c>
      <c r="S138" s="103" t="s">
        <v>135</v>
      </c>
      <c r="T138" s="103" t="s">
        <v>134</v>
      </c>
      <c r="U138" s="103" t="s">
        <v>103</v>
      </c>
      <c r="V138" s="117" t="s">
        <v>108</v>
      </c>
      <c r="W138" s="103" t="s">
        <v>199</v>
      </c>
      <c r="X138" s="103" t="s">
        <v>104</v>
      </c>
      <c r="Y138" s="103" t="s">
        <v>105</v>
      </c>
      <c r="Z138" s="103" t="s">
        <v>106</v>
      </c>
      <c r="AA138" s="103" t="s">
        <v>137</v>
      </c>
      <c r="AB138" s="117" t="s">
        <v>107</v>
      </c>
      <c r="AD138" s="103" t="s">
        <v>167</v>
      </c>
      <c r="AE138" s="103" t="s">
        <v>168</v>
      </c>
      <c r="AF138" s="103" t="s">
        <v>169</v>
      </c>
      <c r="AJ138" s="103" t="s">
        <v>177</v>
      </c>
      <c r="AK138" s="103" t="s">
        <v>176</v>
      </c>
    </row>
    <row r="139" spans="1:37" x14ac:dyDescent="0.35">
      <c r="A139" s="23">
        <v>20</v>
      </c>
      <c r="B139" s="120" t="s">
        <v>162</v>
      </c>
      <c r="C139" s="111" t="s">
        <v>157</v>
      </c>
      <c r="D139" s="111" t="s">
        <v>170</v>
      </c>
      <c r="E139" s="111"/>
      <c r="F139" s="111" t="s">
        <v>158</v>
      </c>
      <c r="G139" s="108">
        <f>'time-factors'!F$38*'time-factors'!B70</f>
        <v>1.4088050314465408E-2</v>
      </c>
      <c r="H139" s="105">
        <f>'time-factors'!N70</f>
        <v>0.09</v>
      </c>
      <c r="I139" s="111" t="s">
        <v>166</v>
      </c>
      <c r="J139" s="96">
        <f>'time-factors'!S$46</f>
        <v>20</v>
      </c>
      <c r="K139" s="170">
        <f>'time-factors'!M$46</f>
        <v>0.05</v>
      </c>
      <c r="L139" s="114">
        <f t="shared" ref="L139:L163" si="57">PMT(K139,J139,-H139)</f>
        <v>7.2218328471622189E-3</v>
      </c>
      <c r="M139" s="47">
        <v>0.02</v>
      </c>
      <c r="N139" s="111">
        <f t="shared" ref="N139:N163" si="58">M139*H139</f>
        <v>1.8E-3</v>
      </c>
      <c r="O139" s="168">
        <v>1.5</v>
      </c>
      <c r="P139" s="111">
        <v>200</v>
      </c>
      <c r="Q139" s="115">
        <f t="shared" ref="Q139:Q163" si="59">P139*O139*0.001</f>
        <v>0.3</v>
      </c>
      <c r="R139" s="114">
        <f t="shared" ref="R139:R163" si="60">L139+N139+Q139</f>
        <v>0.30902183284716223</v>
      </c>
      <c r="S139" s="114">
        <f>2*O139</f>
        <v>3</v>
      </c>
      <c r="T139" s="114">
        <v>0.1</v>
      </c>
      <c r="U139" s="111">
        <f t="shared" ref="U139:U163" si="61">T139*S139</f>
        <v>0.30000000000000004</v>
      </c>
      <c r="V139" s="111">
        <f t="shared" ref="V139:V163" si="62">R139/U139</f>
        <v>1.0300727761572073</v>
      </c>
      <c r="W139" s="111">
        <v>200</v>
      </c>
      <c r="X139" s="111">
        <f t="shared" ref="X139:X163" si="63">W139*S139*0.001</f>
        <v>0.6</v>
      </c>
      <c r="Y139" s="111">
        <f t="shared" ref="Y139:Y145" si="64">$AC$2</f>
        <v>0</v>
      </c>
      <c r="Z139" s="111">
        <f t="shared" ref="Z139:Z163" si="65">Y139*U139</f>
        <v>0</v>
      </c>
      <c r="AA139" s="114">
        <f t="shared" ref="AA139:AA163" si="66">R139-X139-Z139</f>
        <v>-0.29097816715283775</v>
      </c>
      <c r="AB139" s="111">
        <f t="shared" ref="AB139:AB163" si="67">AA139/U139</f>
        <v>-0.9699272238427924</v>
      </c>
      <c r="AD139" s="107">
        <f t="shared" ref="AD139:AD163" si="68">L139/U139</f>
        <v>2.4072776157207394E-2</v>
      </c>
      <c r="AE139" s="23">
        <f t="shared" ref="AE139:AE163" si="69">N139/U139</f>
        <v>5.9999999999999993E-3</v>
      </c>
      <c r="AF139" s="108">
        <f t="shared" ref="AF139:AF163" si="70">Q139/U139</f>
        <v>0.99999999999999978</v>
      </c>
      <c r="AH139" s="104">
        <f>G139</f>
        <v>1.4088050314465408E-2</v>
      </c>
      <c r="AJ139" s="104">
        <f>AH139</f>
        <v>1.4088050314465408E-2</v>
      </c>
      <c r="AK139" s="23">
        <f t="shared" ref="AK139:AK163" si="71">AB139</f>
        <v>-0.9699272238427924</v>
      </c>
    </row>
    <row r="140" spans="1:37" x14ac:dyDescent="0.35">
      <c r="A140" s="23">
        <v>21</v>
      </c>
      <c r="B140" s="120" t="s">
        <v>160</v>
      </c>
      <c r="C140" s="48" t="s">
        <v>163</v>
      </c>
      <c r="D140" s="111" t="s">
        <v>170</v>
      </c>
      <c r="E140" s="111"/>
      <c r="F140" s="48" t="s">
        <v>158</v>
      </c>
      <c r="G140" s="108">
        <f>'time-factors'!F$38*'time-factors'!B71</f>
        <v>2.5828092243186582E-2</v>
      </c>
      <c r="H140" s="105">
        <f>'time-factors'!N71</f>
        <v>0.15</v>
      </c>
      <c r="I140" s="111" t="s">
        <v>166</v>
      </c>
      <c r="J140" s="96">
        <f>'time-factors'!S$46</f>
        <v>20</v>
      </c>
      <c r="K140" s="170">
        <f>'time-factors'!M$46</f>
        <v>0.05</v>
      </c>
      <c r="L140" s="114">
        <f t="shared" si="57"/>
        <v>1.2036388078603697E-2</v>
      </c>
      <c r="M140" s="47">
        <v>0.02</v>
      </c>
      <c r="N140" s="111">
        <f t="shared" si="58"/>
        <v>3.0000000000000001E-3</v>
      </c>
      <c r="O140" s="168">
        <v>4.4000000000000004</v>
      </c>
      <c r="P140" s="111">
        <v>200</v>
      </c>
      <c r="Q140" s="115">
        <f t="shared" si="59"/>
        <v>0.88000000000000012</v>
      </c>
      <c r="R140" s="114">
        <f t="shared" si="60"/>
        <v>0.89503638807860386</v>
      </c>
      <c r="S140" s="114">
        <f>1.2*O140</f>
        <v>5.28</v>
      </c>
      <c r="T140" s="114">
        <v>0.1</v>
      </c>
      <c r="U140" s="111">
        <f t="shared" si="61"/>
        <v>0.52800000000000002</v>
      </c>
      <c r="V140" s="111">
        <f t="shared" si="62"/>
        <v>1.695144674391295</v>
      </c>
      <c r="W140" s="111">
        <v>200</v>
      </c>
      <c r="X140" s="111">
        <f t="shared" si="63"/>
        <v>1.056</v>
      </c>
      <c r="Y140" s="111">
        <f t="shared" si="64"/>
        <v>0</v>
      </c>
      <c r="Z140" s="111">
        <f t="shared" si="65"/>
        <v>0</v>
      </c>
      <c r="AA140" s="114">
        <f t="shared" si="66"/>
        <v>-0.16096361192139619</v>
      </c>
      <c r="AB140" s="111">
        <f t="shared" si="67"/>
        <v>-0.30485532560870487</v>
      </c>
      <c r="AD140" s="107">
        <f t="shared" si="68"/>
        <v>2.2796189542810031E-2</v>
      </c>
      <c r="AE140" s="23">
        <f t="shared" si="69"/>
        <v>5.681818181818182E-3</v>
      </c>
      <c r="AF140" s="108">
        <f t="shared" si="70"/>
        <v>1.6666666666666667</v>
      </c>
      <c r="AH140" s="104">
        <f t="shared" ref="AH140:AH163" si="72">G140</f>
        <v>2.5828092243186582E-2</v>
      </c>
      <c r="AJ140" s="104">
        <f>AJ139+AH140</f>
        <v>3.9916142557651989E-2</v>
      </c>
      <c r="AK140" s="23">
        <f t="shared" si="71"/>
        <v>-0.30485532560870487</v>
      </c>
    </row>
    <row r="141" spans="1:37" ht="29" x14ac:dyDescent="0.35">
      <c r="A141" s="23">
        <v>22</v>
      </c>
      <c r="B141" s="120" t="s">
        <v>161</v>
      </c>
      <c r="C141" s="48" t="s">
        <v>163</v>
      </c>
      <c r="D141" s="111" t="s">
        <v>170</v>
      </c>
      <c r="E141" s="111"/>
      <c r="F141" s="48" t="s">
        <v>158</v>
      </c>
      <c r="G141" s="108">
        <f>'time-factors'!F$38*'time-factors'!B72</f>
        <v>1.4088050314465408E-2</v>
      </c>
      <c r="H141" s="105">
        <f>'time-factors'!N72</f>
        <v>0.3</v>
      </c>
      <c r="I141" s="111" t="s">
        <v>166</v>
      </c>
      <c r="J141" s="96">
        <f>'time-factors'!S$46</f>
        <v>20</v>
      </c>
      <c r="K141" s="170">
        <f>'time-factors'!M$46</f>
        <v>0.05</v>
      </c>
      <c r="L141" s="114">
        <f t="shared" si="57"/>
        <v>2.4072776157207394E-2</v>
      </c>
      <c r="M141" s="47">
        <v>0.02</v>
      </c>
      <c r="N141" s="111">
        <f t="shared" si="58"/>
        <v>6.0000000000000001E-3</v>
      </c>
      <c r="O141" s="168">
        <v>4.4000000000000004</v>
      </c>
      <c r="P141" s="111">
        <v>200</v>
      </c>
      <c r="Q141" s="115">
        <f t="shared" si="59"/>
        <v>0.88000000000000012</v>
      </c>
      <c r="R141" s="114">
        <f t="shared" si="60"/>
        <v>0.9100727761572075</v>
      </c>
      <c r="S141" s="114">
        <f>1.2*O141</f>
        <v>5.28</v>
      </c>
      <c r="T141" s="114">
        <v>0.1</v>
      </c>
      <c r="U141" s="111">
        <f t="shared" si="61"/>
        <v>0.52800000000000002</v>
      </c>
      <c r="V141" s="111">
        <f t="shared" si="62"/>
        <v>1.7236226821159233</v>
      </c>
      <c r="W141" s="111">
        <v>200</v>
      </c>
      <c r="X141" s="111">
        <f t="shared" si="63"/>
        <v>1.056</v>
      </c>
      <c r="Y141" s="111">
        <f t="shared" si="64"/>
        <v>0</v>
      </c>
      <c r="Z141" s="111">
        <f t="shared" si="65"/>
        <v>0</v>
      </c>
      <c r="AA141" s="114">
        <f t="shared" si="66"/>
        <v>-0.14592722384279255</v>
      </c>
      <c r="AB141" s="111">
        <f t="shared" si="67"/>
        <v>-0.27637731788407677</v>
      </c>
      <c r="AD141" s="107">
        <f t="shared" si="68"/>
        <v>4.5592379085620062E-2</v>
      </c>
      <c r="AE141" s="23">
        <f t="shared" si="69"/>
        <v>1.1363636363636364E-2</v>
      </c>
      <c r="AF141" s="108">
        <f t="shared" si="70"/>
        <v>1.6666666666666667</v>
      </c>
      <c r="AH141" s="104">
        <f t="shared" si="72"/>
        <v>1.4088050314465408E-2</v>
      </c>
      <c r="AJ141" s="104">
        <f t="shared" ref="AJ141:AJ163" si="73">AJ140+AH141</f>
        <v>5.4004192872117399E-2</v>
      </c>
      <c r="AK141" s="23">
        <f t="shared" si="71"/>
        <v>-0.27637731788407677</v>
      </c>
    </row>
    <row r="142" spans="1:37" x14ac:dyDescent="0.35">
      <c r="A142" s="23">
        <v>24</v>
      </c>
      <c r="B142" s="120" t="s">
        <v>165</v>
      </c>
      <c r="C142" s="120" t="s">
        <v>165</v>
      </c>
      <c r="D142" s="111" t="s">
        <v>170</v>
      </c>
      <c r="E142" s="111"/>
      <c r="F142" s="48" t="s">
        <v>158</v>
      </c>
      <c r="G142" s="108">
        <f>'time-factors'!F$38*'time-factors'!B74</f>
        <v>9.3920335429769387E-3</v>
      </c>
      <c r="H142" s="105">
        <f>'time-factors'!N74</f>
        <v>0.3</v>
      </c>
      <c r="I142" s="111" t="s">
        <v>166</v>
      </c>
      <c r="J142" s="96">
        <f>'time-factors'!S$46</f>
        <v>20</v>
      </c>
      <c r="K142" s="170">
        <f>'time-factors'!M$46</f>
        <v>0.05</v>
      </c>
      <c r="L142" s="114">
        <f t="shared" si="57"/>
        <v>2.4072776157207394E-2</v>
      </c>
      <c r="M142" s="47">
        <v>0.02</v>
      </c>
      <c r="N142" s="111">
        <f t="shared" si="58"/>
        <v>6.0000000000000001E-3</v>
      </c>
      <c r="O142" s="168">
        <v>4.4000000000000004</v>
      </c>
      <c r="P142" s="111">
        <v>200</v>
      </c>
      <c r="Q142" s="115">
        <f t="shared" si="59"/>
        <v>0.88000000000000012</v>
      </c>
      <c r="R142" s="114">
        <f t="shared" si="60"/>
        <v>0.9100727761572075</v>
      </c>
      <c r="S142" s="114">
        <f>1.2*O142</f>
        <v>5.28</v>
      </c>
      <c r="T142" s="114">
        <v>0.1</v>
      </c>
      <c r="U142" s="111">
        <f t="shared" si="61"/>
        <v>0.52800000000000002</v>
      </c>
      <c r="V142" s="111">
        <f t="shared" si="62"/>
        <v>1.7236226821159233</v>
      </c>
      <c r="W142" s="111">
        <v>200</v>
      </c>
      <c r="X142" s="111">
        <f t="shared" si="63"/>
        <v>1.056</v>
      </c>
      <c r="Y142" s="111">
        <f t="shared" si="64"/>
        <v>0</v>
      </c>
      <c r="Z142" s="111">
        <f t="shared" si="65"/>
        <v>0</v>
      </c>
      <c r="AA142" s="114">
        <f t="shared" si="66"/>
        <v>-0.14592722384279255</v>
      </c>
      <c r="AB142" s="111">
        <f t="shared" si="67"/>
        <v>-0.27637731788407677</v>
      </c>
      <c r="AD142" s="107">
        <f t="shared" si="68"/>
        <v>4.5592379085620062E-2</v>
      </c>
      <c r="AE142" s="23">
        <f t="shared" si="69"/>
        <v>1.1363636363636364E-2</v>
      </c>
      <c r="AF142" s="108">
        <f t="shared" si="70"/>
        <v>1.6666666666666667</v>
      </c>
      <c r="AH142" s="104">
        <f t="shared" si="72"/>
        <v>9.3920335429769387E-3</v>
      </c>
      <c r="AJ142" s="104">
        <f t="shared" si="73"/>
        <v>6.3396226415094334E-2</v>
      </c>
      <c r="AK142" s="23">
        <f t="shared" si="71"/>
        <v>-0.27637731788407677</v>
      </c>
    </row>
    <row r="143" spans="1:37" x14ac:dyDescent="0.35">
      <c r="A143" s="23">
        <v>23</v>
      </c>
      <c r="B143" s="120" t="s">
        <v>164</v>
      </c>
      <c r="C143" s="48" t="s">
        <v>163</v>
      </c>
      <c r="D143" s="111" t="s">
        <v>170</v>
      </c>
      <c r="E143" s="111"/>
      <c r="F143" s="48" t="s">
        <v>158</v>
      </c>
      <c r="G143" s="108">
        <f>'time-factors'!F$38*'time-factors'!B73</f>
        <v>2.3480083857442345E-2</v>
      </c>
      <c r="H143" s="105">
        <f>'time-factors'!N73</f>
        <v>0.6</v>
      </c>
      <c r="I143" s="111" t="s">
        <v>166</v>
      </c>
      <c r="J143" s="96">
        <f>'time-factors'!S$46</f>
        <v>20</v>
      </c>
      <c r="K143" s="170">
        <f>'time-factors'!M$46</f>
        <v>0.05</v>
      </c>
      <c r="L143" s="114">
        <f t="shared" si="57"/>
        <v>4.8145552314414787E-2</v>
      </c>
      <c r="M143" s="47">
        <v>0.02</v>
      </c>
      <c r="N143" s="111">
        <f t="shared" si="58"/>
        <v>1.2E-2</v>
      </c>
      <c r="O143" s="168">
        <v>4.4000000000000004</v>
      </c>
      <c r="P143" s="111">
        <v>200</v>
      </c>
      <c r="Q143" s="115">
        <f t="shared" si="59"/>
        <v>0.88000000000000012</v>
      </c>
      <c r="R143" s="114">
        <f t="shared" si="60"/>
        <v>0.94014555231441488</v>
      </c>
      <c r="S143" s="114">
        <f>1.2*O143</f>
        <v>5.28</v>
      </c>
      <c r="T143" s="114">
        <v>0.1</v>
      </c>
      <c r="U143" s="111">
        <f t="shared" si="61"/>
        <v>0.52800000000000002</v>
      </c>
      <c r="V143" s="111">
        <f t="shared" si="62"/>
        <v>1.7805786975651796</v>
      </c>
      <c r="W143" s="111">
        <v>200</v>
      </c>
      <c r="X143" s="111">
        <f t="shared" si="63"/>
        <v>1.056</v>
      </c>
      <c r="Y143" s="111">
        <f t="shared" si="64"/>
        <v>0</v>
      </c>
      <c r="Z143" s="111">
        <f t="shared" si="65"/>
        <v>0</v>
      </c>
      <c r="AA143" s="114">
        <f t="shared" si="66"/>
        <v>-0.11585444768558517</v>
      </c>
      <c r="AB143" s="111">
        <f t="shared" si="67"/>
        <v>-0.21942130243482039</v>
      </c>
      <c r="AD143" s="107">
        <f t="shared" si="68"/>
        <v>9.1184758171240124E-2</v>
      </c>
      <c r="AE143" s="23">
        <f t="shared" si="69"/>
        <v>2.2727272727272728E-2</v>
      </c>
      <c r="AF143" s="108">
        <f t="shared" si="70"/>
        <v>1.6666666666666667</v>
      </c>
      <c r="AH143" s="104">
        <f t="shared" si="72"/>
        <v>2.3480083857442345E-2</v>
      </c>
      <c r="AJ143" s="104">
        <f t="shared" si="73"/>
        <v>8.6876310272536672E-2</v>
      </c>
      <c r="AK143" s="23">
        <f t="shared" si="71"/>
        <v>-0.21942130243482039</v>
      </c>
    </row>
    <row r="144" spans="1:37" x14ac:dyDescent="0.35">
      <c r="A144" s="23">
        <v>19</v>
      </c>
      <c r="B144" s="120" t="s">
        <v>140</v>
      </c>
      <c r="C144" s="111" t="s">
        <v>157</v>
      </c>
      <c r="D144" s="111" t="s">
        <v>170</v>
      </c>
      <c r="E144" s="111"/>
      <c r="F144" s="111" t="s">
        <v>159</v>
      </c>
      <c r="G144" s="108">
        <f>'time-factors'!F$38*'time-factors'!B69</f>
        <v>2.9350104821802933E-2</v>
      </c>
      <c r="H144" s="105">
        <f>'time-factors'!N69</f>
        <v>1.2</v>
      </c>
      <c r="I144" s="111" t="s">
        <v>166</v>
      </c>
      <c r="J144" s="96">
        <f>'time-factors'!S$45</f>
        <v>15</v>
      </c>
      <c r="K144" s="170">
        <f>'time-factors'!M$45</f>
        <v>0.05</v>
      </c>
      <c r="L144" s="114">
        <f t="shared" si="57"/>
        <v>0.11561074513109325</v>
      </c>
      <c r="M144" s="47">
        <v>0</v>
      </c>
      <c r="N144" s="111">
        <f t="shared" si="58"/>
        <v>0</v>
      </c>
      <c r="O144" s="168">
        <v>2.63</v>
      </c>
      <c r="P144" s="111">
        <v>200</v>
      </c>
      <c r="Q144" s="115">
        <f t="shared" si="59"/>
        <v>0.52600000000000002</v>
      </c>
      <c r="R144" s="114">
        <f t="shared" si="60"/>
        <v>0.64161074513109329</v>
      </c>
      <c r="S144" s="114">
        <f>3.5*O144</f>
        <v>9.2050000000000001</v>
      </c>
      <c r="T144" s="114">
        <v>0.18</v>
      </c>
      <c r="U144" s="111">
        <f t="shared" si="61"/>
        <v>1.6569</v>
      </c>
      <c r="V144" s="111">
        <f t="shared" si="62"/>
        <v>0.38723564797579413</v>
      </c>
      <c r="W144" s="116">
        <v>103</v>
      </c>
      <c r="X144" s="111">
        <f t="shared" si="63"/>
        <v>0.94811500000000004</v>
      </c>
      <c r="Y144" s="111">
        <f t="shared" si="64"/>
        <v>0</v>
      </c>
      <c r="Z144" s="111">
        <f t="shared" si="65"/>
        <v>0</v>
      </c>
      <c r="AA144" s="114">
        <f t="shared" si="66"/>
        <v>-0.30650425486890676</v>
      </c>
      <c r="AB144" s="111">
        <f t="shared" si="67"/>
        <v>-0.18498657424642811</v>
      </c>
      <c r="AD144" s="107">
        <f t="shared" si="68"/>
        <v>6.9775330515476644E-2</v>
      </c>
      <c r="AE144" s="23">
        <f t="shared" si="69"/>
        <v>0</v>
      </c>
      <c r="AF144" s="108">
        <f t="shared" si="70"/>
        <v>0.31746031746031744</v>
      </c>
      <c r="AH144" s="104">
        <f t="shared" si="72"/>
        <v>2.9350104821802933E-2</v>
      </c>
      <c r="AJ144" s="104">
        <f t="shared" si="73"/>
        <v>0.11622641509433961</v>
      </c>
      <c r="AK144" s="23">
        <f t="shared" si="71"/>
        <v>-0.18498657424642811</v>
      </c>
    </row>
    <row r="145" spans="1:37" ht="29" x14ac:dyDescent="0.35">
      <c r="A145" s="23">
        <v>25</v>
      </c>
      <c r="B145" s="121" t="s">
        <v>204</v>
      </c>
      <c r="C145" s="24" t="s">
        <v>41</v>
      </c>
      <c r="D145" s="24" t="s">
        <v>198</v>
      </c>
      <c r="E145" s="24"/>
      <c r="F145" s="24" t="s">
        <v>203</v>
      </c>
      <c r="G145" s="108">
        <f>'time-factors'!F$38*'time-factors'!B75</f>
        <v>2.9350104821802933E-2</v>
      </c>
      <c r="H145" s="105">
        <f>'time-factors'!N75</f>
        <v>2.4599999999999995</v>
      </c>
      <c r="I145" s="53" t="s">
        <v>166</v>
      </c>
      <c r="J145" s="96">
        <f>'time-factors'!S$47</f>
        <v>10</v>
      </c>
      <c r="K145" s="170">
        <f>'time-factors'!M$47</f>
        <v>0.05</v>
      </c>
      <c r="L145" s="55">
        <f t="shared" si="57"/>
        <v>0.31858125441502333</v>
      </c>
      <c r="M145" s="54">
        <v>0</v>
      </c>
      <c r="N145" s="53">
        <f t="shared" si="58"/>
        <v>0</v>
      </c>
      <c r="O145" s="53">
        <v>2.2000000000000002</v>
      </c>
      <c r="P145" s="53">
        <v>200</v>
      </c>
      <c r="Q145" s="56">
        <f t="shared" si="59"/>
        <v>0.44000000000000006</v>
      </c>
      <c r="R145" s="55">
        <f t="shared" si="60"/>
        <v>0.75858125441502344</v>
      </c>
      <c r="S145" s="59">
        <f>2*O145</f>
        <v>4.4000000000000004</v>
      </c>
      <c r="T145" s="59">
        <v>0.27</v>
      </c>
      <c r="U145" s="53">
        <f t="shared" si="61"/>
        <v>1.1880000000000002</v>
      </c>
      <c r="V145" s="53">
        <f t="shared" si="62"/>
        <v>0.63853640944025536</v>
      </c>
      <c r="W145" s="53">
        <v>200</v>
      </c>
      <c r="X145" s="57">
        <f t="shared" si="63"/>
        <v>0.88000000000000012</v>
      </c>
      <c r="Y145" s="53">
        <f t="shared" si="64"/>
        <v>0</v>
      </c>
      <c r="Z145" s="53">
        <f t="shared" si="65"/>
        <v>0</v>
      </c>
      <c r="AA145" s="55">
        <f t="shared" si="66"/>
        <v>-0.12141874558497667</v>
      </c>
      <c r="AB145" s="53">
        <f t="shared" si="67"/>
        <v>-0.1022043313004854</v>
      </c>
      <c r="AD145" s="107">
        <f t="shared" si="68"/>
        <v>0.2681660390698849</v>
      </c>
      <c r="AE145" s="23">
        <f t="shared" si="69"/>
        <v>0</v>
      </c>
      <c r="AF145" s="108">
        <f t="shared" si="70"/>
        <v>0.37037037037037035</v>
      </c>
      <c r="AH145" s="104">
        <f t="shared" si="72"/>
        <v>2.9350104821802933E-2</v>
      </c>
      <c r="AJ145" s="104">
        <f t="shared" si="73"/>
        <v>0.14557651991614254</v>
      </c>
      <c r="AK145" s="23">
        <f t="shared" si="71"/>
        <v>-0.1022043313004854</v>
      </c>
    </row>
    <row r="146" spans="1:37" x14ac:dyDescent="0.35">
      <c r="A146" s="23">
        <v>12</v>
      </c>
      <c r="B146" s="118" t="s">
        <v>151</v>
      </c>
      <c r="C146" s="23" t="s">
        <v>139</v>
      </c>
      <c r="D146" s="23" t="s">
        <v>171</v>
      </c>
      <c r="E146" s="23" t="s">
        <v>128</v>
      </c>
      <c r="F146" s="23" t="s">
        <v>83</v>
      </c>
      <c r="G146" s="108">
        <f>'time-factors'!F$38*'time-factors'!B62</f>
        <v>2.3480083857442347E-3</v>
      </c>
      <c r="H146" s="105">
        <f>'time-factors'!N62</f>
        <v>27</v>
      </c>
      <c r="I146" s="106" t="s">
        <v>98</v>
      </c>
      <c r="J146" s="96">
        <f>'time-factors'!S$43</f>
        <v>10</v>
      </c>
      <c r="K146" s="170">
        <f>'time-factors'!M$43</f>
        <v>0.05</v>
      </c>
      <c r="L146" s="107">
        <f t="shared" si="57"/>
        <v>3.49662352406733</v>
      </c>
      <c r="M146" s="3">
        <v>0</v>
      </c>
      <c r="N146" s="23">
        <f t="shared" si="58"/>
        <v>0</v>
      </c>
      <c r="O146" s="167" cm="1">
        <f t="array" ref="O146">IFERROR(_xlfn.IFS(E146="Heavy", 'vehicle E calcs'!$H$33,E146="Cars/vans",'vehicle E calcs'!$H$32),"")</f>
        <v>6.3768270755398833</v>
      </c>
      <c r="P146" s="106">
        <v>200</v>
      </c>
      <c r="Q146" s="108">
        <f t="shared" si="59"/>
        <v>1.2753654151079765</v>
      </c>
      <c r="R146" s="107">
        <f t="shared" si="60"/>
        <v>4.7719889391753068</v>
      </c>
      <c r="S146" s="107" cm="1">
        <f t="array" ref="S146">_xlfn.IFS(E146="Heavy", 'vehicle E calcs'!$T$21,E146="Cars/vans",'vehicle E calcs'!$S$21)*O146</f>
        <v>23.354986057632608</v>
      </c>
      <c r="T146" s="109">
        <v>0.27</v>
      </c>
      <c r="U146" s="23">
        <f t="shared" si="61"/>
        <v>6.3058462355608045</v>
      </c>
      <c r="V146" s="23">
        <f t="shared" si="62"/>
        <v>0.75675631166907364</v>
      </c>
      <c r="W146" s="106">
        <f t="shared" ref="W146:W163" si="74">W$2*105</f>
        <v>168</v>
      </c>
      <c r="X146" s="23">
        <f t="shared" si="63"/>
        <v>3.9236376576822782</v>
      </c>
      <c r="Y146" s="96">
        <f t="shared" ref="Y146:Y163" si="75">$Z$2</f>
        <v>0</v>
      </c>
      <c r="Z146" s="23">
        <f t="shared" si="65"/>
        <v>0</v>
      </c>
      <c r="AA146" s="107">
        <f t="shared" si="66"/>
        <v>0.84835128149302852</v>
      </c>
      <c r="AB146" s="23">
        <f t="shared" si="67"/>
        <v>0.13453408944685141</v>
      </c>
      <c r="AD146" s="107">
        <f t="shared" si="68"/>
        <v>0.55450504079035179</v>
      </c>
      <c r="AE146" s="23">
        <f t="shared" si="69"/>
        <v>0</v>
      </c>
      <c r="AF146" s="108">
        <f t="shared" si="70"/>
        <v>0.20225127087872183</v>
      </c>
      <c r="AH146" s="104">
        <f t="shared" si="72"/>
        <v>2.3480083857442347E-3</v>
      </c>
      <c r="AJ146" s="104">
        <f t="shared" si="73"/>
        <v>0.14792452830188677</v>
      </c>
      <c r="AK146" s="23">
        <f t="shared" si="71"/>
        <v>0.13453408944685141</v>
      </c>
    </row>
    <row r="147" spans="1:37" x14ac:dyDescent="0.35">
      <c r="A147" s="23">
        <v>16</v>
      </c>
      <c r="B147" s="118" t="s">
        <v>154</v>
      </c>
      <c r="C147" s="23" t="s">
        <v>139</v>
      </c>
      <c r="D147" s="23" t="s">
        <v>171</v>
      </c>
      <c r="E147" s="23" t="s">
        <v>128</v>
      </c>
      <c r="F147" s="23" t="s">
        <v>83</v>
      </c>
      <c r="G147" s="108">
        <f>'time-factors'!F$38*'time-factors'!B66</f>
        <v>2.3480083857442347E-3</v>
      </c>
      <c r="H147" s="105">
        <f>'time-factors'!N66</f>
        <v>27</v>
      </c>
      <c r="I147" s="106" t="s">
        <v>98</v>
      </c>
      <c r="J147" s="96">
        <f>'time-factors'!S$43</f>
        <v>10</v>
      </c>
      <c r="K147" s="170">
        <f>'time-factors'!M$43</f>
        <v>0.05</v>
      </c>
      <c r="L147" s="107">
        <f t="shared" si="57"/>
        <v>3.49662352406733</v>
      </c>
      <c r="M147" s="3">
        <v>0</v>
      </c>
      <c r="N147" s="23">
        <f t="shared" si="58"/>
        <v>0</v>
      </c>
      <c r="O147" s="167" cm="1">
        <f t="array" ref="O147">IFERROR(_xlfn.IFS(E147="Heavy", 'vehicle E calcs'!$H$33,E147="Cars/vans",'vehicle E calcs'!$H$32),"")</f>
        <v>6.3768270755398833</v>
      </c>
      <c r="P147" s="106">
        <v>200</v>
      </c>
      <c r="Q147" s="108">
        <f t="shared" si="59"/>
        <v>1.2753654151079765</v>
      </c>
      <c r="R147" s="107">
        <f t="shared" si="60"/>
        <v>4.7719889391753068</v>
      </c>
      <c r="S147" s="107" cm="1">
        <f t="array" ref="S147">_xlfn.IFS(E147="Heavy", 'vehicle E calcs'!$T$21,E147="Cars/vans",'vehicle E calcs'!$S$21)*O147</f>
        <v>23.354986057632608</v>
      </c>
      <c r="T147" s="109">
        <v>0.27</v>
      </c>
      <c r="U147" s="23">
        <f t="shared" si="61"/>
        <v>6.3058462355608045</v>
      </c>
      <c r="V147" s="23">
        <f t="shared" si="62"/>
        <v>0.75675631166907364</v>
      </c>
      <c r="W147" s="106">
        <f t="shared" si="74"/>
        <v>168</v>
      </c>
      <c r="X147" s="23">
        <f t="shared" si="63"/>
        <v>3.9236376576822782</v>
      </c>
      <c r="Y147" s="96">
        <f t="shared" si="75"/>
        <v>0</v>
      </c>
      <c r="Z147" s="23">
        <f t="shared" si="65"/>
        <v>0</v>
      </c>
      <c r="AA147" s="107">
        <f t="shared" si="66"/>
        <v>0.84835128149302852</v>
      </c>
      <c r="AB147" s="23">
        <f t="shared" si="67"/>
        <v>0.13453408944685141</v>
      </c>
      <c r="AD147" s="107">
        <f t="shared" si="68"/>
        <v>0.55450504079035179</v>
      </c>
      <c r="AE147" s="23">
        <f t="shared" si="69"/>
        <v>0</v>
      </c>
      <c r="AF147" s="108">
        <f t="shared" si="70"/>
        <v>0.20225127087872183</v>
      </c>
      <c r="AH147" s="104">
        <f t="shared" si="72"/>
        <v>2.3480083857442347E-3</v>
      </c>
      <c r="AJ147" s="104">
        <f t="shared" si="73"/>
        <v>0.15027253668763099</v>
      </c>
      <c r="AK147" s="23">
        <f t="shared" si="71"/>
        <v>0.13453408944685141</v>
      </c>
    </row>
    <row r="148" spans="1:37" ht="45.5" x14ac:dyDescent="0.35">
      <c r="A148" s="23">
        <v>13</v>
      </c>
      <c r="B148" s="118" t="s">
        <v>232</v>
      </c>
      <c r="C148" s="23" t="s">
        <v>139</v>
      </c>
      <c r="D148" s="23" t="s">
        <v>171</v>
      </c>
      <c r="E148" s="23" t="s">
        <v>188</v>
      </c>
      <c r="F148" s="23" t="s">
        <v>83</v>
      </c>
      <c r="G148" s="108">
        <f>'time-factors'!F$38*'time-factors'!B63</f>
        <v>2.5828092243186584E-3</v>
      </c>
      <c r="H148" s="105">
        <f>'time-factors'!N63</f>
        <v>46.5</v>
      </c>
      <c r="I148" s="106" t="s">
        <v>98</v>
      </c>
      <c r="J148" s="96">
        <f>'time-factors'!S$43</f>
        <v>10</v>
      </c>
      <c r="K148" s="170">
        <f>'time-factors'!M$43</f>
        <v>0.05</v>
      </c>
      <c r="L148" s="107">
        <f t="shared" si="57"/>
        <v>6.0219627358937347</v>
      </c>
      <c r="M148" s="3">
        <v>0</v>
      </c>
      <c r="N148" s="23">
        <f t="shared" si="58"/>
        <v>0</v>
      </c>
      <c r="O148" s="167" cm="1">
        <f t="array" ref="O148">IFERROR(_xlfn.IFS(E148="Heavy", 'vehicle E calcs'!$H$33,E148="Cars/vans",'vehicle E calcs'!$H$32),"")</f>
        <v>7.1233383316924828</v>
      </c>
      <c r="P148" s="106">
        <v>200</v>
      </c>
      <c r="Q148" s="108">
        <f t="shared" si="59"/>
        <v>1.4246676663384965</v>
      </c>
      <c r="R148" s="107">
        <f t="shared" si="60"/>
        <v>7.4466304022322314</v>
      </c>
      <c r="S148" s="107" cm="1">
        <f t="array" ref="S148">_xlfn.IFS(E148="Heavy", 'vehicle E calcs'!$T$21,E148="Cars/vans",'vehicle E calcs'!$S$21)*O148</f>
        <v>24.362584419881831</v>
      </c>
      <c r="T148" s="109">
        <v>0.27</v>
      </c>
      <c r="U148" s="23">
        <f t="shared" si="61"/>
        <v>6.5778977933680949</v>
      </c>
      <c r="V148" s="23">
        <f t="shared" si="62"/>
        <v>1.1320684261376031</v>
      </c>
      <c r="W148" s="106">
        <f t="shared" si="74"/>
        <v>168</v>
      </c>
      <c r="X148" s="23">
        <f t="shared" si="63"/>
        <v>4.0929141825401478</v>
      </c>
      <c r="Y148" s="96">
        <f t="shared" si="75"/>
        <v>0</v>
      </c>
      <c r="Z148" s="23">
        <f t="shared" si="65"/>
        <v>0</v>
      </c>
      <c r="AA148" s="107">
        <f t="shared" si="66"/>
        <v>3.3537162196920836</v>
      </c>
      <c r="AB148" s="23">
        <f t="shared" si="67"/>
        <v>0.50984620391538082</v>
      </c>
      <c r="AD148" s="107">
        <f t="shared" si="68"/>
        <v>0.9154843880312552</v>
      </c>
      <c r="AE148" s="23">
        <f t="shared" si="69"/>
        <v>0</v>
      </c>
      <c r="AF148" s="108">
        <f t="shared" si="70"/>
        <v>0.2165840381063478</v>
      </c>
      <c r="AH148" s="104">
        <f t="shared" si="72"/>
        <v>2.5828092243186584E-3</v>
      </c>
      <c r="AJ148" s="104">
        <f t="shared" si="73"/>
        <v>0.15285534591194966</v>
      </c>
      <c r="AK148" s="23">
        <f t="shared" si="71"/>
        <v>0.50984620391538082</v>
      </c>
    </row>
    <row r="149" spans="1:37" x14ac:dyDescent="0.35">
      <c r="A149" s="23">
        <v>11</v>
      </c>
      <c r="B149" s="118" t="s">
        <v>150</v>
      </c>
      <c r="C149" s="23" t="s">
        <v>139</v>
      </c>
      <c r="D149" s="23" t="s">
        <v>171</v>
      </c>
      <c r="E149" s="23" t="s">
        <v>128</v>
      </c>
      <c r="F149" s="23" t="s">
        <v>83</v>
      </c>
      <c r="G149" s="108">
        <f>'time-factors'!F$38*'time-factors'!B61</f>
        <v>1.1740041928721173E-3</v>
      </c>
      <c r="H149" s="105">
        <f>'time-factors'!N61</f>
        <v>46.5</v>
      </c>
      <c r="I149" s="106" t="s">
        <v>98</v>
      </c>
      <c r="J149" s="96">
        <f>'time-factors'!S$43</f>
        <v>10</v>
      </c>
      <c r="K149" s="170">
        <f>'time-factors'!M$43</f>
        <v>0.05</v>
      </c>
      <c r="L149" s="107">
        <f t="shared" si="57"/>
        <v>6.0219627358937347</v>
      </c>
      <c r="M149" s="3">
        <v>0</v>
      </c>
      <c r="N149" s="23">
        <f t="shared" si="58"/>
        <v>0</v>
      </c>
      <c r="O149" s="167" cm="1">
        <f t="array" ref="O149">IFERROR(_xlfn.IFS(E149="Heavy", 'vehicle E calcs'!$H$33,E149="Cars/vans",'vehicle E calcs'!$H$32),"")</f>
        <v>6.3768270755398833</v>
      </c>
      <c r="P149" s="106">
        <v>200</v>
      </c>
      <c r="Q149" s="108">
        <f t="shared" si="59"/>
        <v>1.2753654151079765</v>
      </c>
      <c r="R149" s="107">
        <f t="shared" si="60"/>
        <v>7.2973281510017109</v>
      </c>
      <c r="S149" s="107" cm="1">
        <f t="array" ref="S149">_xlfn.IFS(E149="Heavy", 'vehicle E calcs'!$T$21,E149="Cars/vans",'vehicle E calcs'!$S$21)*O149</f>
        <v>23.354986057632608</v>
      </c>
      <c r="T149" s="109">
        <v>0.27</v>
      </c>
      <c r="U149" s="23">
        <f t="shared" si="61"/>
        <v>6.3058462355608045</v>
      </c>
      <c r="V149" s="23">
        <f t="shared" si="62"/>
        <v>1.1572321744621052</v>
      </c>
      <c r="W149" s="106">
        <f t="shared" si="74"/>
        <v>168</v>
      </c>
      <c r="X149" s="23">
        <f t="shared" si="63"/>
        <v>3.9236376576822782</v>
      </c>
      <c r="Y149" s="96">
        <f t="shared" si="75"/>
        <v>0</v>
      </c>
      <c r="Z149" s="23">
        <f t="shared" si="65"/>
        <v>0</v>
      </c>
      <c r="AA149" s="107">
        <f t="shared" si="66"/>
        <v>3.3736904933194327</v>
      </c>
      <c r="AB149" s="23">
        <f t="shared" si="67"/>
        <v>0.53500995223988312</v>
      </c>
      <c r="AD149" s="107">
        <f t="shared" si="68"/>
        <v>0.9549809035833835</v>
      </c>
      <c r="AE149" s="23">
        <f t="shared" si="69"/>
        <v>0</v>
      </c>
      <c r="AF149" s="108">
        <f t="shared" si="70"/>
        <v>0.20225127087872183</v>
      </c>
      <c r="AH149" s="104">
        <f t="shared" si="72"/>
        <v>1.1740041928721173E-3</v>
      </c>
      <c r="AJ149" s="104">
        <f t="shared" si="73"/>
        <v>0.15402935010482177</v>
      </c>
      <c r="AK149" s="23">
        <f t="shared" si="71"/>
        <v>0.53500995223988312</v>
      </c>
    </row>
    <row r="150" spans="1:37" x14ac:dyDescent="0.35">
      <c r="A150" s="23">
        <v>6</v>
      </c>
      <c r="B150" s="118" t="s">
        <v>146</v>
      </c>
      <c r="C150" s="23" t="s">
        <v>139</v>
      </c>
      <c r="D150" s="23" t="s">
        <v>171</v>
      </c>
      <c r="E150" s="23" t="s">
        <v>188</v>
      </c>
      <c r="F150" s="23" t="s">
        <v>83</v>
      </c>
      <c r="G150" s="108">
        <f>'time-factors'!F$38*'time-factors'!B56</f>
        <v>3.4046121593291402E-3</v>
      </c>
      <c r="H150" s="105">
        <f>'time-factors'!N56</f>
        <v>89.187168</v>
      </c>
      <c r="I150" s="106" t="s">
        <v>98</v>
      </c>
      <c r="J150" s="96">
        <f>'time-factors'!S$43</f>
        <v>10</v>
      </c>
      <c r="K150" s="170">
        <f>'time-factors'!M$43</f>
        <v>0.05</v>
      </c>
      <c r="L150" s="107">
        <f t="shared" si="57"/>
        <v>11.550146284212778</v>
      </c>
      <c r="M150" s="3">
        <v>0</v>
      </c>
      <c r="N150" s="23">
        <f t="shared" si="58"/>
        <v>0</v>
      </c>
      <c r="O150" s="167" cm="1">
        <f t="array" ref="O150">IFERROR(_xlfn.IFS(E150="Heavy", 'vehicle E calcs'!$H$33,E150="Cars/vans",'vehicle E calcs'!$H$32),"")</f>
        <v>7.1233383316924828</v>
      </c>
      <c r="P150" s="106">
        <v>200</v>
      </c>
      <c r="Q150" s="108">
        <f t="shared" si="59"/>
        <v>1.4246676663384965</v>
      </c>
      <c r="R150" s="107">
        <f t="shared" si="60"/>
        <v>12.974813950551274</v>
      </c>
      <c r="S150" s="107" cm="1">
        <f t="array" ref="S150">_xlfn.IFS(E150="Heavy", 'vehicle E calcs'!$T$21,E150="Cars/vans",'vehicle E calcs'!$S$21)*O150</f>
        <v>24.362584419881831</v>
      </c>
      <c r="T150" s="109">
        <v>0.27</v>
      </c>
      <c r="U150" s="23">
        <f t="shared" si="61"/>
        <v>6.5778977933680949</v>
      </c>
      <c r="V150" s="23">
        <f t="shared" si="62"/>
        <v>1.972486401906794</v>
      </c>
      <c r="W150" s="106">
        <f t="shared" si="74"/>
        <v>168</v>
      </c>
      <c r="X150" s="23">
        <f t="shared" si="63"/>
        <v>4.0929141825401478</v>
      </c>
      <c r="Y150" s="96">
        <f t="shared" si="75"/>
        <v>0</v>
      </c>
      <c r="Z150" s="23">
        <f t="shared" si="65"/>
        <v>0</v>
      </c>
      <c r="AA150" s="107">
        <f t="shared" si="66"/>
        <v>8.8818997680111273</v>
      </c>
      <c r="AB150" s="23">
        <f t="shared" si="67"/>
        <v>1.350264179684572</v>
      </c>
      <c r="AD150" s="107">
        <f t="shared" si="68"/>
        <v>1.7559023638004463</v>
      </c>
      <c r="AE150" s="23">
        <f t="shared" si="69"/>
        <v>0</v>
      </c>
      <c r="AF150" s="108">
        <f t="shared" si="70"/>
        <v>0.2165840381063478</v>
      </c>
      <c r="AH150" s="104">
        <f t="shared" si="72"/>
        <v>3.4046121593291402E-3</v>
      </c>
      <c r="AJ150" s="104">
        <f t="shared" si="73"/>
        <v>0.15743396226415091</v>
      </c>
      <c r="AK150" s="23">
        <f t="shared" si="71"/>
        <v>1.350264179684572</v>
      </c>
    </row>
    <row r="151" spans="1:37" x14ac:dyDescent="0.35">
      <c r="A151" s="23">
        <v>1</v>
      </c>
      <c r="B151" s="118" t="s">
        <v>141</v>
      </c>
      <c r="C151" s="23" t="s">
        <v>139</v>
      </c>
      <c r="D151" s="23" t="s">
        <v>171</v>
      </c>
      <c r="E151" s="23" t="s">
        <v>128</v>
      </c>
      <c r="F151" s="23" t="s">
        <v>83</v>
      </c>
      <c r="G151" s="108">
        <f>'time-factors'!F$38*'time-factors'!B51</f>
        <v>4.1090146750524109E-3</v>
      </c>
      <c r="H151" s="105">
        <f>'time-factors'!N51</f>
        <v>119.44709999999999</v>
      </c>
      <c r="I151" s="106" t="s">
        <v>98</v>
      </c>
      <c r="J151" s="96">
        <f>'time-factors'!S$43</f>
        <v>10</v>
      </c>
      <c r="K151" s="170">
        <f>'time-factors'!M$43</f>
        <v>0.05</v>
      </c>
      <c r="L151" s="107">
        <f t="shared" si="57"/>
        <v>15.468945916356398</v>
      </c>
      <c r="M151" s="3">
        <v>0</v>
      </c>
      <c r="N151" s="23">
        <f t="shared" si="58"/>
        <v>0</v>
      </c>
      <c r="O151" s="167" cm="1">
        <f t="array" ref="O151">IFERROR(_xlfn.IFS(E151="Heavy", 'vehicle E calcs'!$H$33,E151="Cars/vans",'vehicle E calcs'!$H$32),"")</f>
        <v>6.3768270755398833</v>
      </c>
      <c r="P151" s="106">
        <v>200</v>
      </c>
      <c r="Q151" s="108">
        <f t="shared" si="59"/>
        <v>1.2753654151079765</v>
      </c>
      <c r="R151" s="107">
        <f t="shared" si="60"/>
        <v>16.744311331464374</v>
      </c>
      <c r="S151" s="107" cm="1">
        <f t="array" ref="S151">_xlfn.IFS(E151="Heavy", 'vehicle E calcs'!$T$21,E151="Cars/vans",'vehicle E calcs'!$S$21)*O151</f>
        <v>23.354986057632608</v>
      </c>
      <c r="T151" s="109">
        <v>0.27</v>
      </c>
      <c r="U151" s="23">
        <f t="shared" si="61"/>
        <v>6.3058462355608045</v>
      </c>
      <c r="V151" s="23">
        <f t="shared" si="62"/>
        <v>2.6553630878338779</v>
      </c>
      <c r="W151" s="106">
        <f t="shared" si="74"/>
        <v>168</v>
      </c>
      <c r="X151" s="23">
        <f t="shared" si="63"/>
        <v>3.9236376576822782</v>
      </c>
      <c r="Y151" s="96">
        <f t="shared" si="75"/>
        <v>0</v>
      </c>
      <c r="Z151" s="23">
        <f t="shared" si="65"/>
        <v>0</v>
      </c>
      <c r="AA151" s="107">
        <f t="shared" si="66"/>
        <v>12.820673673782096</v>
      </c>
      <c r="AB151" s="23">
        <f t="shared" si="67"/>
        <v>2.0331408656116561</v>
      </c>
      <c r="AD151" s="107">
        <f t="shared" si="68"/>
        <v>2.4531118169551562</v>
      </c>
      <c r="AE151" s="23">
        <f t="shared" si="69"/>
        <v>0</v>
      </c>
      <c r="AF151" s="108">
        <f t="shared" si="70"/>
        <v>0.20225127087872183</v>
      </c>
      <c r="AH151" s="104">
        <f t="shared" si="72"/>
        <v>4.1090146750524109E-3</v>
      </c>
      <c r="AJ151" s="104">
        <f t="shared" si="73"/>
        <v>0.16154297693920333</v>
      </c>
      <c r="AK151" s="23">
        <f t="shared" si="71"/>
        <v>2.0331408656116561</v>
      </c>
    </row>
    <row r="152" spans="1:37" x14ac:dyDescent="0.35">
      <c r="A152" s="23">
        <v>4</v>
      </c>
      <c r="B152" s="118" t="s">
        <v>144</v>
      </c>
      <c r="C152" s="23" t="s">
        <v>139</v>
      </c>
      <c r="D152" s="23" t="s">
        <v>139</v>
      </c>
      <c r="E152" s="23" t="s">
        <v>188</v>
      </c>
      <c r="F152" s="23" t="s">
        <v>83</v>
      </c>
      <c r="G152" s="108">
        <f>'time-factors'!F$38*'time-factors'!B54</f>
        <v>1.761006289308176E-3</v>
      </c>
      <c r="H152" s="105">
        <f>'time-factors'!N54</f>
        <v>172.79999999999998</v>
      </c>
      <c r="I152" s="106" t="s">
        <v>98</v>
      </c>
      <c r="J152" s="96">
        <f>'time-factors'!S$43</f>
        <v>10</v>
      </c>
      <c r="K152" s="170">
        <f>'time-factors'!M$43</f>
        <v>0.05</v>
      </c>
      <c r="L152" s="107">
        <f t="shared" si="57"/>
        <v>22.378390554030911</v>
      </c>
      <c r="M152" s="3">
        <v>0</v>
      </c>
      <c r="N152" s="23">
        <f t="shared" si="58"/>
        <v>0</v>
      </c>
      <c r="O152" s="167" cm="1">
        <f t="array" ref="O152">IFERROR(_xlfn.IFS(E152="Heavy", 'vehicle E calcs'!$H$33,E152="Cars/vans",'vehicle E calcs'!$H$32),"")</f>
        <v>7.1233383316924828</v>
      </c>
      <c r="P152" s="106">
        <v>200</v>
      </c>
      <c r="Q152" s="108">
        <f t="shared" si="59"/>
        <v>1.4246676663384965</v>
      </c>
      <c r="R152" s="107">
        <f t="shared" si="60"/>
        <v>23.803058220369408</v>
      </c>
      <c r="S152" s="107" cm="1">
        <f t="array" ref="S152">_xlfn.IFS(E152="Heavy", 'vehicle E calcs'!$T$21,E152="Cars/vans",'vehicle E calcs'!$S$21)*O152</f>
        <v>24.362584419881831</v>
      </c>
      <c r="T152" s="109">
        <v>0.27</v>
      </c>
      <c r="U152" s="23">
        <f t="shared" si="61"/>
        <v>6.5778977933680949</v>
      </c>
      <c r="V152" s="23">
        <f t="shared" si="62"/>
        <v>3.6186421510483031</v>
      </c>
      <c r="W152" s="106">
        <f t="shared" si="74"/>
        <v>168</v>
      </c>
      <c r="X152" s="23">
        <f t="shared" si="63"/>
        <v>4.0929141825401478</v>
      </c>
      <c r="Y152" s="96">
        <f t="shared" si="75"/>
        <v>0</v>
      </c>
      <c r="Z152" s="23">
        <f t="shared" si="65"/>
        <v>0</v>
      </c>
      <c r="AA152" s="107">
        <f t="shared" si="66"/>
        <v>19.710144037829259</v>
      </c>
      <c r="AB152" s="23">
        <f t="shared" si="67"/>
        <v>2.9964199288260804</v>
      </c>
      <c r="AD152" s="107">
        <f t="shared" si="68"/>
        <v>3.4020581129419551</v>
      </c>
      <c r="AE152" s="23">
        <f t="shared" si="69"/>
        <v>0</v>
      </c>
      <c r="AF152" s="108">
        <f t="shared" si="70"/>
        <v>0.2165840381063478</v>
      </c>
      <c r="AH152" s="104">
        <f t="shared" si="72"/>
        <v>1.761006289308176E-3</v>
      </c>
      <c r="AJ152" s="104">
        <f t="shared" si="73"/>
        <v>0.1633039832285115</v>
      </c>
      <c r="AK152" s="23">
        <f t="shared" si="71"/>
        <v>2.9964199288260804</v>
      </c>
    </row>
    <row r="153" spans="1:37" ht="29" x14ac:dyDescent="0.35">
      <c r="A153" s="23">
        <v>7</v>
      </c>
      <c r="B153" s="118" t="s">
        <v>147</v>
      </c>
      <c r="C153" s="23" t="s">
        <v>139</v>
      </c>
      <c r="D153" s="23" t="s">
        <v>171</v>
      </c>
      <c r="E153" s="23" t="s">
        <v>188</v>
      </c>
      <c r="F153" s="23" t="s">
        <v>83</v>
      </c>
      <c r="G153" s="108">
        <f>'time-factors'!F$38*'time-factors'!B57</f>
        <v>2.9350104821802931E-3</v>
      </c>
      <c r="H153" s="105">
        <f>'time-factors'!N57</f>
        <v>172.79999999999998</v>
      </c>
      <c r="I153" s="106" t="s">
        <v>98</v>
      </c>
      <c r="J153" s="96">
        <f>'time-factors'!S$43</f>
        <v>10</v>
      </c>
      <c r="K153" s="170">
        <f>'time-factors'!M$43</f>
        <v>0.05</v>
      </c>
      <c r="L153" s="107">
        <f t="shared" si="57"/>
        <v>22.378390554030911</v>
      </c>
      <c r="M153" s="3">
        <v>0</v>
      </c>
      <c r="N153" s="23">
        <f t="shared" si="58"/>
        <v>0</v>
      </c>
      <c r="O153" s="167" cm="1">
        <f t="array" ref="O153">IFERROR(_xlfn.IFS(E153="Heavy", 'vehicle E calcs'!$H$33,E153="Cars/vans",'vehicle E calcs'!$H$32),"")</f>
        <v>7.1233383316924828</v>
      </c>
      <c r="P153" s="106">
        <v>200</v>
      </c>
      <c r="Q153" s="108">
        <f t="shared" si="59"/>
        <v>1.4246676663384965</v>
      </c>
      <c r="R153" s="107">
        <f t="shared" si="60"/>
        <v>23.803058220369408</v>
      </c>
      <c r="S153" s="107" cm="1">
        <f t="array" ref="S153">_xlfn.IFS(E153="Heavy", 'vehicle E calcs'!$T$21,E153="Cars/vans",'vehicle E calcs'!$S$21)*O153</f>
        <v>24.362584419881831</v>
      </c>
      <c r="T153" s="109">
        <v>0.27</v>
      </c>
      <c r="U153" s="23">
        <f t="shared" si="61"/>
        <v>6.5778977933680949</v>
      </c>
      <c r="V153" s="23">
        <f t="shared" si="62"/>
        <v>3.6186421510483031</v>
      </c>
      <c r="W153" s="106">
        <f t="shared" si="74"/>
        <v>168</v>
      </c>
      <c r="X153" s="23">
        <f t="shared" si="63"/>
        <v>4.0929141825401478</v>
      </c>
      <c r="Y153" s="96">
        <f t="shared" si="75"/>
        <v>0</v>
      </c>
      <c r="Z153" s="23">
        <f t="shared" si="65"/>
        <v>0</v>
      </c>
      <c r="AA153" s="107">
        <f t="shared" si="66"/>
        <v>19.710144037829259</v>
      </c>
      <c r="AB153" s="23">
        <f t="shared" si="67"/>
        <v>2.9964199288260804</v>
      </c>
      <c r="AD153" s="107">
        <f t="shared" si="68"/>
        <v>3.4020581129419551</v>
      </c>
      <c r="AE153" s="23">
        <f t="shared" si="69"/>
        <v>0</v>
      </c>
      <c r="AF153" s="108">
        <f t="shared" si="70"/>
        <v>0.2165840381063478</v>
      </c>
      <c r="AH153" s="104">
        <f t="shared" si="72"/>
        <v>2.9350104821802931E-3</v>
      </c>
      <c r="AJ153" s="104">
        <f t="shared" si="73"/>
        <v>0.16623899371069178</v>
      </c>
      <c r="AK153" s="23">
        <f t="shared" si="71"/>
        <v>2.9964199288260804</v>
      </c>
    </row>
    <row r="154" spans="1:37" x14ac:dyDescent="0.35">
      <c r="A154" s="23">
        <v>9</v>
      </c>
      <c r="B154" s="118" t="s">
        <v>149</v>
      </c>
      <c r="C154" s="23" t="s">
        <v>139</v>
      </c>
      <c r="D154" s="23" t="s">
        <v>171</v>
      </c>
      <c r="E154" s="23" t="s">
        <v>188</v>
      </c>
      <c r="F154" s="23" t="s">
        <v>83</v>
      </c>
      <c r="G154" s="108">
        <f>'time-factors'!F$38*'time-factors'!B59</f>
        <v>1.1740041928721173E-3</v>
      </c>
      <c r="H154" s="105">
        <f>'time-factors'!N59</f>
        <v>172.79999999999998</v>
      </c>
      <c r="I154" s="106" t="s">
        <v>98</v>
      </c>
      <c r="J154" s="96">
        <f>'time-factors'!S$43</f>
        <v>10</v>
      </c>
      <c r="K154" s="170">
        <f>'time-factors'!M$43</f>
        <v>0.05</v>
      </c>
      <c r="L154" s="107">
        <f t="shared" si="57"/>
        <v>22.378390554030911</v>
      </c>
      <c r="M154" s="3">
        <v>0</v>
      </c>
      <c r="N154" s="23">
        <f t="shared" si="58"/>
        <v>0</v>
      </c>
      <c r="O154" s="167" cm="1">
        <f t="array" ref="O154">IFERROR(_xlfn.IFS(E154="Heavy", 'vehicle E calcs'!$H$33,E154="Cars/vans",'vehicle E calcs'!$H$32),"")</f>
        <v>7.1233383316924828</v>
      </c>
      <c r="P154" s="106">
        <v>200</v>
      </c>
      <c r="Q154" s="108">
        <f t="shared" si="59"/>
        <v>1.4246676663384965</v>
      </c>
      <c r="R154" s="107">
        <f t="shared" si="60"/>
        <v>23.803058220369408</v>
      </c>
      <c r="S154" s="107" cm="1">
        <f t="array" ref="S154">_xlfn.IFS(E154="Heavy", 'vehicle E calcs'!$T$21,E154="Cars/vans",'vehicle E calcs'!$S$21)*O154</f>
        <v>24.362584419881831</v>
      </c>
      <c r="T154" s="109">
        <v>0.27</v>
      </c>
      <c r="U154" s="23">
        <f t="shared" si="61"/>
        <v>6.5778977933680949</v>
      </c>
      <c r="V154" s="23">
        <f t="shared" si="62"/>
        <v>3.6186421510483031</v>
      </c>
      <c r="W154" s="106">
        <f t="shared" si="74"/>
        <v>168</v>
      </c>
      <c r="X154" s="23">
        <f t="shared" si="63"/>
        <v>4.0929141825401478</v>
      </c>
      <c r="Y154" s="96">
        <f t="shared" si="75"/>
        <v>0</v>
      </c>
      <c r="Z154" s="23">
        <f t="shared" si="65"/>
        <v>0</v>
      </c>
      <c r="AA154" s="107">
        <f t="shared" si="66"/>
        <v>19.710144037829259</v>
      </c>
      <c r="AB154" s="23">
        <f t="shared" si="67"/>
        <v>2.9964199288260804</v>
      </c>
      <c r="AD154" s="107">
        <f t="shared" si="68"/>
        <v>3.4020581129419551</v>
      </c>
      <c r="AE154" s="23">
        <f t="shared" si="69"/>
        <v>0</v>
      </c>
      <c r="AF154" s="108">
        <f t="shared" si="70"/>
        <v>0.2165840381063478</v>
      </c>
      <c r="AH154" s="104">
        <f t="shared" si="72"/>
        <v>1.1740041928721173E-3</v>
      </c>
      <c r="AJ154" s="104">
        <f t="shared" si="73"/>
        <v>0.1674129979035639</v>
      </c>
      <c r="AK154" s="23">
        <f t="shared" si="71"/>
        <v>2.9964199288260804</v>
      </c>
    </row>
    <row r="155" spans="1:37" x14ac:dyDescent="0.35">
      <c r="A155" s="23">
        <v>15</v>
      </c>
      <c r="B155" s="118" t="s">
        <v>153</v>
      </c>
      <c r="C155" s="23" t="s">
        <v>139</v>
      </c>
      <c r="D155" s="23" t="s">
        <v>171</v>
      </c>
      <c r="E155" s="23" t="s">
        <v>188</v>
      </c>
      <c r="F155" s="23" t="s">
        <v>83</v>
      </c>
      <c r="G155" s="108">
        <f>'time-factors'!F$38*'time-factors'!B65</f>
        <v>1.8784067085953879E-3</v>
      </c>
      <c r="H155" s="105">
        <f>'time-factors'!N65</f>
        <v>172.79999999999998</v>
      </c>
      <c r="I155" s="106" t="s">
        <v>98</v>
      </c>
      <c r="J155" s="96">
        <f>'time-factors'!S$43</f>
        <v>10</v>
      </c>
      <c r="K155" s="170">
        <f>'time-factors'!M$43</f>
        <v>0.05</v>
      </c>
      <c r="L155" s="107">
        <f t="shared" si="57"/>
        <v>22.378390554030911</v>
      </c>
      <c r="M155" s="3">
        <v>0</v>
      </c>
      <c r="N155" s="23">
        <f t="shared" si="58"/>
        <v>0</v>
      </c>
      <c r="O155" s="167" cm="1">
        <f t="array" ref="O155">IFERROR(_xlfn.IFS(E155="Heavy", 'vehicle E calcs'!$H$33,E155="Cars/vans",'vehicle E calcs'!$H$32),"")</f>
        <v>7.1233383316924828</v>
      </c>
      <c r="P155" s="106">
        <v>200</v>
      </c>
      <c r="Q155" s="108">
        <f t="shared" si="59"/>
        <v>1.4246676663384965</v>
      </c>
      <c r="R155" s="107">
        <f t="shared" si="60"/>
        <v>23.803058220369408</v>
      </c>
      <c r="S155" s="107" cm="1">
        <f t="array" ref="S155">_xlfn.IFS(E155="Heavy", 'vehicle E calcs'!$T$21,E155="Cars/vans",'vehicle E calcs'!$S$21)*O155</f>
        <v>24.362584419881831</v>
      </c>
      <c r="T155" s="109">
        <v>0.27</v>
      </c>
      <c r="U155" s="23">
        <f t="shared" si="61"/>
        <v>6.5778977933680949</v>
      </c>
      <c r="V155" s="23">
        <f t="shared" si="62"/>
        <v>3.6186421510483031</v>
      </c>
      <c r="W155" s="106">
        <f t="shared" si="74"/>
        <v>168</v>
      </c>
      <c r="X155" s="23">
        <f t="shared" si="63"/>
        <v>4.0929141825401478</v>
      </c>
      <c r="Y155" s="96">
        <f t="shared" si="75"/>
        <v>0</v>
      </c>
      <c r="Z155" s="23">
        <f t="shared" si="65"/>
        <v>0</v>
      </c>
      <c r="AA155" s="107">
        <f t="shared" si="66"/>
        <v>19.710144037829259</v>
      </c>
      <c r="AB155" s="23">
        <f t="shared" si="67"/>
        <v>2.9964199288260804</v>
      </c>
      <c r="AD155" s="107">
        <f t="shared" si="68"/>
        <v>3.4020581129419551</v>
      </c>
      <c r="AE155" s="23">
        <f t="shared" si="69"/>
        <v>0</v>
      </c>
      <c r="AF155" s="108">
        <f t="shared" si="70"/>
        <v>0.2165840381063478</v>
      </c>
      <c r="AH155" s="104">
        <f t="shared" si="72"/>
        <v>1.8784067085953879E-3</v>
      </c>
      <c r="AJ155" s="104">
        <f t="shared" si="73"/>
        <v>0.16929140461215927</v>
      </c>
      <c r="AK155" s="23">
        <f t="shared" si="71"/>
        <v>2.9964199288260804</v>
      </c>
    </row>
    <row r="156" spans="1:37" x14ac:dyDescent="0.35">
      <c r="A156" s="23">
        <v>3</v>
      </c>
      <c r="B156" s="118" t="s">
        <v>143</v>
      </c>
      <c r="C156" s="23" t="s">
        <v>139</v>
      </c>
      <c r="D156" s="23" t="s">
        <v>171</v>
      </c>
      <c r="E156" s="23" t="s">
        <v>188</v>
      </c>
      <c r="F156" s="23" t="s">
        <v>83</v>
      </c>
      <c r="G156" s="108">
        <f>'time-factors'!F$38*'time-factors'!B53</f>
        <v>2.5828092243186584E-3</v>
      </c>
      <c r="H156" s="105">
        <f>'time-factors'!N53</f>
        <v>182.74799999999999</v>
      </c>
      <c r="I156" s="106" t="s">
        <v>98</v>
      </c>
      <c r="J156" s="96">
        <f>'time-factors'!S$43</f>
        <v>10</v>
      </c>
      <c r="K156" s="170">
        <f>'time-factors'!M$43</f>
        <v>0.05</v>
      </c>
      <c r="L156" s="107">
        <f t="shared" si="57"/>
        <v>23.666702065787273</v>
      </c>
      <c r="M156" s="3">
        <v>0</v>
      </c>
      <c r="N156" s="23">
        <f t="shared" si="58"/>
        <v>0</v>
      </c>
      <c r="O156" s="167" cm="1">
        <f t="array" ref="O156">IFERROR(_xlfn.IFS(E156="Heavy", 'vehicle E calcs'!$H$33,E156="Cars/vans",'vehicle E calcs'!$H$32),"")</f>
        <v>7.1233383316924828</v>
      </c>
      <c r="P156" s="106">
        <v>200</v>
      </c>
      <c r="Q156" s="108">
        <f t="shared" si="59"/>
        <v>1.4246676663384965</v>
      </c>
      <c r="R156" s="107">
        <f t="shared" si="60"/>
        <v>25.09136973212577</v>
      </c>
      <c r="S156" s="107" cm="1">
        <f t="array" ref="S156">_xlfn.IFS(E156="Heavy", 'vehicle E calcs'!$T$21,E156="Cars/vans",'vehicle E calcs'!$S$21)*O156</f>
        <v>24.362584419881831</v>
      </c>
      <c r="T156" s="109">
        <v>0.27</v>
      </c>
      <c r="U156" s="23">
        <f t="shared" si="61"/>
        <v>6.5778977933680949</v>
      </c>
      <c r="V156" s="23">
        <f t="shared" si="62"/>
        <v>3.8144967465780861</v>
      </c>
      <c r="W156" s="106">
        <f t="shared" si="74"/>
        <v>168</v>
      </c>
      <c r="X156" s="23">
        <f t="shared" si="63"/>
        <v>4.0929141825401478</v>
      </c>
      <c r="Y156" s="96">
        <f t="shared" si="75"/>
        <v>0</v>
      </c>
      <c r="Z156" s="23">
        <f t="shared" si="65"/>
        <v>0</v>
      </c>
      <c r="AA156" s="107">
        <f t="shared" si="66"/>
        <v>20.998455549585621</v>
      </c>
      <c r="AB156" s="23">
        <f t="shared" si="67"/>
        <v>3.1922745243558639</v>
      </c>
      <c r="AD156" s="107">
        <f t="shared" si="68"/>
        <v>3.5979127084717382</v>
      </c>
      <c r="AE156" s="23">
        <f t="shared" si="69"/>
        <v>0</v>
      </c>
      <c r="AF156" s="108">
        <f t="shared" si="70"/>
        <v>0.2165840381063478</v>
      </c>
      <c r="AH156" s="104">
        <f t="shared" si="72"/>
        <v>2.5828092243186584E-3</v>
      </c>
      <c r="AJ156" s="104">
        <f t="shared" si="73"/>
        <v>0.17187421383647794</v>
      </c>
      <c r="AK156" s="23">
        <f t="shared" si="71"/>
        <v>3.1922745243558639</v>
      </c>
    </row>
    <row r="157" spans="1:37" x14ac:dyDescent="0.35">
      <c r="A157" s="23">
        <v>2</v>
      </c>
      <c r="B157" s="118" t="s">
        <v>142</v>
      </c>
      <c r="C157" s="23" t="s">
        <v>139</v>
      </c>
      <c r="D157" s="23" t="s">
        <v>171</v>
      </c>
      <c r="E157" s="23" t="s">
        <v>128</v>
      </c>
      <c r="F157" s="23" t="s">
        <v>83</v>
      </c>
      <c r="G157" s="108">
        <f>'time-factors'!F$38*'time-factors'!B52</f>
        <v>3.522012578616352E-3</v>
      </c>
      <c r="H157" s="105">
        <f>'time-factors'!N52</f>
        <v>182.74799999999999</v>
      </c>
      <c r="I157" s="106" t="s">
        <v>98</v>
      </c>
      <c r="J157" s="96">
        <f>'time-factors'!S$43</f>
        <v>10</v>
      </c>
      <c r="K157" s="170">
        <f>'time-factors'!M$43</f>
        <v>0.05</v>
      </c>
      <c r="L157" s="107">
        <f t="shared" si="57"/>
        <v>23.666702065787273</v>
      </c>
      <c r="M157" s="3">
        <v>0</v>
      </c>
      <c r="N157" s="23">
        <f t="shared" si="58"/>
        <v>0</v>
      </c>
      <c r="O157" s="167" cm="1">
        <f t="array" ref="O157">IFERROR(_xlfn.IFS(E157="Heavy", 'vehicle E calcs'!$H$33,E157="Cars/vans",'vehicle E calcs'!$H$32),"")</f>
        <v>6.3768270755398833</v>
      </c>
      <c r="P157" s="106">
        <v>200</v>
      </c>
      <c r="Q157" s="108">
        <f t="shared" si="59"/>
        <v>1.2753654151079765</v>
      </c>
      <c r="R157" s="107">
        <f t="shared" si="60"/>
        <v>24.94206748089525</v>
      </c>
      <c r="S157" s="107" cm="1">
        <f t="array" ref="S157">_xlfn.IFS(E157="Heavy", 'vehicle E calcs'!$T$21,E157="Cars/vans",'vehicle E calcs'!$S$21)*O157</f>
        <v>23.354986057632608</v>
      </c>
      <c r="T157" s="109">
        <v>0.27</v>
      </c>
      <c r="U157" s="23">
        <f t="shared" si="61"/>
        <v>6.3058462355608045</v>
      </c>
      <c r="V157" s="23">
        <f t="shared" si="62"/>
        <v>3.955387833632618</v>
      </c>
      <c r="W157" s="106">
        <f t="shared" si="74"/>
        <v>168</v>
      </c>
      <c r="X157" s="23">
        <f t="shared" si="63"/>
        <v>3.9236376576822782</v>
      </c>
      <c r="Y157" s="96">
        <f t="shared" si="75"/>
        <v>0</v>
      </c>
      <c r="Z157" s="23">
        <f t="shared" si="65"/>
        <v>0</v>
      </c>
      <c r="AA157" s="107">
        <f t="shared" si="66"/>
        <v>21.018429823212973</v>
      </c>
      <c r="AB157" s="23">
        <f t="shared" si="67"/>
        <v>3.3331656114103958</v>
      </c>
      <c r="AC157" s="111"/>
      <c r="AD157" s="107">
        <f t="shared" si="68"/>
        <v>3.7531365627538964</v>
      </c>
      <c r="AE157" s="23">
        <f t="shared" si="69"/>
        <v>0</v>
      </c>
      <c r="AF157" s="108">
        <f t="shared" si="70"/>
        <v>0.20225127087872183</v>
      </c>
      <c r="AH157" s="104">
        <f t="shared" si="72"/>
        <v>3.522012578616352E-3</v>
      </c>
      <c r="AJ157" s="104">
        <f t="shared" si="73"/>
        <v>0.17539622641509428</v>
      </c>
      <c r="AK157" s="23">
        <f t="shared" si="71"/>
        <v>3.3331656114103958</v>
      </c>
    </row>
    <row r="158" spans="1:37" x14ac:dyDescent="0.35">
      <c r="A158" s="23">
        <v>17</v>
      </c>
      <c r="B158" s="118" t="s">
        <v>143</v>
      </c>
      <c r="C158" s="23" t="s">
        <v>156</v>
      </c>
      <c r="D158" s="23" t="s">
        <v>171</v>
      </c>
      <c r="E158" s="23" t="s">
        <v>188</v>
      </c>
      <c r="F158" s="23" t="s">
        <v>83</v>
      </c>
      <c r="G158" s="108">
        <f>'time-factors'!F$38*'time-factors'!B67</f>
        <v>2.3480083857442347E-3</v>
      </c>
      <c r="H158" s="105">
        <f>'time-factors'!N67</f>
        <v>184.79999999999998</v>
      </c>
      <c r="I158" s="106" t="s">
        <v>98</v>
      </c>
      <c r="J158" s="96">
        <f>'time-factors'!S$44</f>
        <v>10</v>
      </c>
      <c r="K158" s="170">
        <f>'time-factors'!M$44</f>
        <v>0.05</v>
      </c>
      <c r="L158" s="107">
        <f t="shared" si="57"/>
        <v>23.932445453616388</v>
      </c>
      <c r="M158" s="3">
        <v>0</v>
      </c>
      <c r="N158" s="23">
        <f t="shared" si="58"/>
        <v>0</v>
      </c>
      <c r="O158" s="167" cm="1">
        <f t="array" ref="O158">IFERROR(_xlfn.IFS(E158="Heavy", 'vehicle E calcs'!$H$33,E158="Cars/vans",'vehicle E calcs'!$H$32),"")</f>
        <v>7.1233383316924828</v>
      </c>
      <c r="P158" s="106">
        <v>300</v>
      </c>
      <c r="Q158" s="108">
        <f t="shared" si="59"/>
        <v>2.1370014995077451</v>
      </c>
      <c r="R158" s="107">
        <f t="shared" si="60"/>
        <v>26.069446953124135</v>
      </c>
      <c r="S158" s="107" cm="1">
        <f t="array" ref="S158">_xlfn.IFS(E158="Heavy", 'vehicle E calcs'!$T$21,E158="Cars/vans",'vehicle E calcs'!$S$21)*O158</f>
        <v>24.362584419881831</v>
      </c>
      <c r="T158" s="109">
        <v>0.27</v>
      </c>
      <c r="U158" s="23">
        <f t="shared" si="61"/>
        <v>6.5778977933680949</v>
      </c>
      <c r="V158" s="23">
        <f t="shared" si="62"/>
        <v>3.9631882057224459</v>
      </c>
      <c r="W158" s="106">
        <f t="shared" si="74"/>
        <v>168</v>
      </c>
      <c r="X158" s="23">
        <f t="shared" si="63"/>
        <v>4.0929141825401478</v>
      </c>
      <c r="Y158" s="96">
        <f t="shared" si="75"/>
        <v>0</v>
      </c>
      <c r="Z158" s="23">
        <f t="shared" si="65"/>
        <v>0</v>
      </c>
      <c r="AA158" s="107">
        <f t="shared" si="66"/>
        <v>21.976532770583987</v>
      </c>
      <c r="AB158" s="23">
        <f t="shared" si="67"/>
        <v>3.3409659835002232</v>
      </c>
      <c r="AC158" s="111"/>
      <c r="AD158" s="107">
        <f t="shared" si="68"/>
        <v>3.6383121485629237</v>
      </c>
      <c r="AE158" s="23">
        <f t="shared" si="69"/>
        <v>0</v>
      </c>
      <c r="AF158" s="108">
        <f t="shared" si="70"/>
        <v>0.32487605715952173</v>
      </c>
      <c r="AH158" s="104">
        <f t="shared" si="72"/>
        <v>2.3480083857442347E-3</v>
      </c>
      <c r="AJ158" s="104">
        <f t="shared" si="73"/>
        <v>0.17774423480083851</v>
      </c>
      <c r="AK158" s="23">
        <f t="shared" si="71"/>
        <v>3.3409659835002232</v>
      </c>
    </row>
    <row r="159" spans="1:37" x14ac:dyDescent="0.35">
      <c r="A159" s="23">
        <v>18</v>
      </c>
      <c r="B159" s="119" t="s">
        <v>148</v>
      </c>
      <c r="C159" s="23" t="s">
        <v>156</v>
      </c>
      <c r="D159" s="23" t="s">
        <v>171</v>
      </c>
      <c r="E159" s="23" t="s">
        <v>188</v>
      </c>
      <c r="F159" s="23" t="s">
        <v>83</v>
      </c>
      <c r="G159" s="108">
        <f>'time-factors'!F$38*'time-factors'!B68</f>
        <v>2.3480083857442347E-3</v>
      </c>
      <c r="H159" s="105">
        <f>'time-factors'!N68</f>
        <v>184.79999999999998</v>
      </c>
      <c r="I159" s="106" t="s">
        <v>98</v>
      </c>
      <c r="J159" s="96">
        <f>'time-factors'!S$44</f>
        <v>10</v>
      </c>
      <c r="K159" s="170">
        <f>'time-factors'!M$44</f>
        <v>0.05</v>
      </c>
      <c r="L159" s="107">
        <f t="shared" si="57"/>
        <v>23.932445453616388</v>
      </c>
      <c r="M159" s="3">
        <v>0</v>
      </c>
      <c r="N159" s="23">
        <f t="shared" si="58"/>
        <v>0</v>
      </c>
      <c r="O159" s="167" cm="1">
        <f t="array" ref="O159">IFERROR(_xlfn.IFS(E159="Heavy", 'vehicle E calcs'!$H$33,E159="Cars/vans",'vehicle E calcs'!$H$32),"")</f>
        <v>7.1233383316924828</v>
      </c>
      <c r="P159" s="106">
        <v>300</v>
      </c>
      <c r="Q159" s="108">
        <f t="shared" si="59"/>
        <v>2.1370014995077451</v>
      </c>
      <c r="R159" s="107">
        <f t="shared" si="60"/>
        <v>26.069446953124135</v>
      </c>
      <c r="S159" s="107" cm="1">
        <f t="array" ref="S159">_xlfn.IFS(E159="Heavy", 'vehicle E calcs'!$T$21,E159="Cars/vans",'vehicle E calcs'!$S$21)*O159</f>
        <v>24.362584419881831</v>
      </c>
      <c r="T159" s="109">
        <v>0.27</v>
      </c>
      <c r="U159" s="23">
        <f t="shared" si="61"/>
        <v>6.5778977933680949</v>
      </c>
      <c r="V159" s="23">
        <f t="shared" si="62"/>
        <v>3.9631882057224459</v>
      </c>
      <c r="W159" s="106">
        <f t="shared" si="74"/>
        <v>168</v>
      </c>
      <c r="X159" s="23">
        <f t="shared" si="63"/>
        <v>4.0929141825401478</v>
      </c>
      <c r="Y159" s="96">
        <f t="shared" si="75"/>
        <v>0</v>
      </c>
      <c r="Z159" s="23">
        <f t="shared" si="65"/>
        <v>0</v>
      </c>
      <c r="AA159" s="107">
        <f t="shared" si="66"/>
        <v>21.976532770583987</v>
      </c>
      <c r="AB159" s="23">
        <f t="shared" si="67"/>
        <v>3.3409659835002232</v>
      </c>
      <c r="AC159" s="111"/>
      <c r="AD159" s="107">
        <f t="shared" si="68"/>
        <v>3.6383121485629237</v>
      </c>
      <c r="AE159" s="23">
        <f t="shared" si="69"/>
        <v>0</v>
      </c>
      <c r="AF159" s="108">
        <f t="shared" si="70"/>
        <v>0.32487605715952173</v>
      </c>
      <c r="AH159" s="104">
        <f t="shared" si="72"/>
        <v>2.3480083857442347E-3</v>
      </c>
      <c r="AJ159" s="104">
        <f t="shared" si="73"/>
        <v>0.18009224318658273</v>
      </c>
      <c r="AK159" s="23">
        <f t="shared" si="71"/>
        <v>3.3409659835002232</v>
      </c>
    </row>
    <row r="160" spans="1:37" x14ac:dyDescent="0.35">
      <c r="A160" s="23">
        <v>5</v>
      </c>
      <c r="B160" s="118" t="s">
        <v>145</v>
      </c>
      <c r="C160" s="23" t="s">
        <v>139</v>
      </c>
      <c r="D160" s="23" t="s">
        <v>171</v>
      </c>
      <c r="E160" s="23" t="s">
        <v>188</v>
      </c>
      <c r="F160" s="23" t="s">
        <v>83</v>
      </c>
      <c r="G160" s="108">
        <f>'time-factors'!F$38*'time-factors'!B55</f>
        <v>2.4654088050314465E-3</v>
      </c>
      <c r="H160" s="105">
        <f>'time-factors'!N55</f>
        <v>295.2</v>
      </c>
      <c r="I160" s="106" t="s">
        <v>98</v>
      </c>
      <c r="J160" s="96">
        <f>'time-factors'!S$43</f>
        <v>10</v>
      </c>
      <c r="K160" s="170">
        <f>'time-factors'!M$43</f>
        <v>0.05</v>
      </c>
      <c r="L160" s="107">
        <f t="shared" si="57"/>
        <v>38.229750529802807</v>
      </c>
      <c r="M160" s="3">
        <v>0</v>
      </c>
      <c r="N160" s="23">
        <f t="shared" si="58"/>
        <v>0</v>
      </c>
      <c r="O160" s="167" cm="1">
        <f t="array" ref="O160">IFERROR(_xlfn.IFS(E160="Heavy", 'vehicle E calcs'!$H$33,E160="Cars/vans",'vehicle E calcs'!$H$32),"")</f>
        <v>7.1233383316924828</v>
      </c>
      <c r="P160" s="106">
        <v>200</v>
      </c>
      <c r="Q160" s="108">
        <f t="shared" si="59"/>
        <v>1.4246676663384965</v>
      </c>
      <c r="R160" s="107">
        <f t="shared" si="60"/>
        <v>39.6544181961413</v>
      </c>
      <c r="S160" s="107" cm="1">
        <f t="array" ref="S160">_xlfn.IFS(E160="Heavy", 'vehicle E calcs'!$T$21,E160="Cars/vans",'vehicle E calcs'!$S$21)*O160</f>
        <v>24.362584419881831</v>
      </c>
      <c r="T160" s="109">
        <v>0.27</v>
      </c>
      <c r="U160" s="23">
        <f t="shared" si="61"/>
        <v>6.5778977933680949</v>
      </c>
      <c r="V160" s="23">
        <f t="shared" si="62"/>
        <v>6.0284333143821875</v>
      </c>
      <c r="W160" s="106">
        <f t="shared" si="74"/>
        <v>168</v>
      </c>
      <c r="X160" s="23">
        <f t="shared" si="63"/>
        <v>4.0929141825401478</v>
      </c>
      <c r="Y160" s="96">
        <f t="shared" si="75"/>
        <v>0</v>
      </c>
      <c r="Z160" s="23">
        <f t="shared" si="65"/>
        <v>0</v>
      </c>
      <c r="AA160" s="107">
        <f t="shared" si="66"/>
        <v>35.561504013601152</v>
      </c>
      <c r="AB160" s="23">
        <f t="shared" si="67"/>
        <v>5.4062110921599649</v>
      </c>
      <c r="AC160" s="111"/>
      <c r="AD160" s="107">
        <f t="shared" si="68"/>
        <v>5.81184927627584</v>
      </c>
      <c r="AE160" s="23">
        <f t="shared" si="69"/>
        <v>0</v>
      </c>
      <c r="AF160" s="108">
        <f t="shared" si="70"/>
        <v>0.2165840381063478</v>
      </c>
      <c r="AH160" s="104">
        <f t="shared" si="72"/>
        <v>2.4654088050314465E-3</v>
      </c>
      <c r="AJ160" s="104">
        <f t="shared" si="73"/>
        <v>0.18255765199161417</v>
      </c>
      <c r="AK160" s="23">
        <f t="shared" si="71"/>
        <v>5.4062110921599649</v>
      </c>
    </row>
    <row r="161" spans="1:37" x14ac:dyDescent="0.35">
      <c r="A161" s="23">
        <v>8</v>
      </c>
      <c r="B161" s="119" t="s">
        <v>148</v>
      </c>
      <c r="C161" s="23" t="s">
        <v>139</v>
      </c>
      <c r="D161" s="23" t="s">
        <v>171</v>
      </c>
      <c r="E161" s="23" t="s">
        <v>188</v>
      </c>
      <c r="F161" s="23" t="s">
        <v>83</v>
      </c>
      <c r="G161" s="108">
        <f>'time-factors'!F$38*'time-factors'!B58</f>
        <v>1.761006289308176E-3</v>
      </c>
      <c r="H161" s="105">
        <f>'time-factors'!N58</f>
        <v>295.2</v>
      </c>
      <c r="I161" s="106" t="s">
        <v>98</v>
      </c>
      <c r="J161" s="96">
        <f>'time-factors'!S$43</f>
        <v>10</v>
      </c>
      <c r="K161" s="170">
        <f>'time-factors'!M$43</f>
        <v>0.05</v>
      </c>
      <c r="L161" s="107">
        <f t="shared" si="57"/>
        <v>38.229750529802807</v>
      </c>
      <c r="M161" s="3">
        <v>0</v>
      </c>
      <c r="N161" s="23">
        <f t="shared" si="58"/>
        <v>0</v>
      </c>
      <c r="O161" s="167" cm="1">
        <f t="array" ref="O161">IFERROR(_xlfn.IFS(E161="Heavy", 'vehicle E calcs'!$H$33,E161="Cars/vans",'vehicle E calcs'!$H$32),"")</f>
        <v>7.1233383316924828</v>
      </c>
      <c r="P161" s="106">
        <v>200</v>
      </c>
      <c r="Q161" s="108">
        <f t="shared" si="59"/>
        <v>1.4246676663384965</v>
      </c>
      <c r="R161" s="107">
        <f t="shared" si="60"/>
        <v>39.6544181961413</v>
      </c>
      <c r="S161" s="107" cm="1">
        <f t="array" ref="S161">_xlfn.IFS(E161="Heavy", 'vehicle E calcs'!$T$21,E161="Cars/vans",'vehicle E calcs'!$S$21)*O161</f>
        <v>24.362584419881831</v>
      </c>
      <c r="T161" s="109">
        <v>0.27</v>
      </c>
      <c r="U161" s="23">
        <f t="shared" si="61"/>
        <v>6.5778977933680949</v>
      </c>
      <c r="V161" s="23">
        <f t="shared" si="62"/>
        <v>6.0284333143821875</v>
      </c>
      <c r="W161" s="106">
        <f t="shared" si="74"/>
        <v>168</v>
      </c>
      <c r="X161" s="23">
        <f t="shared" si="63"/>
        <v>4.0929141825401478</v>
      </c>
      <c r="Y161" s="96">
        <f t="shared" si="75"/>
        <v>0</v>
      </c>
      <c r="Z161" s="23">
        <f t="shared" si="65"/>
        <v>0</v>
      </c>
      <c r="AA161" s="107">
        <f t="shared" si="66"/>
        <v>35.561504013601152</v>
      </c>
      <c r="AB161" s="23">
        <f t="shared" si="67"/>
        <v>5.4062110921599649</v>
      </c>
      <c r="AC161" s="111"/>
      <c r="AD161" s="107">
        <f t="shared" si="68"/>
        <v>5.81184927627584</v>
      </c>
      <c r="AE161" s="23">
        <f t="shared" si="69"/>
        <v>0</v>
      </c>
      <c r="AF161" s="108">
        <f t="shared" si="70"/>
        <v>0.2165840381063478</v>
      </c>
      <c r="AH161" s="104">
        <f t="shared" si="72"/>
        <v>1.761006289308176E-3</v>
      </c>
      <c r="AJ161" s="104">
        <f t="shared" si="73"/>
        <v>0.18431865828092234</v>
      </c>
      <c r="AK161" s="23">
        <f t="shared" si="71"/>
        <v>5.4062110921599649</v>
      </c>
    </row>
    <row r="162" spans="1:37" x14ac:dyDescent="0.35">
      <c r="A162" s="23">
        <v>10</v>
      </c>
      <c r="B162" s="118" t="s">
        <v>58</v>
      </c>
      <c r="C162" s="23" t="s">
        <v>139</v>
      </c>
      <c r="D162" s="23" t="s">
        <v>171</v>
      </c>
      <c r="E162" s="23" t="s">
        <v>188</v>
      </c>
      <c r="F162" s="23" t="s">
        <v>83</v>
      </c>
      <c r="G162" s="108">
        <f>'time-factors'!F$38*'time-factors'!B60</f>
        <v>2.3480083857442347E-3</v>
      </c>
      <c r="H162" s="105">
        <f>'time-factors'!N60</f>
        <v>465.59999999999997</v>
      </c>
      <c r="I162" s="106" t="s">
        <v>98</v>
      </c>
      <c r="J162" s="96">
        <f>'time-factors'!S$43</f>
        <v>10</v>
      </c>
      <c r="K162" s="170">
        <f>'time-factors'!M$43</f>
        <v>0.05</v>
      </c>
      <c r="L162" s="107">
        <f t="shared" si="57"/>
        <v>60.297330103916615</v>
      </c>
      <c r="M162" s="3">
        <v>0</v>
      </c>
      <c r="N162" s="23">
        <f t="shared" si="58"/>
        <v>0</v>
      </c>
      <c r="O162" s="167" cm="1">
        <f t="array" ref="O162">IFERROR(_xlfn.IFS(E162="Heavy", 'vehicle E calcs'!$H$33,E162="Cars/vans",'vehicle E calcs'!$H$32),"")</f>
        <v>7.1233383316924828</v>
      </c>
      <c r="P162" s="106">
        <v>200</v>
      </c>
      <c r="Q162" s="108">
        <f t="shared" si="59"/>
        <v>1.4246676663384965</v>
      </c>
      <c r="R162" s="107">
        <f t="shared" si="60"/>
        <v>61.721997770255108</v>
      </c>
      <c r="S162" s="107" cm="1">
        <f t="array" ref="S162">_xlfn.IFS(E162="Heavy", 'vehicle E calcs'!$T$21,E162="Cars/vans",'vehicle E calcs'!$S$21)*O162</f>
        <v>24.362584419881831</v>
      </c>
      <c r="T162" s="109">
        <v>0.27</v>
      </c>
      <c r="U162" s="23">
        <f t="shared" si="61"/>
        <v>6.5778977933680949</v>
      </c>
      <c r="V162" s="23">
        <f t="shared" si="62"/>
        <v>9.3832406201999472</v>
      </c>
      <c r="W162" s="106">
        <f t="shared" si="74"/>
        <v>168</v>
      </c>
      <c r="X162" s="23">
        <f t="shared" si="63"/>
        <v>4.0929141825401478</v>
      </c>
      <c r="Y162" s="96">
        <f t="shared" si="75"/>
        <v>0</v>
      </c>
      <c r="Z162" s="23">
        <f t="shared" si="65"/>
        <v>0</v>
      </c>
      <c r="AA162" s="107">
        <f t="shared" si="66"/>
        <v>57.629083587714959</v>
      </c>
      <c r="AB162" s="23">
        <f t="shared" si="67"/>
        <v>8.7610183979777254</v>
      </c>
      <c r="AC162" s="111"/>
      <c r="AD162" s="107">
        <f t="shared" si="68"/>
        <v>9.1666565820935997</v>
      </c>
      <c r="AE162" s="23">
        <f t="shared" si="69"/>
        <v>0</v>
      </c>
      <c r="AF162" s="108">
        <f t="shared" si="70"/>
        <v>0.2165840381063478</v>
      </c>
      <c r="AH162" s="104">
        <f t="shared" si="72"/>
        <v>2.3480083857442347E-3</v>
      </c>
      <c r="AJ162" s="104">
        <f t="shared" si="73"/>
        <v>0.18666666666666656</v>
      </c>
      <c r="AK162" s="23">
        <f t="shared" si="71"/>
        <v>8.7610183979777254</v>
      </c>
    </row>
    <row r="163" spans="1:37" x14ac:dyDescent="0.35">
      <c r="A163" s="23">
        <v>14</v>
      </c>
      <c r="B163" s="118" t="s">
        <v>152</v>
      </c>
      <c r="C163" s="23" t="s">
        <v>139</v>
      </c>
      <c r="D163" s="23" t="s">
        <v>171</v>
      </c>
      <c r="E163" s="23" t="s">
        <v>188</v>
      </c>
      <c r="F163" s="23" t="s">
        <v>83</v>
      </c>
      <c r="G163" s="108">
        <f>'time-factors'!F$38*'time-factors'!B64</f>
        <v>1.5262054507337525E-3</v>
      </c>
      <c r="H163" s="105">
        <f>'time-factors'!N64</f>
        <v>465.59999999999997</v>
      </c>
      <c r="I163" s="106" t="s">
        <v>98</v>
      </c>
      <c r="J163" s="96">
        <f>'time-factors'!S$43</f>
        <v>10</v>
      </c>
      <c r="K163" s="170">
        <f>'time-factors'!M$43</f>
        <v>0.05</v>
      </c>
      <c r="L163" s="107">
        <f t="shared" si="57"/>
        <v>60.297330103916615</v>
      </c>
      <c r="M163" s="3">
        <v>0</v>
      </c>
      <c r="N163" s="23">
        <f t="shared" si="58"/>
        <v>0</v>
      </c>
      <c r="O163" s="167" cm="1">
        <f t="array" ref="O163">IFERROR(_xlfn.IFS(E163="Heavy", 'vehicle E calcs'!$H$33,E163="Cars/vans",'vehicle E calcs'!$H$32),"")</f>
        <v>7.1233383316924828</v>
      </c>
      <c r="P163" s="106">
        <v>200</v>
      </c>
      <c r="Q163" s="108">
        <f t="shared" si="59"/>
        <v>1.4246676663384965</v>
      </c>
      <c r="R163" s="107">
        <f t="shared" si="60"/>
        <v>61.721997770255108</v>
      </c>
      <c r="S163" s="107" cm="1">
        <f t="array" ref="S163">_xlfn.IFS(E163="Heavy", 'vehicle E calcs'!$T$21,E163="Cars/vans",'vehicle E calcs'!$S$21)*O163</f>
        <v>24.362584419881831</v>
      </c>
      <c r="T163" s="109">
        <v>0.27</v>
      </c>
      <c r="U163" s="23">
        <f t="shared" si="61"/>
        <v>6.5778977933680949</v>
      </c>
      <c r="V163" s="23">
        <f t="shared" si="62"/>
        <v>9.3832406201999472</v>
      </c>
      <c r="W163" s="106">
        <f t="shared" si="74"/>
        <v>168</v>
      </c>
      <c r="X163" s="23">
        <f t="shared" si="63"/>
        <v>4.0929141825401478</v>
      </c>
      <c r="Y163" s="96">
        <f t="shared" si="75"/>
        <v>0</v>
      </c>
      <c r="Z163" s="23">
        <f t="shared" si="65"/>
        <v>0</v>
      </c>
      <c r="AA163" s="107">
        <f t="shared" si="66"/>
        <v>57.629083587714959</v>
      </c>
      <c r="AB163" s="23">
        <f t="shared" si="67"/>
        <v>8.7610183979777254</v>
      </c>
      <c r="AC163" s="53"/>
      <c r="AD163" s="107">
        <f t="shared" si="68"/>
        <v>9.1666565820935997</v>
      </c>
      <c r="AE163" s="23">
        <f t="shared" si="69"/>
        <v>0</v>
      </c>
      <c r="AF163" s="108">
        <f t="shared" si="70"/>
        <v>0.2165840381063478</v>
      </c>
      <c r="AH163" s="104">
        <f t="shared" si="72"/>
        <v>1.5262054507337525E-3</v>
      </c>
      <c r="AJ163" s="104">
        <f t="shared" si="73"/>
        <v>0.18819287211740032</v>
      </c>
      <c r="AK163" s="23">
        <f t="shared" si="71"/>
        <v>8.7610183979777254</v>
      </c>
    </row>
    <row r="164" spans="1:37" x14ac:dyDescent="0.35">
      <c r="B164" s="122"/>
      <c r="C164" s="24"/>
      <c r="D164" s="24"/>
      <c r="E164" s="24"/>
      <c r="F164" s="131" t="s">
        <v>50</v>
      </c>
      <c r="G164" s="108">
        <f>SUM(G139:G163)</f>
        <v>0.18819287211740032</v>
      </c>
    </row>
    <row r="165" spans="1:37" x14ac:dyDescent="0.35">
      <c r="B165" s="122"/>
      <c r="C165" s="24"/>
      <c r="D165" s="24"/>
      <c r="E165" s="24"/>
      <c r="F165" s="24"/>
    </row>
    <row r="166" spans="1:37" x14ac:dyDescent="0.35">
      <c r="B166" s="123"/>
      <c r="C166" s="125"/>
      <c r="F166" s="24"/>
    </row>
    <row r="167" spans="1:37" x14ac:dyDescent="0.35">
      <c r="B167" s="123"/>
      <c r="C167" s="125"/>
    </row>
    <row r="168" spans="1:37" x14ac:dyDescent="0.35">
      <c r="B168" s="96"/>
      <c r="C168" s="96"/>
    </row>
    <row r="169" spans="1:37" x14ac:dyDescent="0.35">
      <c r="B169" s="96"/>
      <c r="C169" s="96"/>
    </row>
  </sheetData>
  <autoFilter ref="A138:AB163" xr:uid="{E03F7738-59E5-41EA-AEB1-807C926C345D}">
    <sortState xmlns:xlrd2="http://schemas.microsoft.com/office/spreadsheetml/2017/richdata2" ref="A139:AB164">
      <sortCondition ref="AB138:AB163"/>
    </sortState>
  </autoFilter>
  <sortState xmlns:xlrd2="http://schemas.microsoft.com/office/spreadsheetml/2017/richdata2" ref="A139:AF163">
    <sortCondition ref="AB139:AB163"/>
  </sortState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388756E-B704-4CCD-ACF2-E61D94B1424A}">
          <x14:formula1>
            <xm:f>'vehicle E calcs'!$B$32:$B$33</xm:f>
          </x14:formula1>
          <xm:sqref>E4:E21 E49:E66 E94:E111 E139:E156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6D0C5-6FAE-4AF3-9952-244407433474}">
  <sheetPr codeName="Sheet11"/>
  <dimension ref="C1:Z28"/>
  <sheetViews>
    <sheetView topLeftCell="A13" workbookViewId="0">
      <selection activeCell="N49" sqref="N49"/>
    </sheetView>
  </sheetViews>
  <sheetFormatPr defaultRowHeight="14.5" x14ac:dyDescent="0.35"/>
  <sheetData>
    <row r="1" spans="3:26" ht="15" thickBot="1" x14ac:dyDescent="0.4"/>
    <row r="2" spans="3:26" x14ac:dyDescent="0.35">
      <c r="C2" s="148" t="s">
        <v>245</v>
      </c>
      <c r="D2" s="149"/>
      <c r="E2" s="149"/>
      <c r="F2" s="149"/>
      <c r="G2" s="149"/>
      <c r="H2" s="150"/>
      <c r="I2" s="148" t="s">
        <v>246</v>
      </c>
      <c r="J2" s="149"/>
      <c r="K2" s="149"/>
      <c r="L2" s="149"/>
      <c r="M2" s="149"/>
      <c r="N2" s="149"/>
      <c r="O2" s="148" t="s">
        <v>247</v>
      </c>
      <c r="P2" s="149"/>
      <c r="Q2" s="149"/>
      <c r="R2" s="149"/>
      <c r="S2" s="149"/>
      <c r="T2" s="150"/>
      <c r="U2" s="148" t="s">
        <v>278</v>
      </c>
      <c r="V2" s="149"/>
      <c r="W2" s="149"/>
      <c r="X2" s="149"/>
      <c r="Y2" s="149"/>
      <c r="Z2" s="150"/>
    </row>
    <row r="3" spans="3:26" x14ac:dyDescent="0.35">
      <c r="C3" s="151">
        <v>2019</v>
      </c>
      <c r="D3" s="8"/>
      <c r="E3" s="8">
        <v>2030</v>
      </c>
      <c r="F3" s="8"/>
      <c r="G3" s="8">
        <v>2040</v>
      </c>
      <c r="H3" s="152"/>
      <c r="I3" s="151">
        <v>2019</v>
      </c>
      <c r="J3" s="8"/>
      <c r="K3" s="8">
        <v>2030</v>
      </c>
      <c r="L3" s="8"/>
      <c r="M3" s="8">
        <v>2040</v>
      </c>
      <c r="N3" s="8"/>
      <c r="O3" s="151">
        <v>2019</v>
      </c>
      <c r="P3" s="8"/>
      <c r="Q3" s="8">
        <v>2030</v>
      </c>
      <c r="R3" s="8"/>
      <c r="S3" s="8">
        <v>2040</v>
      </c>
      <c r="T3" s="152"/>
      <c r="U3" s="151">
        <v>2019</v>
      </c>
      <c r="V3" s="8"/>
      <c r="W3" s="8">
        <v>2030</v>
      </c>
      <c r="X3" s="8"/>
      <c r="Y3" s="8">
        <v>2040</v>
      </c>
      <c r="Z3" s="152"/>
    </row>
    <row r="4" spans="3:26" x14ac:dyDescent="0.35">
      <c r="C4" s="151">
        <v>8.10062893081761</v>
      </c>
      <c r="D4" s="8">
        <v>-0.94987870640465422</v>
      </c>
      <c r="E4" s="8">
        <v>8.5274380990488581</v>
      </c>
      <c r="F4" s="8">
        <v>-0.95739690044395609</v>
      </c>
      <c r="G4" s="8">
        <v>10.206880910688891</v>
      </c>
      <c r="H4" s="152">
        <v>-0.9699272238427924</v>
      </c>
      <c r="I4" s="153">
        <v>2.2893081761006289</v>
      </c>
      <c r="J4" s="154">
        <v>-0.94987870640465422</v>
      </c>
      <c r="K4" s="8">
        <v>2.3928591893103803</v>
      </c>
      <c r="L4" s="8">
        <v>-0.95739690044395609</v>
      </c>
      <c r="M4" s="8">
        <v>2.7727693419193811</v>
      </c>
      <c r="N4" s="8">
        <v>-0.9699272238427924</v>
      </c>
      <c r="O4" s="160">
        <v>0.679245283018868</v>
      </c>
      <c r="P4" s="161">
        <v>-0.94987870640465422</v>
      </c>
      <c r="Q4" s="8">
        <v>0.72229852411813744</v>
      </c>
      <c r="R4" s="8">
        <v>-0.95739690044395609</v>
      </c>
      <c r="S4" s="8">
        <v>0.78218846278012188</v>
      </c>
      <c r="T4" s="152">
        <v>-0.9699272238427924</v>
      </c>
      <c r="U4" s="151">
        <v>7.5471698113207548E-3</v>
      </c>
      <c r="V4" s="8">
        <v>-0.94987870640465422</v>
      </c>
      <c r="W4" s="8">
        <v>8.5031446540880518E-3</v>
      </c>
      <c r="X4" s="8">
        <v>-0.95739690044395609</v>
      </c>
      <c r="Y4" s="8">
        <v>1.4088050314465408E-2</v>
      </c>
      <c r="Z4" s="152">
        <v>-0.9699272238427924</v>
      </c>
    </row>
    <row r="5" spans="3:26" x14ac:dyDescent="0.35">
      <c r="C5" s="151">
        <v>22.951781970649897</v>
      </c>
      <c r="D5" s="8">
        <v>-0.28586998712561951</v>
      </c>
      <c r="E5" s="8">
        <v>24.161074613971763</v>
      </c>
      <c r="F5" s="8">
        <v>-0.29298948905677658</v>
      </c>
      <c r="G5" s="8">
        <v>28.919495913618526</v>
      </c>
      <c r="H5" s="152">
        <v>-0.30485532560870487</v>
      </c>
      <c r="I5" s="153">
        <v>6.4863731656184491</v>
      </c>
      <c r="J5" s="154">
        <v>-0.28586998712561951</v>
      </c>
      <c r="K5" s="8">
        <v>6.779767703046077</v>
      </c>
      <c r="L5" s="8">
        <v>-0.29298948905677658</v>
      </c>
      <c r="M5" s="8">
        <v>7.8561798021049132</v>
      </c>
      <c r="N5" s="8">
        <v>-0.30485532560870487</v>
      </c>
      <c r="O5" s="160">
        <v>1.9245283018867925</v>
      </c>
      <c r="P5" s="161">
        <v>-0.28586998712561951</v>
      </c>
      <c r="Q5" s="8">
        <v>2.0465124850013896</v>
      </c>
      <c r="R5" s="8">
        <v>-0.29298948905677658</v>
      </c>
      <c r="S5" s="8">
        <v>2.2162006445436786</v>
      </c>
      <c r="T5" s="152">
        <v>-0.30485532560870487</v>
      </c>
      <c r="U5" s="151">
        <v>2.1383647798742137E-2</v>
      </c>
      <c r="V5" s="8">
        <v>-0.28586998712561951</v>
      </c>
      <c r="W5" s="8">
        <v>2.4092243186582811E-2</v>
      </c>
      <c r="X5" s="8">
        <v>-0.29298948905677658</v>
      </c>
      <c r="Y5" s="8">
        <v>3.9916142557651989E-2</v>
      </c>
      <c r="Z5" s="152">
        <v>-0.30485532560870487</v>
      </c>
    </row>
    <row r="6" spans="3:26" x14ac:dyDescent="0.35">
      <c r="C6" s="151">
        <v>31.052410901467507</v>
      </c>
      <c r="D6" s="8">
        <v>-0.23840664091790578</v>
      </c>
      <c r="E6" s="8">
        <v>32.688512713020621</v>
      </c>
      <c r="F6" s="8">
        <v>-0.25264564478021995</v>
      </c>
      <c r="G6" s="8">
        <v>39.126376824307414</v>
      </c>
      <c r="H6" s="152">
        <v>-0.27637731788407677</v>
      </c>
      <c r="I6" s="153">
        <v>8.7756813417190784</v>
      </c>
      <c r="J6" s="154">
        <v>-0.23840664091790578</v>
      </c>
      <c r="K6" s="8">
        <v>9.1726268923564582</v>
      </c>
      <c r="L6" s="8">
        <v>-0.25264564478021995</v>
      </c>
      <c r="M6" s="8">
        <v>10.628949144024293</v>
      </c>
      <c r="N6" s="8">
        <v>-0.27637731788407677</v>
      </c>
      <c r="O6" s="160">
        <v>2.6037735849056602</v>
      </c>
      <c r="P6" s="161">
        <v>-0.23840664091790578</v>
      </c>
      <c r="Q6" s="8">
        <v>2.7688110091195268</v>
      </c>
      <c r="R6" s="8">
        <v>-0.25264564478021995</v>
      </c>
      <c r="S6" s="8">
        <v>2.9983891073238005</v>
      </c>
      <c r="T6" s="152">
        <v>-0.27637731788407677</v>
      </c>
      <c r="U6" s="151">
        <v>2.8930817610062894E-2</v>
      </c>
      <c r="V6" s="8">
        <v>-0.23840664091790578</v>
      </c>
      <c r="W6" s="8">
        <v>3.2595387840670863E-2</v>
      </c>
      <c r="X6" s="8">
        <v>-0.25264564478021995</v>
      </c>
      <c r="Y6" s="8">
        <v>5.4004192872117399E-2</v>
      </c>
      <c r="Z6" s="152">
        <v>-0.27637731788407677</v>
      </c>
    </row>
    <row r="7" spans="3:26" x14ac:dyDescent="0.35">
      <c r="C7" s="151">
        <v>36.452830188679243</v>
      </c>
      <c r="D7" s="8">
        <v>-0.23840664091790578</v>
      </c>
      <c r="E7" s="8">
        <v>38.373471445719858</v>
      </c>
      <c r="F7" s="8">
        <v>-0.25264564478021995</v>
      </c>
      <c r="G7" s="8">
        <v>45.930964098100006</v>
      </c>
      <c r="H7" s="152">
        <v>-0.27637731788407677</v>
      </c>
      <c r="I7" s="153">
        <v>10.30188679245283</v>
      </c>
      <c r="J7" s="154">
        <v>-0.23840664091790578</v>
      </c>
      <c r="K7" s="8">
        <v>10.767866351896712</v>
      </c>
      <c r="L7" s="8">
        <v>-0.25264564478021995</v>
      </c>
      <c r="M7" s="8">
        <v>12.477462038637213</v>
      </c>
      <c r="N7" s="8">
        <v>-0.27637731788407677</v>
      </c>
      <c r="O7" s="160">
        <v>3.0566037735849054</v>
      </c>
      <c r="P7" s="161">
        <v>-0.23840664091790578</v>
      </c>
      <c r="Q7" s="8">
        <v>3.2503433585316186</v>
      </c>
      <c r="R7" s="8">
        <v>-0.25264564478021995</v>
      </c>
      <c r="S7" s="8">
        <v>3.5198480825105483</v>
      </c>
      <c r="T7" s="152">
        <v>-0.27637731788407677</v>
      </c>
      <c r="U7" s="151">
        <v>3.3962264150943396E-2</v>
      </c>
      <c r="V7" s="8">
        <v>-0.23840664091790578</v>
      </c>
      <c r="W7" s="8">
        <v>3.8264150943396233E-2</v>
      </c>
      <c r="X7" s="8">
        <v>-0.25264564478021995</v>
      </c>
      <c r="Y7" s="8">
        <v>6.3396226415094334E-2</v>
      </c>
      <c r="Z7" s="152">
        <v>-0.27637731788407677</v>
      </c>
    </row>
    <row r="8" spans="3:26" x14ac:dyDescent="0.35">
      <c r="C8" s="151">
        <v>49.953878406708597</v>
      </c>
      <c r="D8" s="8">
        <v>-0.14347994850247839</v>
      </c>
      <c r="E8" s="8">
        <v>52.585868277467952</v>
      </c>
      <c r="F8" s="8">
        <v>-0.17195795622710669</v>
      </c>
      <c r="G8" s="8">
        <v>62.942432282581493</v>
      </c>
      <c r="H8" s="152">
        <v>-0.21942130243482039</v>
      </c>
      <c r="I8" s="153">
        <v>14.117400419287211</v>
      </c>
      <c r="J8" s="154">
        <v>-0.14347994850247839</v>
      </c>
      <c r="K8" s="8">
        <v>14.755965000747345</v>
      </c>
      <c r="L8" s="8">
        <v>-0.17195795622710669</v>
      </c>
      <c r="M8" s="8">
        <v>17.098744275169516</v>
      </c>
      <c r="N8" s="8">
        <v>-0.21942130243482039</v>
      </c>
      <c r="O8" s="160">
        <v>4.1886792452830184</v>
      </c>
      <c r="P8" s="161">
        <v>-0.14347994850247839</v>
      </c>
      <c r="Q8" s="8">
        <v>4.454174232061848</v>
      </c>
      <c r="R8" s="8">
        <v>-0.17195795622710669</v>
      </c>
      <c r="S8" s="8">
        <v>4.8234955204774179</v>
      </c>
      <c r="T8" s="152">
        <v>-0.21942130243482039</v>
      </c>
      <c r="U8" s="151">
        <v>4.6540880503144651E-2</v>
      </c>
      <c r="V8" s="8">
        <v>-0.14347994850247839</v>
      </c>
      <c r="W8" s="8">
        <v>5.2436058700209648E-2</v>
      </c>
      <c r="X8" s="8">
        <v>-0.17195795622710669</v>
      </c>
      <c r="Y8" s="8">
        <v>8.6876310272536672E-2</v>
      </c>
      <c r="Z8" s="152">
        <v>-0.21942130243482039</v>
      </c>
    </row>
    <row r="9" spans="3:26" x14ac:dyDescent="0.35">
      <c r="C9" s="151">
        <v>66.830188679245282</v>
      </c>
      <c r="D9" s="8">
        <v>-0.13846968723611039</v>
      </c>
      <c r="E9" s="8">
        <v>70.35136431715307</v>
      </c>
      <c r="F9" s="8">
        <v>-0.15591351986497953</v>
      </c>
      <c r="G9" s="8">
        <v>84.206767513183351</v>
      </c>
      <c r="H9" s="152">
        <v>-0.18498657424642811</v>
      </c>
      <c r="I9" s="153">
        <v>18.886792452830189</v>
      </c>
      <c r="J9" s="154">
        <v>-0.13846968723611039</v>
      </c>
      <c r="K9" s="8">
        <v>19.741088311810636</v>
      </c>
      <c r="L9" s="8">
        <v>-0.15591351986497953</v>
      </c>
      <c r="M9" s="8">
        <v>22.875347070834891</v>
      </c>
      <c r="N9" s="8">
        <v>-0.18498657424642811</v>
      </c>
      <c r="O9" s="160">
        <v>5.6037735849056602</v>
      </c>
      <c r="P9" s="161">
        <v>-0.13846968723611039</v>
      </c>
      <c r="Q9" s="8">
        <v>5.9589628239746339</v>
      </c>
      <c r="R9" s="8">
        <v>-0.15591351986497953</v>
      </c>
      <c r="S9" s="8">
        <v>6.453054817936005</v>
      </c>
      <c r="T9" s="152">
        <v>-0.18498657424642811</v>
      </c>
      <c r="U9" s="151">
        <v>6.2264150943396226E-2</v>
      </c>
      <c r="V9" s="8">
        <v>-0.13846968723611039</v>
      </c>
      <c r="W9" s="8">
        <v>7.015094339622642E-2</v>
      </c>
      <c r="X9" s="8">
        <v>-0.15591351986497953</v>
      </c>
      <c r="Y9" s="8">
        <v>0.11622641509433961</v>
      </c>
      <c r="Z9" s="152">
        <v>-0.18498657424642811</v>
      </c>
    </row>
    <row r="10" spans="3:26" x14ac:dyDescent="0.35">
      <c r="C10" s="151">
        <v>83.706498951781967</v>
      </c>
      <c r="D10" s="8">
        <v>7.6573028079437847E-2</v>
      </c>
      <c r="E10" s="8">
        <v>88.116860356838188</v>
      </c>
      <c r="F10" s="8">
        <v>9.5315183119666306E-3</v>
      </c>
      <c r="G10" s="8">
        <v>105.47110274378521</v>
      </c>
      <c r="H10" s="152">
        <v>-0.1022043313004854</v>
      </c>
      <c r="I10" s="153">
        <v>23.656184486373167</v>
      </c>
      <c r="J10" s="154">
        <v>7.6573028079437847E-2</v>
      </c>
      <c r="K10" s="8">
        <v>24.726211622873926</v>
      </c>
      <c r="L10" s="8">
        <v>9.5315183119666306E-3</v>
      </c>
      <c r="M10" s="8">
        <v>28.651949866500267</v>
      </c>
      <c r="N10" s="8">
        <v>-0.1022043313004854</v>
      </c>
      <c r="O10" s="160">
        <v>7.0188679245283021</v>
      </c>
      <c r="P10" s="161">
        <v>7.6573028079437847E-2</v>
      </c>
      <c r="Q10" s="8">
        <v>7.4637514158874207</v>
      </c>
      <c r="R10" s="8">
        <v>9.5315183119666306E-3</v>
      </c>
      <c r="S10" s="8">
        <v>8.0826141153945912</v>
      </c>
      <c r="T10" s="152">
        <v>-0.1022043313004854</v>
      </c>
      <c r="U10" s="151">
        <v>7.7987421383647795E-2</v>
      </c>
      <c r="V10" s="8">
        <v>7.6573028079437847E-2</v>
      </c>
      <c r="W10" s="8">
        <v>8.7865828092243192E-2</v>
      </c>
      <c r="X10" s="8">
        <v>9.5315183119666306E-3</v>
      </c>
      <c r="Y10" s="8">
        <v>0.14557651991614254</v>
      </c>
      <c r="Z10" s="152">
        <v>-0.1022043313004854</v>
      </c>
    </row>
    <row r="11" spans="3:26" x14ac:dyDescent="0.35">
      <c r="C11" s="151">
        <v>85.056603773584897</v>
      </c>
      <c r="D11" s="8">
        <v>0.50420411664041909</v>
      </c>
      <c r="E11" s="8">
        <v>89.538100040012992</v>
      </c>
      <c r="F11" s="8">
        <v>0.36557785644283125</v>
      </c>
      <c r="G11" s="8">
        <v>107.17224956223336</v>
      </c>
      <c r="H11" s="152">
        <v>0.13453408944685141</v>
      </c>
      <c r="I11" s="153">
        <v>24.037735849056606</v>
      </c>
      <c r="J11" s="154">
        <v>0.50420411664041909</v>
      </c>
      <c r="K11" s="8">
        <v>25.125021487758989</v>
      </c>
      <c r="L11" s="8">
        <v>0.36557785644283125</v>
      </c>
      <c r="M11" s="8">
        <v>29.114078090153498</v>
      </c>
      <c r="N11" s="8">
        <v>0.13453408944685141</v>
      </c>
      <c r="O11" s="160">
        <v>7.1320754716981138</v>
      </c>
      <c r="P11" s="161">
        <v>0.50420411664041909</v>
      </c>
      <c r="Q11" s="8">
        <v>7.5841345032404437</v>
      </c>
      <c r="R11" s="8">
        <v>0.36557785644283125</v>
      </c>
      <c r="S11" s="8">
        <v>8.2129788591912778</v>
      </c>
      <c r="T11" s="152">
        <v>0.13453408944685141</v>
      </c>
      <c r="U11" s="151">
        <v>7.9245283018867921E-2</v>
      </c>
      <c r="V11" s="8">
        <v>0.50420411664041909</v>
      </c>
      <c r="W11" s="8">
        <v>8.928301886792453E-2</v>
      </c>
      <c r="X11" s="8">
        <v>0.36557785644283125</v>
      </c>
      <c r="Y11" s="8">
        <v>0.14792452830188677</v>
      </c>
      <c r="Z11" s="152">
        <v>0.13453408944685141</v>
      </c>
    </row>
    <row r="12" spans="3:26" x14ac:dyDescent="0.35">
      <c r="C12" s="151">
        <v>86.406708595387826</v>
      </c>
      <c r="D12" s="8">
        <v>0.50420411664041909</v>
      </c>
      <c r="E12" s="8">
        <v>90.959339723187796</v>
      </c>
      <c r="F12" s="8">
        <v>0.36557785644283125</v>
      </c>
      <c r="G12" s="8">
        <v>108.87339638068151</v>
      </c>
      <c r="H12" s="152">
        <v>0.13453408944685141</v>
      </c>
      <c r="I12" s="153">
        <v>24.419287211740045</v>
      </c>
      <c r="J12" s="154">
        <v>0.50420411664041909</v>
      </c>
      <c r="K12" s="8">
        <v>25.523831352644052</v>
      </c>
      <c r="L12" s="8">
        <v>0.36557785644283125</v>
      </c>
      <c r="M12" s="8">
        <v>29.576206313806729</v>
      </c>
      <c r="N12" s="8">
        <v>0.13453408944685141</v>
      </c>
      <c r="O12" s="160">
        <v>7.2452830188679256</v>
      </c>
      <c r="P12" s="161">
        <v>0.50420411664041909</v>
      </c>
      <c r="Q12" s="8">
        <v>7.7045175905934666</v>
      </c>
      <c r="R12" s="8">
        <v>0.36557785644283125</v>
      </c>
      <c r="S12" s="8">
        <v>8.3433436029879644</v>
      </c>
      <c r="T12" s="152">
        <v>0.13453408944685141</v>
      </c>
      <c r="U12" s="151">
        <v>8.0503144654088046E-2</v>
      </c>
      <c r="V12" s="8">
        <v>0.50420411664041909</v>
      </c>
      <c r="W12" s="8">
        <v>9.0700209643605867E-2</v>
      </c>
      <c r="X12" s="8">
        <v>0.36557785644283125</v>
      </c>
      <c r="Y12" s="8">
        <v>0.15027253668763099</v>
      </c>
      <c r="Z12" s="152">
        <v>0.13453408944685141</v>
      </c>
    </row>
    <row r="13" spans="3:26" x14ac:dyDescent="0.35">
      <c r="C13" s="151">
        <v>87.891823899371062</v>
      </c>
      <c r="D13" s="8">
        <v>1.120169129269551</v>
      </c>
      <c r="E13" s="8">
        <v>92.522703374680091</v>
      </c>
      <c r="F13" s="8">
        <v>0.89129803226173732</v>
      </c>
      <c r="G13" s="8">
        <v>110.74465788097447</v>
      </c>
      <c r="H13" s="152">
        <v>0.50984620391538082</v>
      </c>
      <c r="I13" s="153">
        <v>24.838993710691827</v>
      </c>
      <c r="J13" s="154">
        <v>1.120169129269551</v>
      </c>
      <c r="K13" s="8">
        <v>25.96252220401762</v>
      </c>
      <c r="L13" s="8">
        <v>0.89129803226173732</v>
      </c>
      <c r="M13" s="8">
        <v>30.084547359825283</v>
      </c>
      <c r="N13" s="8">
        <v>0.50984620391538082</v>
      </c>
      <c r="O13" s="160">
        <v>7.3698113207547182</v>
      </c>
      <c r="P13" s="161">
        <v>1.120169129269551</v>
      </c>
      <c r="Q13" s="8">
        <v>7.8369389866817922</v>
      </c>
      <c r="R13" s="8">
        <v>0.89129803226173732</v>
      </c>
      <c r="S13" s="8">
        <v>8.4867448211643204</v>
      </c>
      <c r="T13" s="152">
        <v>0.50984620391538082</v>
      </c>
      <c r="U13" s="151">
        <v>8.188679245283019E-2</v>
      </c>
      <c r="V13" s="8">
        <v>1.120169129269551</v>
      </c>
      <c r="W13" s="8">
        <v>9.2259119496855349E-2</v>
      </c>
      <c r="X13" s="8">
        <v>0.89129803226173732</v>
      </c>
      <c r="Y13" s="8">
        <v>0.15285534591194966</v>
      </c>
      <c r="Z13" s="152">
        <v>0.50984620391538082</v>
      </c>
    </row>
    <row r="14" spans="3:26" x14ac:dyDescent="0.35">
      <c r="C14" s="151">
        <v>88.566876310272534</v>
      </c>
      <c r="D14" s="8">
        <v>1.1716638879621391</v>
      </c>
      <c r="E14" s="8">
        <v>93.233323216267493</v>
      </c>
      <c r="F14" s="8">
        <v>0.93291866206629326</v>
      </c>
      <c r="G14" s="8">
        <v>111.59523129019854</v>
      </c>
      <c r="H14" s="152">
        <v>0.53500995223988312</v>
      </c>
      <c r="I14" s="153">
        <v>25.029769392033547</v>
      </c>
      <c r="J14" s="154">
        <v>1.1716638879621391</v>
      </c>
      <c r="K14" s="8">
        <v>26.161927136460154</v>
      </c>
      <c r="L14" s="8">
        <v>0.93291866206629326</v>
      </c>
      <c r="M14" s="8">
        <v>30.315611471651899</v>
      </c>
      <c r="N14" s="8">
        <v>0.53500995223988312</v>
      </c>
      <c r="O14" s="160">
        <v>7.4264150943396237</v>
      </c>
      <c r="P14" s="161">
        <v>1.1716638879621391</v>
      </c>
      <c r="Q14" s="8">
        <v>7.8971305303583037</v>
      </c>
      <c r="R14" s="8">
        <v>0.93291866206629326</v>
      </c>
      <c r="S14" s="8">
        <v>8.5519271930626637</v>
      </c>
      <c r="T14" s="152">
        <v>0.53500995223988312</v>
      </c>
      <c r="U14" s="151">
        <v>8.2515723270440253E-2</v>
      </c>
      <c r="V14" s="8">
        <v>1.1716638879621391</v>
      </c>
      <c r="W14" s="8">
        <v>9.2967714884696018E-2</v>
      </c>
      <c r="X14" s="8">
        <v>0.93291866206629326</v>
      </c>
      <c r="Y14" s="8">
        <v>0.15402935010482177</v>
      </c>
      <c r="Z14" s="152">
        <v>0.53500995223988312</v>
      </c>
    </row>
    <row r="15" spans="3:26" x14ac:dyDescent="0.35">
      <c r="C15" s="151">
        <v>90.524528301886789</v>
      </c>
      <c r="D15" s="8">
        <v>2.5208657555515366</v>
      </c>
      <c r="E15" s="8">
        <v>95.294120756870967</v>
      </c>
      <c r="F15" s="8">
        <v>2.0818901646014245</v>
      </c>
      <c r="G15" s="8">
        <v>114.06189417694836</v>
      </c>
      <c r="H15" s="152">
        <v>1.350264179684572</v>
      </c>
      <c r="I15" s="153">
        <v>25.583018867924533</v>
      </c>
      <c r="J15" s="154">
        <v>2.5208657555515366</v>
      </c>
      <c r="K15" s="8">
        <v>26.740201440543494</v>
      </c>
      <c r="L15" s="8">
        <v>2.0818901646014245</v>
      </c>
      <c r="M15" s="8">
        <v>30.985697395949082</v>
      </c>
      <c r="N15" s="8">
        <v>1.350264179684572</v>
      </c>
      <c r="O15" s="160">
        <v>7.5905660377358499</v>
      </c>
      <c r="P15" s="161">
        <v>2.5208657555515366</v>
      </c>
      <c r="Q15" s="8">
        <v>8.0716860070201868</v>
      </c>
      <c r="R15" s="8">
        <v>2.0818901646014245</v>
      </c>
      <c r="S15" s="8">
        <v>8.7409560715678598</v>
      </c>
      <c r="T15" s="152">
        <v>1.350264179684572</v>
      </c>
      <c r="U15" s="151">
        <v>8.4339622641509432E-2</v>
      </c>
      <c r="V15" s="8">
        <v>2.5208657555515366</v>
      </c>
      <c r="W15" s="8">
        <v>9.5022641509433958E-2</v>
      </c>
      <c r="X15" s="8">
        <v>2.0818901646014245</v>
      </c>
      <c r="Y15" s="8">
        <v>0.15743396226415091</v>
      </c>
      <c r="Z15" s="152">
        <v>1.350264179684572</v>
      </c>
    </row>
    <row r="16" spans="3:26" x14ac:dyDescent="0.35">
      <c r="C16" s="151">
        <v>92.88721174004192</v>
      </c>
      <c r="D16" s="8">
        <v>3.6685487435817601</v>
      </c>
      <c r="E16" s="8">
        <v>97.781290202426888</v>
      </c>
      <c r="F16" s="8">
        <v>3.055270789342972</v>
      </c>
      <c r="G16" s="8">
        <v>117.03890110923261</v>
      </c>
      <c r="H16" s="152">
        <v>2.0331408656116561</v>
      </c>
      <c r="I16" s="153">
        <v>26.250733752620551</v>
      </c>
      <c r="J16" s="154">
        <v>3.6685487435817601</v>
      </c>
      <c r="K16" s="8">
        <v>27.438118704092354</v>
      </c>
      <c r="L16" s="8">
        <v>3.055270789342972</v>
      </c>
      <c r="M16" s="8">
        <v>31.794421787342234</v>
      </c>
      <c r="N16" s="8">
        <v>2.0331408656116561</v>
      </c>
      <c r="O16" s="160">
        <v>7.7886792452830198</v>
      </c>
      <c r="P16" s="161">
        <v>3.6685487435817601</v>
      </c>
      <c r="Q16" s="8">
        <v>8.2823564098879761</v>
      </c>
      <c r="R16" s="8">
        <v>3.055270789342972</v>
      </c>
      <c r="S16" s="8">
        <v>8.9690943732120623</v>
      </c>
      <c r="T16" s="152">
        <v>2.0331408656116561</v>
      </c>
      <c r="U16" s="151">
        <v>8.6540880503144652E-2</v>
      </c>
      <c r="V16" s="8">
        <v>3.6685487435817601</v>
      </c>
      <c r="W16" s="8">
        <v>9.7502725366876306E-2</v>
      </c>
      <c r="X16" s="8">
        <v>3.055270789342972</v>
      </c>
      <c r="Y16" s="8">
        <v>0.16154297693920333</v>
      </c>
      <c r="Z16" s="152">
        <v>2.0331408656116561</v>
      </c>
    </row>
    <row r="17" spans="3:26" x14ac:dyDescent="0.35">
      <c r="C17" s="151">
        <v>93.899790356394121</v>
      </c>
      <c r="D17" s="8">
        <v>5.2644586707873833</v>
      </c>
      <c r="E17" s="8">
        <v>98.847219964807991</v>
      </c>
      <c r="F17" s="8">
        <v>4.4139441425518946</v>
      </c>
      <c r="G17" s="8">
        <v>118.31476122306873</v>
      </c>
      <c r="H17" s="152">
        <v>2.9964199288260804</v>
      </c>
      <c r="I17" s="153">
        <v>26.53689727463313</v>
      </c>
      <c r="J17" s="154">
        <v>5.2644586707873833</v>
      </c>
      <c r="K17" s="8">
        <v>27.73722610275615</v>
      </c>
      <c r="L17" s="8">
        <v>4.4139441425518946</v>
      </c>
      <c r="M17" s="8">
        <v>32.141017955082155</v>
      </c>
      <c r="N17" s="8">
        <v>2.9964199288260804</v>
      </c>
      <c r="O17" s="160">
        <v>7.8735849056603779</v>
      </c>
      <c r="P17" s="161">
        <v>5.2644586707873833</v>
      </c>
      <c r="Q17" s="8">
        <v>8.3726437254027424</v>
      </c>
      <c r="R17" s="8">
        <v>4.4139441425518946</v>
      </c>
      <c r="S17" s="8">
        <v>9.0668679310595781</v>
      </c>
      <c r="T17" s="152">
        <v>2.9964199288260804</v>
      </c>
      <c r="U17" s="151">
        <v>8.7484276729559746E-2</v>
      </c>
      <c r="V17" s="8">
        <v>5.2644586707873833</v>
      </c>
      <c r="W17" s="8">
        <v>9.8565618448637315E-2</v>
      </c>
      <c r="X17" s="8">
        <v>4.4139441425518946</v>
      </c>
      <c r="Y17" s="8">
        <v>0.1633039832285115</v>
      </c>
      <c r="Z17" s="152">
        <v>2.9964199288260804</v>
      </c>
    </row>
    <row r="18" spans="3:26" x14ac:dyDescent="0.35">
      <c r="C18" s="151">
        <v>95.587421383647794</v>
      </c>
      <c r="D18" s="8">
        <v>5.2644586707873833</v>
      </c>
      <c r="E18" s="8">
        <v>100.62376956877651</v>
      </c>
      <c r="F18" s="8">
        <v>4.4139441425518946</v>
      </c>
      <c r="G18" s="8">
        <v>120.44119474612891</v>
      </c>
      <c r="H18" s="152">
        <v>2.9964199288260804</v>
      </c>
      <c r="I18" s="153">
        <v>27.013836477987429</v>
      </c>
      <c r="J18" s="154">
        <v>5.2644586707873833</v>
      </c>
      <c r="K18" s="8">
        <v>28.23573843386248</v>
      </c>
      <c r="L18" s="8">
        <v>4.4139441425518946</v>
      </c>
      <c r="M18" s="8">
        <v>32.718678234648692</v>
      </c>
      <c r="N18" s="8">
        <v>2.9964199288260804</v>
      </c>
      <c r="O18" s="160">
        <v>8.0150943396226424</v>
      </c>
      <c r="P18" s="161">
        <v>5.2644586707873833</v>
      </c>
      <c r="Q18" s="8">
        <v>8.5231225845940202</v>
      </c>
      <c r="R18" s="8">
        <v>4.4139441425518946</v>
      </c>
      <c r="S18" s="8">
        <v>9.2298238608054373</v>
      </c>
      <c r="T18" s="152">
        <v>2.9964199288260804</v>
      </c>
      <c r="U18" s="151">
        <v>8.9056603773584903E-2</v>
      </c>
      <c r="V18" s="8">
        <v>5.2644586707873833</v>
      </c>
      <c r="W18" s="8">
        <v>0.10033710691823899</v>
      </c>
      <c r="X18" s="8">
        <v>4.4139441425518946</v>
      </c>
      <c r="Y18" s="8">
        <v>0.16623899371069178</v>
      </c>
      <c r="Z18" s="152">
        <v>2.9964199288260804</v>
      </c>
    </row>
    <row r="19" spans="3:26" x14ac:dyDescent="0.35">
      <c r="C19" s="151">
        <v>96.262473794549265</v>
      </c>
      <c r="D19" s="8">
        <v>5.2644586707873833</v>
      </c>
      <c r="E19" s="8">
        <v>101.33438941036391</v>
      </c>
      <c r="F19" s="8">
        <v>4.4139441425518946</v>
      </c>
      <c r="G19" s="8">
        <v>121.29176815535298</v>
      </c>
      <c r="H19" s="152">
        <v>2.9964199288260804</v>
      </c>
      <c r="I19" s="153">
        <v>27.204612159329148</v>
      </c>
      <c r="J19" s="154">
        <v>5.2644586707873833</v>
      </c>
      <c r="K19" s="8">
        <v>28.435143366305013</v>
      </c>
      <c r="L19" s="8">
        <v>4.4139441425518946</v>
      </c>
      <c r="M19" s="8">
        <v>32.949742346475304</v>
      </c>
      <c r="N19" s="8">
        <v>2.9964199288260804</v>
      </c>
      <c r="O19" s="160">
        <v>8.0716981132075478</v>
      </c>
      <c r="P19" s="161">
        <v>5.2644586707873833</v>
      </c>
      <c r="Q19" s="8">
        <v>8.5833141282705316</v>
      </c>
      <c r="R19" s="8">
        <v>4.4139441425518946</v>
      </c>
      <c r="S19" s="8">
        <v>9.2950062327037806</v>
      </c>
      <c r="T19" s="152">
        <v>2.9964199288260804</v>
      </c>
      <c r="U19" s="151">
        <v>8.9685534591194965E-2</v>
      </c>
      <c r="V19" s="8">
        <v>5.2644586707873833</v>
      </c>
      <c r="W19" s="8">
        <v>0.10104570230607966</v>
      </c>
      <c r="X19" s="8">
        <v>4.4139441425518946</v>
      </c>
      <c r="Y19" s="8">
        <v>0.1674129979035639</v>
      </c>
      <c r="Z19" s="152">
        <v>2.9964199288260804</v>
      </c>
    </row>
    <row r="20" spans="3:26" x14ac:dyDescent="0.35">
      <c r="C20" s="151">
        <v>97.342557651991612</v>
      </c>
      <c r="D20" s="8">
        <v>5.2644586707873833</v>
      </c>
      <c r="E20" s="8">
        <v>102.47138115690376</v>
      </c>
      <c r="F20" s="8">
        <v>4.4139441425518946</v>
      </c>
      <c r="G20" s="8">
        <v>122.6526856101115</v>
      </c>
      <c r="H20" s="152">
        <v>2.9964199288260804</v>
      </c>
      <c r="I20" s="153">
        <v>27.509853249475899</v>
      </c>
      <c r="J20" s="154">
        <v>5.2644586707873833</v>
      </c>
      <c r="K20" s="8">
        <v>28.754191258213062</v>
      </c>
      <c r="L20" s="8">
        <v>4.4139441425518946</v>
      </c>
      <c r="M20" s="8">
        <v>33.319444925397889</v>
      </c>
      <c r="N20" s="8">
        <v>2.9964199288260804</v>
      </c>
      <c r="O20" s="160">
        <v>8.1622641509433969</v>
      </c>
      <c r="P20" s="161">
        <v>5.2644586707873833</v>
      </c>
      <c r="Q20" s="8">
        <v>8.6796205981529493</v>
      </c>
      <c r="R20" s="8">
        <v>4.4139441425518946</v>
      </c>
      <c r="S20" s="8">
        <v>9.3992980277411302</v>
      </c>
      <c r="T20" s="152">
        <v>2.9964199288260804</v>
      </c>
      <c r="U20" s="151">
        <v>9.0691823899371068E-2</v>
      </c>
      <c r="V20" s="8">
        <v>5.2644586707873833</v>
      </c>
      <c r="W20" s="8">
        <v>0.10217945492662474</v>
      </c>
      <c r="X20" s="8">
        <v>4.4139441425518946</v>
      </c>
      <c r="Y20" s="8">
        <v>0.16929140461215927</v>
      </c>
      <c r="Z20" s="152">
        <v>2.9964199288260804</v>
      </c>
    </row>
    <row r="21" spans="3:26" x14ac:dyDescent="0.35">
      <c r="C21" s="151">
        <v>98.827672955974847</v>
      </c>
      <c r="D21" s="8">
        <v>5.5908829966703557</v>
      </c>
      <c r="E21" s="8">
        <v>104.03474480839606</v>
      </c>
      <c r="F21" s="8">
        <v>4.6914048195524209</v>
      </c>
      <c r="G21" s="8">
        <v>124.52394711040446</v>
      </c>
      <c r="H21" s="152">
        <v>3.1922745243558639</v>
      </c>
      <c r="I21" s="153">
        <v>27.929559748427682</v>
      </c>
      <c r="J21" s="154">
        <v>5.5908829966703557</v>
      </c>
      <c r="K21" s="8">
        <v>29.19288210958663</v>
      </c>
      <c r="L21" s="8">
        <v>4.6914048195524209</v>
      </c>
      <c r="M21" s="8">
        <v>33.827785971416439</v>
      </c>
      <c r="N21" s="8">
        <v>3.1922745243558639</v>
      </c>
      <c r="O21" s="160">
        <v>8.2867924528301895</v>
      </c>
      <c r="P21" s="161">
        <v>5.5908829966703557</v>
      </c>
      <c r="Q21" s="8">
        <v>8.8120419942412749</v>
      </c>
      <c r="R21" s="8">
        <v>4.6914048195524209</v>
      </c>
      <c r="S21" s="8">
        <v>9.5426992459174862</v>
      </c>
      <c r="T21" s="152">
        <v>3.1922745243558639</v>
      </c>
      <c r="U21" s="151">
        <v>9.2075471698113212E-2</v>
      </c>
      <c r="V21" s="8">
        <v>5.5908829966703557</v>
      </c>
      <c r="W21" s="8">
        <v>0.10373836477987422</v>
      </c>
      <c r="X21" s="8">
        <v>4.6914048195524209</v>
      </c>
      <c r="Y21" s="8">
        <v>0.17187421383647794</v>
      </c>
      <c r="Z21" s="152">
        <v>3.1922745243558639</v>
      </c>
    </row>
    <row r="22" spans="3:26" x14ac:dyDescent="0.35">
      <c r="C22" s="151">
        <v>100.17777777777778</v>
      </c>
      <c r="D22" s="8">
        <v>5.7123614063489203</v>
      </c>
      <c r="E22" s="8">
        <v>105.45598449157086</v>
      </c>
      <c r="F22" s="8">
        <v>4.8027833692081883</v>
      </c>
      <c r="G22" s="8">
        <v>126.22509392885262</v>
      </c>
      <c r="H22" s="152">
        <v>3.2868199739736359</v>
      </c>
      <c r="I22" s="153">
        <v>28.311111111111121</v>
      </c>
      <c r="J22" s="154">
        <v>5.7665074158755081</v>
      </c>
      <c r="K22" s="8">
        <v>29.591691974471694</v>
      </c>
      <c r="L22" s="8">
        <v>4.8569293787347751</v>
      </c>
      <c r="M22" s="8">
        <v>34.520978306896282</v>
      </c>
      <c r="N22" s="8">
        <v>3.3331656114103958</v>
      </c>
      <c r="O22" s="160">
        <v>8.4</v>
      </c>
      <c r="P22" s="161">
        <v>5.7665074158755081</v>
      </c>
      <c r="Q22" s="8">
        <v>8.9324250815942978</v>
      </c>
      <c r="R22" s="8">
        <v>4.8569293787347751</v>
      </c>
      <c r="S22" s="8">
        <v>9.7382463616125161</v>
      </c>
      <c r="T22" s="152">
        <v>3.3331656114103958</v>
      </c>
      <c r="U22" s="151">
        <v>9.3333333333333338E-2</v>
      </c>
      <c r="V22" s="8">
        <v>5.7665074158755081</v>
      </c>
      <c r="W22" s="8">
        <v>0.10515555555555556</v>
      </c>
      <c r="X22" s="8">
        <v>4.8569293787347751</v>
      </c>
      <c r="Y22" s="8">
        <v>0.17539622641509428</v>
      </c>
      <c r="Z22" s="152">
        <v>3.3331656114103958</v>
      </c>
    </row>
    <row r="23" spans="3:26" x14ac:dyDescent="0.35">
      <c r="C23" s="151">
        <v>101.52788259958071</v>
      </c>
      <c r="D23" s="8">
        <v>5.7123614063489203</v>
      </c>
      <c r="E23" s="8">
        <v>106.87722417474566</v>
      </c>
      <c r="F23" s="8">
        <v>4.8027833692081883</v>
      </c>
      <c r="G23" s="8">
        <v>127.92624074730077</v>
      </c>
      <c r="H23" s="152">
        <v>3.2868199739736359</v>
      </c>
      <c r="I23" s="153">
        <v>28.692662473794559</v>
      </c>
      <c r="J23" s="154">
        <v>5.7665074158755081</v>
      </c>
      <c r="K23" s="8">
        <v>29.990501839356757</v>
      </c>
      <c r="L23" s="8">
        <v>4.8569293787347751</v>
      </c>
      <c r="M23" s="8">
        <v>34.983106530549513</v>
      </c>
      <c r="N23" s="8">
        <v>3.3409659835002232</v>
      </c>
      <c r="O23" s="160">
        <v>8.5132075471698112</v>
      </c>
      <c r="P23" s="161">
        <v>5.7665074158755081</v>
      </c>
      <c r="Q23" s="8">
        <v>9.0528081689473208</v>
      </c>
      <c r="R23" s="8">
        <v>4.8569293787347751</v>
      </c>
      <c r="S23" s="8">
        <v>9.8686111054092027</v>
      </c>
      <c r="T23" s="152">
        <v>3.3409659835002232</v>
      </c>
      <c r="U23" s="151">
        <v>9.4591194968553463E-2</v>
      </c>
      <c r="V23" s="8">
        <v>5.7665074158755081</v>
      </c>
      <c r="W23" s="8">
        <v>0.1065727463312369</v>
      </c>
      <c r="X23" s="8">
        <v>4.8569293787347751</v>
      </c>
      <c r="Y23" s="8">
        <v>0.17774423480083851</v>
      </c>
      <c r="Z23" s="152">
        <v>3.3409659835002232</v>
      </c>
    </row>
    <row r="24" spans="3:26" x14ac:dyDescent="0.35">
      <c r="C24" s="151">
        <v>103.55303983228511</v>
      </c>
      <c r="D24" s="8">
        <v>5.8352566532463275</v>
      </c>
      <c r="E24" s="8">
        <v>109.00908369950788</v>
      </c>
      <c r="F24" s="8">
        <v>4.8969725125578529</v>
      </c>
      <c r="G24" s="8">
        <v>130.477960974973</v>
      </c>
      <c r="H24" s="152">
        <v>3.3331656114103958</v>
      </c>
      <c r="I24" s="153">
        <v>29.264989517819718</v>
      </c>
      <c r="J24" s="154">
        <v>5.8352566532463275</v>
      </c>
      <c r="K24" s="8">
        <v>30.588716636684353</v>
      </c>
      <c r="L24" s="8">
        <v>4.8969725125578529</v>
      </c>
      <c r="M24" s="8">
        <v>35.445234754202744</v>
      </c>
      <c r="N24" s="8">
        <v>3.3409659835002232</v>
      </c>
      <c r="O24" s="160">
        <v>8.6830188679245275</v>
      </c>
      <c r="P24" s="161">
        <v>5.8352566532463275</v>
      </c>
      <c r="Q24" s="8">
        <v>9.2333827999768552</v>
      </c>
      <c r="R24" s="8">
        <v>4.8969725125578529</v>
      </c>
      <c r="S24" s="8">
        <v>9.9989758492058893</v>
      </c>
      <c r="T24" s="152">
        <v>3.3409659835002232</v>
      </c>
      <c r="U24" s="151">
        <v>9.6477987421383651E-2</v>
      </c>
      <c r="V24" s="8">
        <v>5.8352566532463275</v>
      </c>
      <c r="W24" s="8">
        <v>0.10869853249475891</v>
      </c>
      <c r="X24" s="8">
        <v>4.8969725125578529</v>
      </c>
      <c r="Y24" s="8">
        <v>0.18009224318658273</v>
      </c>
      <c r="Z24" s="152">
        <v>3.3409659835002232</v>
      </c>
    </row>
    <row r="25" spans="3:26" x14ac:dyDescent="0.35">
      <c r="C25" s="151">
        <v>104.97064989517818</v>
      </c>
      <c r="D25" s="8">
        <v>9.2807772763438585</v>
      </c>
      <c r="E25" s="8">
        <v>110.50138536684143</v>
      </c>
      <c r="F25" s="8">
        <v>7.8278149572748985</v>
      </c>
      <c r="G25" s="8">
        <v>132.26416513434356</v>
      </c>
      <c r="H25" s="152">
        <v>5.4062110921599649</v>
      </c>
      <c r="I25" s="153">
        <v>29.665618448637328</v>
      </c>
      <c r="J25" s="154">
        <v>9.2807772763438585</v>
      </c>
      <c r="K25" s="8">
        <v>31.007466994813669</v>
      </c>
      <c r="L25" s="8">
        <v>7.8278149572748985</v>
      </c>
      <c r="M25" s="8">
        <v>35.930469389038635</v>
      </c>
      <c r="N25" s="8">
        <v>5.4062110921599649</v>
      </c>
      <c r="O25" s="160">
        <v>8.8018867924528301</v>
      </c>
      <c r="P25" s="161">
        <v>9.2807772763438585</v>
      </c>
      <c r="Q25" s="8">
        <v>9.3597850416975295</v>
      </c>
      <c r="R25" s="8">
        <v>7.8278149572748985</v>
      </c>
      <c r="S25" s="8">
        <v>10.135858830192412</v>
      </c>
      <c r="T25" s="152">
        <v>5.4062110921599649</v>
      </c>
      <c r="U25" s="151">
        <v>9.7798742138364786E-2</v>
      </c>
      <c r="V25" s="8">
        <v>9.2807772763438585</v>
      </c>
      <c r="W25" s="8">
        <v>0.11018658280922432</v>
      </c>
      <c r="X25" s="8">
        <v>7.8278149572748985</v>
      </c>
      <c r="Y25" s="8">
        <v>0.18255765199161417</v>
      </c>
      <c r="Z25" s="152">
        <v>5.4062110921599649</v>
      </c>
    </row>
    <row r="26" spans="3:26" x14ac:dyDescent="0.35">
      <c r="C26" s="151">
        <v>105.98322851153038</v>
      </c>
      <c r="D26" s="8">
        <v>9.2807772763438585</v>
      </c>
      <c r="E26" s="8">
        <v>111.56731512922254</v>
      </c>
      <c r="F26" s="8">
        <v>7.8278149572748985</v>
      </c>
      <c r="G26" s="8">
        <v>133.54002524817966</v>
      </c>
      <c r="H26" s="152">
        <v>5.4062110921599649</v>
      </c>
      <c r="I26" s="153">
        <v>29.951781970649908</v>
      </c>
      <c r="J26" s="154">
        <v>9.2807772763438585</v>
      </c>
      <c r="K26" s="8">
        <v>31.306574393477465</v>
      </c>
      <c r="L26" s="8">
        <v>7.8278149572748985</v>
      </c>
      <c r="M26" s="8">
        <v>36.27706555677856</v>
      </c>
      <c r="N26" s="8">
        <v>5.4062110921599649</v>
      </c>
      <c r="O26" s="160">
        <v>8.8867924528301891</v>
      </c>
      <c r="P26" s="161">
        <v>9.2807772763438585</v>
      </c>
      <c r="Q26" s="8">
        <v>9.4500723572122958</v>
      </c>
      <c r="R26" s="8">
        <v>7.8278149572748985</v>
      </c>
      <c r="S26" s="8">
        <v>10.233632388039927</v>
      </c>
      <c r="T26" s="152">
        <v>5.4062110921599649</v>
      </c>
      <c r="U26" s="151">
        <v>9.874213836477988E-2</v>
      </c>
      <c r="V26" s="8">
        <v>9.2807772763438585</v>
      </c>
      <c r="W26" s="8">
        <v>0.11124947589098533</v>
      </c>
      <c r="X26" s="8">
        <v>7.8278149572748985</v>
      </c>
      <c r="Y26" s="8">
        <v>0.18431865828092234</v>
      </c>
      <c r="Z26" s="152">
        <v>5.4062110921599649</v>
      </c>
    </row>
    <row r="27" spans="3:26" x14ac:dyDescent="0.35">
      <c r="C27" s="151">
        <v>107.33333333333331</v>
      </c>
      <c r="D27" s="8">
        <v>14.872122786040128</v>
      </c>
      <c r="E27" s="8">
        <v>112.98855481239734</v>
      </c>
      <c r="F27" s="8">
        <v>12.580458640516728</v>
      </c>
      <c r="G27" s="8">
        <v>135.2411720666278</v>
      </c>
      <c r="H27" s="152">
        <v>8.7610183979777254</v>
      </c>
      <c r="I27" s="153">
        <v>30.333333333333346</v>
      </c>
      <c r="J27" s="154">
        <v>14.872122786040128</v>
      </c>
      <c r="K27" s="8">
        <v>31.705384258362528</v>
      </c>
      <c r="L27" s="8">
        <v>12.580458640516728</v>
      </c>
      <c r="M27" s="8">
        <v>36.739193780431791</v>
      </c>
      <c r="N27" s="8">
        <v>8.7610183979777254</v>
      </c>
      <c r="O27" s="160">
        <v>9</v>
      </c>
      <c r="P27" s="161">
        <v>14.872122786040128</v>
      </c>
      <c r="Q27" s="8">
        <v>9.5704554445653187</v>
      </c>
      <c r="R27" s="8">
        <v>12.580458640516728</v>
      </c>
      <c r="S27" s="8">
        <v>10.363997131836614</v>
      </c>
      <c r="T27" s="152">
        <v>8.7610183979777254</v>
      </c>
      <c r="U27" s="151">
        <v>0.1</v>
      </c>
      <c r="V27" s="8">
        <v>14.872122786040128</v>
      </c>
      <c r="W27" s="8">
        <v>0.11266666666666666</v>
      </c>
      <c r="X27" s="8">
        <v>12.580458640516728</v>
      </c>
      <c r="Y27" s="8">
        <v>0.18666666666666656</v>
      </c>
      <c r="Z27" s="152">
        <v>8.7610183979777254</v>
      </c>
    </row>
    <row r="28" spans="3:26" ht="15" thickBot="1" x14ac:dyDescent="0.4">
      <c r="C28" s="159">
        <v>108.21090146750522</v>
      </c>
      <c r="D28" s="157">
        <v>14.872122786040128</v>
      </c>
      <c r="E28" s="157">
        <v>113.91236060646096</v>
      </c>
      <c r="F28" s="157">
        <v>12.580458640516728</v>
      </c>
      <c r="G28" s="157">
        <v>136.34691749861909</v>
      </c>
      <c r="H28" s="158">
        <v>8.7610183979777254</v>
      </c>
      <c r="I28" s="155">
        <v>30.581341719077582</v>
      </c>
      <c r="J28" s="156">
        <v>14.872122786040128</v>
      </c>
      <c r="K28" s="157">
        <v>31.964610670537819</v>
      </c>
      <c r="L28" s="157">
        <v>12.580458640516728</v>
      </c>
      <c r="M28" s="157">
        <v>37.039577125806389</v>
      </c>
      <c r="N28" s="157">
        <v>8.7610183979777254</v>
      </c>
      <c r="O28" s="162">
        <v>9.0735849056603772</v>
      </c>
      <c r="P28" s="163">
        <v>14.872122786040128</v>
      </c>
      <c r="Q28" s="157">
        <v>9.6487044513447842</v>
      </c>
      <c r="R28" s="157">
        <v>12.580458640516728</v>
      </c>
      <c r="S28" s="157">
        <v>10.44873421530446</v>
      </c>
      <c r="T28" s="158">
        <v>8.2757975337199063</v>
      </c>
      <c r="U28" s="159">
        <v>0.10081761006289308</v>
      </c>
      <c r="V28" s="157">
        <v>14.872122786040128</v>
      </c>
      <c r="W28" s="157">
        <v>0.11358784067085954</v>
      </c>
      <c r="X28" s="157">
        <v>12.580458640516728</v>
      </c>
      <c r="Y28" s="157">
        <v>0.18819287211740032</v>
      </c>
      <c r="Z28" s="158">
        <v>8.7610183979777254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7D44B-683C-4786-A3D3-53070325398C}">
  <sheetPr codeName="Sheet13"/>
  <dimension ref="C1:Z52"/>
  <sheetViews>
    <sheetView workbookViewId="0">
      <selection activeCell="T88" sqref="T88"/>
    </sheetView>
  </sheetViews>
  <sheetFormatPr defaultRowHeight="14.5" x14ac:dyDescent="0.35"/>
  <sheetData>
    <row r="1" spans="3:26" ht="15" thickBot="1" x14ac:dyDescent="0.4"/>
    <row r="2" spans="3:26" x14ac:dyDescent="0.35">
      <c r="C2" s="148" t="s">
        <v>245</v>
      </c>
      <c r="D2" s="149"/>
      <c r="E2" s="149"/>
      <c r="F2" s="149"/>
      <c r="G2" s="149"/>
      <c r="H2" s="150"/>
      <c r="I2" s="148" t="s">
        <v>246</v>
      </c>
      <c r="J2" s="149"/>
      <c r="K2" s="149"/>
      <c r="L2" s="149"/>
      <c r="M2" s="149"/>
      <c r="N2" s="149"/>
      <c r="O2" s="148" t="s">
        <v>247</v>
      </c>
      <c r="P2" s="149"/>
      <c r="Q2" s="149"/>
      <c r="R2" s="149"/>
      <c r="S2" s="149"/>
      <c r="T2" s="150"/>
      <c r="U2" s="148" t="s">
        <v>278</v>
      </c>
      <c r="V2" s="149"/>
      <c r="W2" s="149"/>
      <c r="X2" s="149"/>
      <c r="Y2" s="149"/>
      <c r="Z2" s="150"/>
    </row>
    <row r="3" spans="3:26" x14ac:dyDescent="0.35">
      <c r="C3" s="151">
        <v>2019</v>
      </c>
      <c r="D3" s="8"/>
      <c r="E3" s="8">
        <v>2030</v>
      </c>
      <c r="F3" s="8"/>
      <c r="G3" s="8">
        <v>2040</v>
      </c>
      <c r="H3" s="152"/>
      <c r="I3" s="151">
        <v>2019</v>
      </c>
      <c r="J3" s="8"/>
      <c r="K3" s="8">
        <v>2030</v>
      </c>
      <c r="L3" s="8"/>
      <c r="M3" s="8">
        <v>2040</v>
      </c>
      <c r="N3" s="8"/>
      <c r="O3" s="151">
        <v>2019</v>
      </c>
      <c r="P3" s="8"/>
      <c r="Q3" s="8">
        <v>2030</v>
      </c>
      <c r="R3" s="8"/>
      <c r="S3" s="8">
        <v>2040</v>
      </c>
      <c r="T3" s="152"/>
      <c r="U3" s="151">
        <v>2019</v>
      </c>
      <c r="V3" s="8"/>
      <c r="W3" s="8">
        <v>2030</v>
      </c>
      <c r="X3" s="8"/>
      <c r="Y3" s="8">
        <v>2040</v>
      </c>
      <c r="Z3" s="152"/>
    </row>
    <row r="4" spans="3:26" x14ac:dyDescent="0.35">
      <c r="C4" s="151">
        <v>8.10062893081761</v>
      </c>
      <c r="D4" s="8">
        <v>-0.94987870640465422</v>
      </c>
      <c r="E4" s="8">
        <v>8.5274380990488581</v>
      </c>
      <c r="F4" s="8">
        <v>-0.95739690044395609</v>
      </c>
      <c r="G4" s="8">
        <v>10.206880910688891</v>
      </c>
      <c r="H4" s="152">
        <v>-0.9699272238427924</v>
      </c>
      <c r="I4" s="153">
        <v>2.2893081761006289</v>
      </c>
      <c r="J4" s="154">
        <v>-0.94987870640465422</v>
      </c>
      <c r="K4" s="8">
        <v>2.3928591893103803</v>
      </c>
      <c r="L4" s="8">
        <v>-0.95739690044395609</v>
      </c>
      <c r="M4" s="8">
        <v>2.7727693419193811</v>
      </c>
      <c r="N4" s="8">
        <v>-0.9699272238427924</v>
      </c>
      <c r="O4" s="160">
        <v>0.679245283018868</v>
      </c>
      <c r="P4" s="161">
        <v>-0.94987870640465422</v>
      </c>
      <c r="Q4" s="8">
        <v>0.72229852411813744</v>
      </c>
      <c r="R4" s="8">
        <v>-0.95739690044395609</v>
      </c>
      <c r="S4" s="8">
        <v>0.78218846278012188</v>
      </c>
      <c r="T4" s="152">
        <v>-0.9699272238427924</v>
      </c>
      <c r="U4" s="151">
        <v>7.5471698113207548E-3</v>
      </c>
      <c r="V4" s="8">
        <v>-0.94987870640465422</v>
      </c>
      <c r="W4" s="8">
        <v>8.5031446540880518E-3</v>
      </c>
      <c r="X4" s="8">
        <v>-0.95739690044395609</v>
      </c>
      <c r="Y4" s="8">
        <v>1.4088050314465408E-2</v>
      </c>
      <c r="Z4" s="152">
        <v>-0.9699272238427924</v>
      </c>
    </row>
    <row r="5" spans="3:26" x14ac:dyDescent="0.35">
      <c r="C5" s="151">
        <f>C6</f>
        <v>22.951781970649897</v>
      </c>
      <c r="D5" s="8">
        <f>D4</f>
        <v>-0.94987870640465422</v>
      </c>
      <c r="E5" s="151">
        <f>E6</f>
        <v>24.161074613971763</v>
      </c>
      <c r="F5" s="8">
        <f>F4</f>
        <v>-0.95739690044395609</v>
      </c>
      <c r="G5" s="151">
        <f>G6</f>
        <v>28.919495913618526</v>
      </c>
      <c r="H5" s="8">
        <f>H4</f>
        <v>-0.9699272238427924</v>
      </c>
      <c r="I5" s="151">
        <f>I6</f>
        <v>6.4863731656184491</v>
      </c>
      <c r="J5" s="8">
        <f>J4</f>
        <v>-0.94987870640465422</v>
      </c>
      <c r="K5" s="151">
        <f>K6</f>
        <v>6.779767703046077</v>
      </c>
      <c r="L5" s="8">
        <f>L4</f>
        <v>-0.95739690044395609</v>
      </c>
      <c r="M5" s="151">
        <f>M6</f>
        <v>7.8561798021049132</v>
      </c>
      <c r="N5" s="8">
        <f>N4</f>
        <v>-0.9699272238427924</v>
      </c>
      <c r="O5" s="151">
        <f>O6</f>
        <v>1.9245283018867925</v>
      </c>
      <c r="P5" s="8">
        <f>P4</f>
        <v>-0.94987870640465422</v>
      </c>
      <c r="Q5" s="151">
        <f>Q6</f>
        <v>2.0465124850013896</v>
      </c>
      <c r="R5" s="8">
        <f>R4</f>
        <v>-0.95739690044395609</v>
      </c>
      <c r="S5" s="151">
        <f>S6</f>
        <v>2.2162006445436786</v>
      </c>
      <c r="T5" s="8">
        <f>T4</f>
        <v>-0.9699272238427924</v>
      </c>
      <c r="U5" s="151">
        <f>U6</f>
        <v>2.1383647798742137E-2</v>
      </c>
      <c r="V5" s="8">
        <f>V4</f>
        <v>-0.94987870640465422</v>
      </c>
      <c r="W5" s="151">
        <f>W6</f>
        <v>2.4092243186582811E-2</v>
      </c>
      <c r="X5" s="8">
        <f>X4</f>
        <v>-0.95739690044395609</v>
      </c>
      <c r="Y5" s="151">
        <f>Y6</f>
        <v>3.9916142557651989E-2</v>
      </c>
      <c r="Z5" s="8">
        <f>Z4</f>
        <v>-0.9699272238427924</v>
      </c>
    </row>
    <row r="6" spans="3:26" x14ac:dyDescent="0.35">
      <c r="C6" s="151">
        <v>22.951781970649897</v>
      </c>
      <c r="D6" s="8">
        <v>-0.28586998712561951</v>
      </c>
      <c r="E6" s="8">
        <v>24.161074613971763</v>
      </c>
      <c r="F6" s="8">
        <v>-0.29298948905677658</v>
      </c>
      <c r="G6" s="8">
        <v>28.919495913618526</v>
      </c>
      <c r="H6" s="152">
        <v>-0.30485532560870487</v>
      </c>
      <c r="I6" s="153">
        <v>6.4863731656184491</v>
      </c>
      <c r="J6" s="154">
        <v>-0.28586998712561951</v>
      </c>
      <c r="K6" s="8">
        <v>6.779767703046077</v>
      </c>
      <c r="L6" s="8">
        <v>-0.29298948905677658</v>
      </c>
      <c r="M6" s="8">
        <v>7.8561798021049132</v>
      </c>
      <c r="N6" s="8">
        <v>-0.30485532560870487</v>
      </c>
      <c r="O6" s="160">
        <v>1.9245283018867925</v>
      </c>
      <c r="P6" s="161">
        <v>-0.28586998712561951</v>
      </c>
      <c r="Q6" s="8">
        <v>2.0465124850013896</v>
      </c>
      <c r="R6" s="8">
        <v>-0.29298948905677658</v>
      </c>
      <c r="S6" s="8">
        <v>2.2162006445436786</v>
      </c>
      <c r="T6" s="152">
        <v>-0.30485532560870487</v>
      </c>
      <c r="U6" s="151">
        <v>2.1383647798742137E-2</v>
      </c>
      <c r="V6" s="8">
        <v>-0.28586998712561951</v>
      </c>
      <c r="W6" s="8">
        <v>2.4092243186582811E-2</v>
      </c>
      <c r="X6" s="8">
        <v>-0.29298948905677658</v>
      </c>
      <c r="Y6" s="8">
        <v>3.9916142557651989E-2</v>
      </c>
      <c r="Z6" s="152">
        <v>-0.30485532560870487</v>
      </c>
    </row>
    <row r="7" spans="3:26" x14ac:dyDescent="0.35">
      <c r="C7" s="151">
        <f>C8</f>
        <v>31.052410901467507</v>
      </c>
      <c r="D7" s="8">
        <f>D6</f>
        <v>-0.28586998712561951</v>
      </c>
      <c r="E7" s="151">
        <f>E8</f>
        <v>32.688512713020621</v>
      </c>
      <c r="F7" s="8">
        <f>F6</f>
        <v>-0.29298948905677658</v>
      </c>
      <c r="G7" s="151">
        <f>G8</f>
        <v>39.126376824307414</v>
      </c>
      <c r="H7" s="8">
        <f>H6</f>
        <v>-0.30485532560870487</v>
      </c>
      <c r="I7" s="151">
        <f>I8</f>
        <v>8.7756813417190784</v>
      </c>
      <c r="J7" s="8">
        <f>J6</f>
        <v>-0.28586998712561951</v>
      </c>
      <c r="K7" s="151">
        <f>K8</f>
        <v>9.1726268923564582</v>
      </c>
      <c r="L7" s="8">
        <f>L6</f>
        <v>-0.29298948905677658</v>
      </c>
      <c r="M7" s="151">
        <f>M8</f>
        <v>10.628949144024293</v>
      </c>
      <c r="N7" s="8">
        <f>N6</f>
        <v>-0.30485532560870487</v>
      </c>
      <c r="O7" s="151">
        <f>O8</f>
        <v>2.6037735849056602</v>
      </c>
      <c r="P7" s="8">
        <f>P6</f>
        <v>-0.28586998712561951</v>
      </c>
      <c r="Q7" s="151">
        <f>Q8</f>
        <v>2.7688110091195268</v>
      </c>
      <c r="R7" s="8">
        <f>R6</f>
        <v>-0.29298948905677658</v>
      </c>
      <c r="S7" s="151">
        <f>S8</f>
        <v>2.9983891073238005</v>
      </c>
      <c r="T7" s="8">
        <f>T6</f>
        <v>-0.30485532560870487</v>
      </c>
      <c r="U7" s="151">
        <f>U8</f>
        <v>2.8930817610062894E-2</v>
      </c>
      <c r="V7" s="8">
        <f>V6</f>
        <v>-0.28586998712561951</v>
      </c>
      <c r="W7" s="151">
        <f>W8</f>
        <v>3.2595387840670863E-2</v>
      </c>
      <c r="X7" s="8">
        <f>X6</f>
        <v>-0.29298948905677658</v>
      </c>
      <c r="Y7" s="151">
        <f>Y8</f>
        <v>5.4004192872117399E-2</v>
      </c>
      <c r="Z7" s="8">
        <f>Z6</f>
        <v>-0.30485532560870487</v>
      </c>
    </row>
    <row r="8" spans="3:26" x14ac:dyDescent="0.35">
      <c r="C8" s="151">
        <v>31.052410901467507</v>
      </c>
      <c r="D8" s="8">
        <v>-0.23840664091790578</v>
      </c>
      <c r="E8" s="8">
        <v>32.688512713020621</v>
      </c>
      <c r="F8" s="8">
        <v>-0.25264564478021995</v>
      </c>
      <c r="G8" s="8">
        <v>39.126376824307414</v>
      </c>
      <c r="H8" s="152">
        <v>-0.27637731788407677</v>
      </c>
      <c r="I8" s="153">
        <v>8.7756813417190784</v>
      </c>
      <c r="J8" s="154">
        <v>-0.23840664091790578</v>
      </c>
      <c r="K8" s="8">
        <v>9.1726268923564582</v>
      </c>
      <c r="L8" s="8">
        <v>-0.25264564478021995</v>
      </c>
      <c r="M8" s="8">
        <v>10.628949144024293</v>
      </c>
      <c r="N8" s="8">
        <v>-0.27637731788407677</v>
      </c>
      <c r="O8" s="160">
        <v>2.6037735849056602</v>
      </c>
      <c r="P8" s="161">
        <v>-0.23840664091790578</v>
      </c>
      <c r="Q8" s="8">
        <v>2.7688110091195268</v>
      </c>
      <c r="R8" s="8">
        <v>-0.25264564478021995</v>
      </c>
      <c r="S8" s="8">
        <v>2.9983891073238005</v>
      </c>
      <c r="T8" s="152">
        <v>-0.27637731788407677</v>
      </c>
      <c r="U8" s="151">
        <v>2.8930817610062894E-2</v>
      </c>
      <c r="V8" s="8">
        <v>-0.23840664091790578</v>
      </c>
      <c r="W8" s="8">
        <v>3.2595387840670863E-2</v>
      </c>
      <c r="X8" s="8">
        <v>-0.25264564478021995</v>
      </c>
      <c r="Y8" s="8">
        <v>5.4004192872117399E-2</v>
      </c>
      <c r="Z8" s="152">
        <v>-0.27637731788407677</v>
      </c>
    </row>
    <row r="9" spans="3:26" x14ac:dyDescent="0.35">
      <c r="C9" s="151">
        <f>C10</f>
        <v>36.452830188679243</v>
      </c>
      <c r="D9" s="8">
        <f>D8</f>
        <v>-0.23840664091790578</v>
      </c>
      <c r="E9" s="151">
        <f>E10</f>
        <v>38.373471445719858</v>
      </c>
      <c r="F9" s="8">
        <f>F8</f>
        <v>-0.25264564478021995</v>
      </c>
      <c r="G9" s="151">
        <f>G10</f>
        <v>45.930964098100006</v>
      </c>
      <c r="H9" s="8">
        <f>H8</f>
        <v>-0.27637731788407677</v>
      </c>
      <c r="I9" s="151">
        <f>I10</f>
        <v>10.30188679245283</v>
      </c>
      <c r="J9" s="8">
        <f>J8</f>
        <v>-0.23840664091790578</v>
      </c>
      <c r="K9" s="151">
        <f>K10</f>
        <v>10.767866351896712</v>
      </c>
      <c r="L9" s="8">
        <f>L8</f>
        <v>-0.25264564478021995</v>
      </c>
      <c r="M9" s="151">
        <f>M10</f>
        <v>12.477462038637213</v>
      </c>
      <c r="N9" s="8">
        <f>N8</f>
        <v>-0.27637731788407677</v>
      </c>
      <c r="O9" s="151">
        <f>O10</f>
        <v>3.0566037735849054</v>
      </c>
      <c r="P9" s="8">
        <f>P8</f>
        <v>-0.23840664091790578</v>
      </c>
      <c r="Q9" s="151">
        <f>Q10</f>
        <v>3.2503433585316186</v>
      </c>
      <c r="R9" s="8">
        <f>R8</f>
        <v>-0.25264564478021995</v>
      </c>
      <c r="S9" s="151">
        <f>S10</f>
        <v>3.5198480825105483</v>
      </c>
      <c r="T9" s="8">
        <f>T8</f>
        <v>-0.27637731788407677</v>
      </c>
      <c r="U9" s="151">
        <f>U10</f>
        <v>3.3962264150943396E-2</v>
      </c>
      <c r="V9" s="8">
        <f>V8</f>
        <v>-0.23840664091790578</v>
      </c>
      <c r="W9" s="151">
        <f>W10</f>
        <v>3.8264150943396233E-2</v>
      </c>
      <c r="X9" s="8">
        <f>X8</f>
        <v>-0.25264564478021995</v>
      </c>
      <c r="Y9" s="151">
        <f>Y10</f>
        <v>6.3396226415094334E-2</v>
      </c>
      <c r="Z9" s="8">
        <f>Z8</f>
        <v>-0.27637731788407677</v>
      </c>
    </row>
    <row r="10" spans="3:26" x14ac:dyDescent="0.35">
      <c r="C10" s="151">
        <v>36.452830188679243</v>
      </c>
      <c r="D10" s="8">
        <v>-0.23840664091790578</v>
      </c>
      <c r="E10" s="8">
        <v>38.373471445719858</v>
      </c>
      <c r="F10" s="8">
        <v>-0.25264564478021995</v>
      </c>
      <c r="G10" s="8">
        <v>45.930964098100006</v>
      </c>
      <c r="H10" s="152">
        <v>-0.27637731788407677</v>
      </c>
      <c r="I10" s="153">
        <v>10.30188679245283</v>
      </c>
      <c r="J10" s="154">
        <v>-0.23840664091790578</v>
      </c>
      <c r="K10" s="8">
        <v>10.767866351896712</v>
      </c>
      <c r="L10" s="8">
        <v>-0.25264564478021995</v>
      </c>
      <c r="M10" s="8">
        <v>12.477462038637213</v>
      </c>
      <c r="N10" s="8">
        <v>-0.27637731788407677</v>
      </c>
      <c r="O10" s="160">
        <v>3.0566037735849054</v>
      </c>
      <c r="P10" s="161">
        <v>-0.23840664091790578</v>
      </c>
      <c r="Q10" s="8">
        <v>3.2503433585316186</v>
      </c>
      <c r="R10" s="8">
        <v>-0.25264564478021995</v>
      </c>
      <c r="S10" s="8">
        <v>3.5198480825105483</v>
      </c>
      <c r="T10" s="152">
        <v>-0.27637731788407677</v>
      </c>
      <c r="U10" s="151">
        <v>3.3962264150943396E-2</v>
      </c>
      <c r="V10" s="8">
        <v>-0.23840664091790578</v>
      </c>
      <c r="W10" s="8">
        <v>3.8264150943396233E-2</v>
      </c>
      <c r="X10" s="8">
        <v>-0.25264564478021995</v>
      </c>
      <c r="Y10" s="8">
        <v>6.3396226415094334E-2</v>
      </c>
      <c r="Z10" s="152">
        <v>-0.27637731788407677</v>
      </c>
    </row>
    <row r="11" spans="3:26" x14ac:dyDescent="0.35">
      <c r="C11" s="151">
        <f>C12</f>
        <v>49.953878406708597</v>
      </c>
      <c r="D11" s="8">
        <f>D10</f>
        <v>-0.23840664091790578</v>
      </c>
      <c r="E11" s="151">
        <f>E12</f>
        <v>52.585868277467952</v>
      </c>
      <c r="F11" s="8">
        <f>F10</f>
        <v>-0.25264564478021995</v>
      </c>
      <c r="G11" s="151">
        <f>G12</f>
        <v>62.942432282581493</v>
      </c>
      <c r="H11" s="8">
        <f>H10</f>
        <v>-0.27637731788407677</v>
      </c>
      <c r="I11" s="151">
        <f>I12</f>
        <v>14.117400419287211</v>
      </c>
      <c r="J11" s="8">
        <f>J10</f>
        <v>-0.23840664091790578</v>
      </c>
      <c r="K11" s="151">
        <f>K12</f>
        <v>14.755965000747345</v>
      </c>
      <c r="L11" s="8">
        <f>L10</f>
        <v>-0.25264564478021995</v>
      </c>
      <c r="M11" s="151">
        <f>M12</f>
        <v>17.098744275169516</v>
      </c>
      <c r="N11" s="8">
        <f>N10</f>
        <v>-0.27637731788407677</v>
      </c>
      <c r="O11" s="151">
        <f>O12</f>
        <v>4.1886792452830184</v>
      </c>
      <c r="P11" s="8">
        <f>P10</f>
        <v>-0.23840664091790578</v>
      </c>
      <c r="Q11" s="151">
        <f>Q12</f>
        <v>4.454174232061848</v>
      </c>
      <c r="R11" s="8">
        <f>R10</f>
        <v>-0.25264564478021995</v>
      </c>
      <c r="S11" s="151">
        <f>S12</f>
        <v>4.8234955204774179</v>
      </c>
      <c r="T11" s="8">
        <f>T10</f>
        <v>-0.27637731788407677</v>
      </c>
      <c r="U11" s="151">
        <f>U12</f>
        <v>4.6540880503144651E-2</v>
      </c>
      <c r="V11" s="8">
        <f>V10</f>
        <v>-0.23840664091790578</v>
      </c>
      <c r="W11" s="151">
        <f>W12</f>
        <v>5.2436058700209648E-2</v>
      </c>
      <c r="X11" s="8">
        <f>X10</f>
        <v>-0.25264564478021995</v>
      </c>
      <c r="Y11" s="151">
        <f>Y12</f>
        <v>8.6876310272536672E-2</v>
      </c>
      <c r="Z11" s="8">
        <f>Z10</f>
        <v>-0.27637731788407677</v>
      </c>
    </row>
    <row r="12" spans="3:26" x14ac:dyDescent="0.35">
      <c r="C12" s="151">
        <v>49.953878406708597</v>
      </c>
      <c r="D12" s="8">
        <v>-0.14347994850247839</v>
      </c>
      <c r="E12" s="8">
        <v>52.585868277467952</v>
      </c>
      <c r="F12" s="8">
        <v>-0.17195795622710669</v>
      </c>
      <c r="G12" s="8">
        <v>62.942432282581493</v>
      </c>
      <c r="H12" s="152">
        <v>-0.21942130243482039</v>
      </c>
      <c r="I12" s="153">
        <v>14.117400419287211</v>
      </c>
      <c r="J12" s="154">
        <v>-0.14347994850247839</v>
      </c>
      <c r="K12" s="8">
        <v>14.755965000747345</v>
      </c>
      <c r="L12" s="8">
        <v>-0.17195795622710669</v>
      </c>
      <c r="M12" s="8">
        <v>17.098744275169516</v>
      </c>
      <c r="N12" s="8">
        <v>-0.21942130243482039</v>
      </c>
      <c r="O12" s="160">
        <v>4.1886792452830184</v>
      </c>
      <c r="P12" s="161">
        <v>-0.14347994850247839</v>
      </c>
      <c r="Q12" s="8">
        <v>4.454174232061848</v>
      </c>
      <c r="R12" s="8">
        <v>-0.17195795622710669</v>
      </c>
      <c r="S12" s="8">
        <v>4.8234955204774179</v>
      </c>
      <c r="T12" s="152">
        <v>-0.21942130243482039</v>
      </c>
      <c r="U12" s="151">
        <v>4.6540880503144651E-2</v>
      </c>
      <c r="V12" s="8">
        <v>-0.14347994850247839</v>
      </c>
      <c r="W12" s="8">
        <v>5.2436058700209648E-2</v>
      </c>
      <c r="X12" s="8">
        <v>-0.17195795622710669</v>
      </c>
      <c r="Y12" s="8">
        <v>8.6876310272536672E-2</v>
      </c>
      <c r="Z12" s="152">
        <v>-0.21942130243482039</v>
      </c>
    </row>
    <row r="13" spans="3:26" x14ac:dyDescent="0.35">
      <c r="C13" s="151">
        <f>C14</f>
        <v>66.830188679245282</v>
      </c>
      <c r="D13" s="8">
        <f>D12</f>
        <v>-0.14347994850247839</v>
      </c>
      <c r="E13" s="151">
        <f>E14</f>
        <v>70.35136431715307</v>
      </c>
      <c r="F13" s="8">
        <f>F12</f>
        <v>-0.17195795622710669</v>
      </c>
      <c r="G13" s="151">
        <f>G14</f>
        <v>84.206767513183351</v>
      </c>
      <c r="H13" s="8">
        <f>H12</f>
        <v>-0.21942130243482039</v>
      </c>
      <c r="I13" s="151">
        <f>I14</f>
        <v>18.886792452830189</v>
      </c>
      <c r="J13" s="8">
        <f>J12</f>
        <v>-0.14347994850247839</v>
      </c>
      <c r="K13" s="151">
        <f>K14</f>
        <v>19.741088311810636</v>
      </c>
      <c r="L13" s="8">
        <f>L12</f>
        <v>-0.17195795622710669</v>
      </c>
      <c r="M13" s="151">
        <f>M14</f>
        <v>22.875347070834891</v>
      </c>
      <c r="N13" s="8">
        <f>N12</f>
        <v>-0.21942130243482039</v>
      </c>
      <c r="O13" s="151">
        <f>O14</f>
        <v>5.6037735849056602</v>
      </c>
      <c r="P13" s="8">
        <f>P12</f>
        <v>-0.14347994850247839</v>
      </c>
      <c r="Q13" s="151">
        <f>Q14</f>
        <v>5.9589628239746339</v>
      </c>
      <c r="R13" s="8">
        <f>R12</f>
        <v>-0.17195795622710669</v>
      </c>
      <c r="S13" s="151">
        <f>S14</f>
        <v>6.453054817936005</v>
      </c>
      <c r="T13" s="8">
        <f>T12</f>
        <v>-0.21942130243482039</v>
      </c>
      <c r="U13" s="151">
        <f>U14</f>
        <v>6.2264150943396226E-2</v>
      </c>
      <c r="V13" s="8">
        <f>V12</f>
        <v>-0.14347994850247839</v>
      </c>
      <c r="W13" s="151">
        <f>W14</f>
        <v>7.015094339622642E-2</v>
      </c>
      <c r="X13" s="8">
        <f>X12</f>
        <v>-0.17195795622710669</v>
      </c>
      <c r="Y13" s="151">
        <f>Y14</f>
        <v>0.11622641509433961</v>
      </c>
      <c r="Z13" s="8">
        <f>Z12</f>
        <v>-0.21942130243482039</v>
      </c>
    </row>
    <row r="14" spans="3:26" x14ac:dyDescent="0.35">
      <c r="C14" s="151">
        <v>66.830188679245282</v>
      </c>
      <c r="D14" s="8">
        <v>-0.13846968723611039</v>
      </c>
      <c r="E14" s="8">
        <v>70.35136431715307</v>
      </c>
      <c r="F14" s="8">
        <v>-0.15591351986497953</v>
      </c>
      <c r="G14" s="8">
        <v>84.206767513183351</v>
      </c>
      <c r="H14" s="152">
        <v>-0.18498657424642811</v>
      </c>
      <c r="I14" s="153">
        <v>18.886792452830189</v>
      </c>
      <c r="J14" s="154">
        <v>-0.13846968723611039</v>
      </c>
      <c r="K14" s="8">
        <v>19.741088311810636</v>
      </c>
      <c r="L14" s="8">
        <v>-0.15591351986497953</v>
      </c>
      <c r="M14" s="8">
        <v>22.875347070834891</v>
      </c>
      <c r="N14" s="8">
        <v>-0.18498657424642811</v>
      </c>
      <c r="O14" s="160">
        <v>5.6037735849056602</v>
      </c>
      <c r="P14" s="161">
        <v>-0.13846968723611039</v>
      </c>
      <c r="Q14" s="8">
        <v>5.9589628239746339</v>
      </c>
      <c r="R14" s="8">
        <v>-0.15591351986497953</v>
      </c>
      <c r="S14" s="8">
        <v>6.453054817936005</v>
      </c>
      <c r="T14" s="152">
        <v>-0.18498657424642811</v>
      </c>
      <c r="U14" s="151">
        <v>6.2264150943396226E-2</v>
      </c>
      <c r="V14" s="8">
        <v>-0.13846968723611039</v>
      </c>
      <c r="W14" s="8">
        <v>7.015094339622642E-2</v>
      </c>
      <c r="X14" s="8">
        <v>-0.15591351986497953</v>
      </c>
      <c r="Y14" s="8">
        <v>0.11622641509433961</v>
      </c>
      <c r="Z14" s="152">
        <v>-0.18498657424642811</v>
      </c>
    </row>
    <row r="15" spans="3:26" x14ac:dyDescent="0.35">
      <c r="C15" s="151">
        <f>C16</f>
        <v>83.706498951781967</v>
      </c>
      <c r="D15" s="8">
        <f>D14</f>
        <v>-0.13846968723611039</v>
      </c>
      <c r="E15" s="151">
        <f>E16</f>
        <v>88.116860356838188</v>
      </c>
      <c r="F15" s="8">
        <f>F14</f>
        <v>-0.15591351986497953</v>
      </c>
      <c r="G15" s="151">
        <f>G16</f>
        <v>105.47110274378521</v>
      </c>
      <c r="H15" s="8">
        <f>H14</f>
        <v>-0.18498657424642811</v>
      </c>
      <c r="I15" s="151">
        <f>I16</f>
        <v>23.656184486373167</v>
      </c>
      <c r="J15" s="8">
        <f>J14</f>
        <v>-0.13846968723611039</v>
      </c>
      <c r="K15" s="151">
        <f>K16</f>
        <v>24.726211622873926</v>
      </c>
      <c r="L15" s="8">
        <f>L14</f>
        <v>-0.15591351986497953</v>
      </c>
      <c r="M15" s="151">
        <f>M16</f>
        <v>28.651949866500267</v>
      </c>
      <c r="N15" s="8">
        <f>N14</f>
        <v>-0.18498657424642811</v>
      </c>
      <c r="O15" s="151">
        <f>O16</f>
        <v>7.0188679245283021</v>
      </c>
      <c r="P15" s="8">
        <f>P14</f>
        <v>-0.13846968723611039</v>
      </c>
      <c r="Q15" s="151">
        <f>Q16</f>
        <v>7.4637514158874207</v>
      </c>
      <c r="R15" s="8">
        <f>R14</f>
        <v>-0.15591351986497953</v>
      </c>
      <c r="S15" s="151">
        <f>S16</f>
        <v>8.0826141153945912</v>
      </c>
      <c r="T15" s="8">
        <f>T14</f>
        <v>-0.18498657424642811</v>
      </c>
      <c r="U15" s="151">
        <f>U16</f>
        <v>7.7987421383647795E-2</v>
      </c>
      <c r="V15" s="8">
        <f>V14</f>
        <v>-0.13846968723611039</v>
      </c>
      <c r="W15" s="151">
        <f>W16</f>
        <v>8.7865828092243192E-2</v>
      </c>
      <c r="X15" s="8">
        <f>X14</f>
        <v>-0.15591351986497953</v>
      </c>
      <c r="Y15" s="151">
        <f>Y16</f>
        <v>0.14557651991614254</v>
      </c>
      <c r="Z15" s="8">
        <f>Z14</f>
        <v>-0.18498657424642811</v>
      </c>
    </row>
    <row r="16" spans="3:26" x14ac:dyDescent="0.35">
      <c r="C16" s="151">
        <v>83.706498951781967</v>
      </c>
      <c r="D16" s="8">
        <v>7.6573028079437847E-2</v>
      </c>
      <c r="E16" s="8">
        <v>88.116860356838188</v>
      </c>
      <c r="F16" s="8">
        <v>9.5315183119666306E-3</v>
      </c>
      <c r="G16" s="8">
        <v>105.47110274378521</v>
      </c>
      <c r="H16" s="152">
        <v>-0.1022043313004854</v>
      </c>
      <c r="I16" s="153">
        <v>23.656184486373167</v>
      </c>
      <c r="J16" s="154">
        <v>7.6573028079437847E-2</v>
      </c>
      <c r="K16" s="8">
        <v>24.726211622873926</v>
      </c>
      <c r="L16" s="8">
        <v>9.5315183119666306E-3</v>
      </c>
      <c r="M16" s="8">
        <v>28.651949866500267</v>
      </c>
      <c r="N16" s="8">
        <v>-0.1022043313004854</v>
      </c>
      <c r="O16" s="160">
        <v>7.0188679245283021</v>
      </c>
      <c r="P16" s="161">
        <v>7.6573028079437847E-2</v>
      </c>
      <c r="Q16" s="8">
        <v>7.4637514158874207</v>
      </c>
      <c r="R16" s="8">
        <v>9.5315183119666306E-3</v>
      </c>
      <c r="S16" s="8">
        <v>8.0826141153945912</v>
      </c>
      <c r="T16" s="152">
        <v>-0.1022043313004854</v>
      </c>
      <c r="U16" s="151">
        <v>7.7987421383647795E-2</v>
      </c>
      <c r="V16" s="8">
        <v>7.6573028079437847E-2</v>
      </c>
      <c r="W16" s="8">
        <v>8.7865828092243192E-2</v>
      </c>
      <c r="X16" s="8">
        <v>9.5315183119666306E-3</v>
      </c>
      <c r="Y16" s="8">
        <v>0.14557651991614254</v>
      </c>
      <c r="Z16" s="152">
        <v>-0.1022043313004854</v>
      </c>
    </row>
    <row r="17" spans="3:26" x14ac:dyDescent="0.35">
      <c r="C17" s="151">
        <f>C18</f>
        <v>85.056603773584897</v>
      </c>
      <c r="D17" s="8">
        <f>D16</f>
        <v>7.6573028079437847E-2</v>
      </c>
      <c r="E17" s="151">
        <f>E18</f>
        <v>89.538100040012992</v>
      </c>
      <c r="F17" s="8">
        <f>F16</f>
        <v>9.5315183119666306E-3</v>
      </c>
      <c r="G17" s="151">
        <f>G18</f>
        <v>107.17224956223336</v>
      </c>
      <c r="H17" s="8">
        <f>H16</f>
        <v>-0.1022043313004854</v>
      </c>
      <c r="I17" s="151">
        <f>I18</f>
        <v>24.037735849056606</v>
      </c>
      <c r="J17" s="8">
        <f>J16</f>
        <v>7.6573028079437847E-2</v>
      </c>
      <c r="K17" s="151">
        <f>K18</f>
        <v>25.125021487758989</v>
      </c>
      <c r="L17" s="8">
        <f>L16</f>
        <v>9.5315183119666306E-3</v>
      </c>
      <c r="M17" s="151">
        <f>M18</f>
        <v>29.114078090153498</v>
      </c>
      <c r="N17" s="8">
        <f>N16</f>
        <v>-0.1022043313004854</v>
      </c>
      <c r="O17" s="151">
        <f>O18</f>
        <v>7.1320754716981138</v>
      </c>
      <c r="P17" s="8">
        <f>P16</f>
        <v>7.6573028079437847E-2</v>
      </c>
      <c r="Q17" s="151">
        <f>Q18</f>
        <v>7.5841345032404437</v>
      </c>
      <c r="R17" s="8">
        <f>R16</f>
        <v>9.5315183119666306E-3</v>
      </c>
      <c r="S17" s="151">
        <f>S18</f>
        <v>8.2129788591912778</v>
      </c>
      <c r="T17" s="8">
        <f>T16</f>
        <v>-0.1022043313004854</v>
      </c>
      <c r="U17" s="151">
        <f>U18</f>
        <v>7.9245283018867921E-2</v>
      </c>
      <c r="V17" s="8">
        <f>V16</f>
        <v>7.6573028079437847E-2</v>
      </c>
      <c r="W17" s="151">
        <f>W18</f>
        <v>8.928301886792453E-2</v>
      </c>
      <c r="X17" s="8">
        <f>X16</f>
        <v>9.5315183119666306E-3</v>
      </c>
      <c r="Y17" s="151">
        <f>Y18</f>
        <v>0.14792452830188677</v>
      </c>
      <c r="Z17" s="8">
        <f>Z16</f>
        <v>-0.1022043313004854</v>
      </c>
    </row>
    <row r="18" spans="3:26" x14ac:dyDescent="0.35">
      <c r="C18" s="151">
        <v>85.056603773584897</v>
      </c>
      <c r="D18" s="8">
        <v>0.50420411664041909</v>
      </c>
      <c r="E18" s="8">
        <v>89.538100040012992</v>
      </c>
      <c r="F18" s="8">
        <v>0.36557785644283125</v>
      </c>
      <c r="G18" s="8">
        <v>107.17224956223336</v>
      </c>
      <c r="H18" s="152">
        <v>0.13453408944685141</v>
      </c>
      <c r="I18" s="153">
        <v>24.037735849056606</v>
      </c>
      <c r="J18" s="154">
        <v>0.50420411664041909</v>
      </c>
      <c r="K18" s="8">
        <v>25.125021487758989</v>
      </c>
      <c r="L18" s="8">
        <v>0.36557785644283125</v>
      </c>
      <c r="M18" s="8">
        <v>29.114078090153498</v>
      </c>
      <c r="N18" s="8">
        <v>0.13453408944685141</v>
      </c>
      <c r="O18" s="160">
        <v>7.1320754716981138</v>
      </c>
      <c r="P18" s="161">
        <v>0.50420411664041909</v>
      </c>
      <c r="Q18" s="8">
        <v>7.5841345032404437</v>
      </c>
      <c r="R18" s="8">
        <v>0.36557785644283125</v>
      </c>
      <c r="S18" s="8">
        <v>8.2129788591912778</v>
      </c>
      <c r="T18" s="152">
        <v>0.13453408944685141</v>
      </c>
      <c r="U18" s="151">
        <v>7.9245283018867921E-2</v>
      </c>
      <c r="V18" s="8">
        <v>0.50420411664041909</v>
      </c>
      <c r="W18" s="8">
        <v>8.928301886792453E-2</v>
      </c>
      <c r="X18" s="8">
        <v>0.36557785644283125</v>
      </c>
      <c r="Y18" s="8">
        <v>0.14792452830188677</v>
      </c>
      <c r="Z18" s="152">
        <v>0.13453408944685141</v>
      </c>
    </row>
    <row r="19" spans="3:26" x14ac:dyDescent="0.35">
      <c r="C19" s="151">
        <f>C20</f>
        <v>86.406708595387826</v>
      </c>
      <c r="D19" s="8">
        <f>D18</f>
        <v>0.50420411664041909</v>
      </c>
      <c r="E19" s="151">
        <f>E20</f>
        <v>90.959339723187796</v>
      </c>
      <c r="F19" s="8">
        <f>F18</f>
        <v>0.36557785644283125</v>
      </c>
      <c r="G19" s="151">
        <f>G20</f>
        <v>108.87339638068151</v>
      </c>
      <c r="H19" s="8">
        <f>H18</f>
        <v>0.13453408944685141</v>
      </c>
      <c r="I19" s="151">
        <f>I20</f>
        <v>24.419287211740045</v>
      </c>
      <c r="J19" s="8">
        <f>J18</f>
        <v>0.50420411664041909</v>
      </c>
      <c r="K19" s="151">
        <f>K20</f>
        <v>25.523831352644052</v>
      </c>
      <c r="L19" s="8">
        <f>L18</f>
        <v>0.36557785644283125</v>
      </c>
      <c r="M19" s="151">
        <f>M20</f>
        <v>29.576206313806729</v>
      </c>
      <c r="N19" s="8">
        <f>N18</f>
        <v>0.13453408944685141</v>
      </c>
      <c r="O19" s="151">
        <f>O20</f>
        <v>7.2452830188679256</v>
      </c>
      <c r="P19" s="8">
        <f>P18</f>
        <v>0.50420411664041909</v>
      </c>
      <c r="Q19" s="151">
        <f>Q20</f>
        <v>7.7045175905934666</v>
      </c>
      <c r="R19" s="8">
        <f>R18</f>
        <v>0.36557785644283125</v>
      </c>
      <c r="S19" s="151">
        <f>S20</f>
        <v>8.3433436029879644</v>
      </c>
      <c r="T19" s="8">
        <f>T18</f>
        <v>0.13453408944685141</v>
      </c>
      <c r="U19" s="151">
        <f>U20</f>
        <v>8.0503144654088046E-2</v>
      </c>
      <c r="V19" s="8">
        <f>V18</f>
        <v>0.50420411664041909</v>
      </c>
      <c r="W19" s="151">
        <f>W20</f>
        <v>9.0700209643605867E-2</v>
      </c>
      <c r="X19" s="8">
        <f>X18</f>
        <v>0.36557785644283125</v>
      </c>
      <c r="Y19" s="151">
        <f>Y20</f>
        <v>0.15027253668763099</v>
      </c>
      <c r="Z19" s="8">
        <f>Z18</f>
        <v>0.13453408944685141</v>
      </c>
    </row>
    <row r="20" spans="3:26" x14ac:dyDescent="0.35">
      <c r="C20" s="151">
        <v>86.406708595387826</v>
      </c>
      <c r="D20" s="8">
        <v>0.50420411664041909</v>
      </c>
      <c r="E20" s="8">
        <v>90.959339723187796</v>
      </c>
      <c r="F20" s="8">
        <v>0.36557785644283125</v>
      </c>
      <c r="G20" s="8">
        <v>108.87339638068151</v>
      </c>
      <c r="H20" s="152">
        <v>0.13453408944685141</v>
      </c>
      <c r="I20" s="153">
        <v>24.419287211740045</v>
      </c>
      <c r="J20" s="154">
        <v>0.50420411664041909</v>
      </c>
      <c r="K20" s="8">
        <v>25.523831352644052</v>
      </c>
      <c r="L20" s="8">
        <v>0.36557785644283125</v>
      </c>
      <c r="M20" s="8">
        <v>29.576206313806729</v>
      </c>
      <c r="N20" s="8">
        <v>0.13453408944685141</v>
      </c>
      <c r="O20" s="160">
        <v>7.2452830188679256</v>
      </c>
      <c r="P20" s="161">
        <v>0.50420411664041909</v>
      </c>
      <c r="Q20" s="8">
        <v>7.7045175905934666</v>
      </c>
      <c r="R20" s="8">
        <v>0.36557785644283125</v>
      </c>
      <c r="S20" s="8">
        <v>8.3433436029879644</v>
      </c>
      <c r="T20" s="152">
        <v>0.13453408944685141</v>
      </c>
      <c r="U20" s="151">
        <v>8.0503144654088046E-2</v>
      </c>
      <c r="V20" s="8">
        <v>0.50420411664041909</v>
      </c>
      <c r="W20" s="8">
        <v>9.0700209643605867E-2</v>
      </c>
      <c r="X20" s="8">
        <v>0.36557785644283125</v>
      </c>
      <c r="Y20" s="8">
        <v>0.15027253668763099</v>
      </c>
      <c r="Z20" s="152">
        <v>0.13453408944685141</v>
      </c>
    </row>
    <row r="21" spans="3:26" x14ac:dyDescent="0.35">
      <c r="C21" s="151">
        <f>C22</f>
        <v>87.891823899371062</v>
      </c>
      <c r="D21" s="8">
        <f>D20</f>
        <v>0.50420411664041909</v>
      </c>
      <c r="E21" s="151">
        <f>E22</f>
        <v>92.522703374680091</v>
      </c>
      <c r="F21" s="8">
        <f>F20</f>
        <v>0.36557785644283125</v>
      </c>
      <c r="G21" s="151">
        <f>G22</f>
        <v>110.74465788097447</v>
      </c>
      <c r="H21" s="8">
        <f>H20</f>
        <v>0.13453408944685141</v>
      </c>
      <c r="I21" s="151">
        <f>I22</f>
        <v>24.838993710691827</v>
      </c>
      <c r="J21" s="8">
        <f>J20</f>
        <v>0.50420411664041909</v>
      </c>
      <c r="K21" s="151">
        <f>K22</f>
        <v>25.96252220401762</v>
      </c>
      <c r="L21" s="8">
        <f>L20</f>
        <v>0.36557785644283125</v>
      </c>
      <c r="M21" s="151">
        <f>M22</f>
        <v>30.084547359825283</v>
      </c>
      <c r="N21" s="8">
        <f>N20</f>
        <v>0.13453408944685141</v>
      </c>
      <c r="O21" s="151">
        <f>O22</f>
        <v>7.3698113207547182</v>
      </c>
      <c r="P21" s="8">
        <f>P20</f>
        <v>0.50420411664041909</v>
      </c>
      <c r="Q21" s="151">
        <f>Q22</f>
        <v>7.8369389866817922</v>
      </c>
      <c r="R21" s="8">
        <f>R20</f>
        <v>0.36557785644283125</v>
      </c>
      <c r="S21" s="151">
        <f>S22</f>
        <v>8.4867448211643204</v>
      </c>
      <c r="T21" s="8">
        <f>T20</f>
        <v>0.13453408944685141</v>
      </c>
      <c r="U21" s="151">
        <f>U22</f>
        <v>8.188679245283019E-2</v>
      </c>
      <c r="V21" s="8">
        <f>V20</f>
        <v>0.50420411664041909</v>
      </c>
      <c r="W21" s="151">
        <f>W22</f>
        <v>9.2259119496855349E-2</v>
      </c>
      <c r="X21" s="8">
        <f>X20</f>
        <v>0.36557785644283125</v>
      </c>
      <c r="Y21" s="151">
        <f>Y22</f>
        <v>0.15285534591194966</v>
      </c>
      <c r="Z21" s="8">
        <f>Z20</f>
        <v>0.13453408944685141</v>
      </c>
    </row>
    <row r="22" spans="3:26" x14ac:dyDescent="0.35">
      <c r="C22" s="151">
        <v>87.891823899371062</v>
      </c>
      <c r="D22" s="8">
        <v>1.120169129269551</v>
      </c>
      <c r="E22" s="8">
        <v>92.522703374680091</v>
      </c>
      <c r="F22" s="8">
        <v>0.89129803226173732</v>
      </c>
      <c r="G22" s="8">
        <v>110.74465788097447</v>
      </c>
      <c r="H22" s="152">
        <v>0.50984620391538082</v>
      </c>
      <c r="I22" s="153">
        <v>24.838993710691827</v>
      </c>
      <c r="J22" s="154">
        <v>1.120169129269551</v>
      </c>
      <c r="K22" s="8">
        <v>25.96252220401762</v>
      </c>
      <c r="L22" s="8">
        <v>0.89129803226173732</v>
      </c>
      <c r="M22" s="8">
        <v>30.084547359825283</v>
      </c>
      <c r="N22" s="8">
        <v>0.50984620391538082</v>
      </c>
      <c r="O22" s="160">
        <v>7.3698113207547182</v>
      </c>
      <c r="P22" s="161">
        <v>1.120169129269551</v>
      </c>
      <c r="Q22" s="8">
        <v>7.8369389866817922</v>
      </c>
      <c r="R22" s="8">
        <v>0.89129803226173732</v>
      </c>
      <c r="S22" s="8">
        <v>8.4867448211643204</v>
      </c>
      <c r="T22" s="152">
        <v>0.50984620391538082</v>
      </c>
      <c r="U22" s="151">
        <v>8.188679245283019E-2</v>
      </c>
      <c r="V22" s="8">
        <v>1.120169129269551</v>
      </c>
      <c r="W22" s="8">
        <v>9.2259119496855349E-2</v>
      </c>
      <c r="X22" s="8">
        <v>0.89129803226173732</v>
      </c>
      <c r="Y22" s="8">
        <v>0.15285534591194966</v>
      </c>
      <c r="Z22" s="152">
        <v>0.50984620391538082</v>
      </c>
    </row>
    <row r="23" spans="3:26" x14ac:dyDescent="0.35">
      <c r="C23" s="151">
        <f>C24</f>
        <v>88.566876310272534</v>
      </c>
      <c r="D23" s="8">
        <f>D22</f>
        <v>1.120169129269551</v>
      </c>
      <c r="E23" s="151">
        <f>E24</f>
        <v>93.233323216267493</v>
      </c>
      <c r="F23" s="8">
        <f>F22</f>
        <v>0.89129803226173732</v>
      </c>
      <c r="G23" s="151">
        <f>G24</f>
        <v>111.59523129019854</v>
      </c>
      <c r="H23" s="8">
        <f>H22</f>
        <v>0.50984620391538082</v>
      </c>
      <c r="I23" s="151">
        <f>I24</f>
        <v>25.029769392033547</v>
      </c>
      <c r="J23" s="8">
        <f>J22</f>
        <v>1.120169129269551</v>
      </c>
      <c r="K23" s="151">
        <f>K24</f>
        <v>26.161927136460154</v>
      </c>
      <c r="L23" s="8">
        <f>L22</f>
        <v>0.89129803226173732</v>
      </c>
      <c r="M23" s="151">
        <f>M24</f>
        <v>30.315611471651899</v>
      </c>
      <c r="N23" s="8">
        <f>N22</f>
        <v>0.50984620391538082</v>
      </c>
      <c r="O23" s="151">
        <f>O24</f>
        <v>7.4264150943396237</v>
      </c>
      <c r="P23" s="8">
        <f>P22</f>
        <v>1.120169129269551</v>
      </c>
      <c r="Q23" s="151">
        <f>Q24</f>
        <v>7.8971305303583037</v>
      </c>
      <c r="R23" s="8">
        <f>R22</f>
        <v>0.89129803226173732</v>
      </c>
      <c r="S23" s="151">
        <f>S24</f>
        <v>8.5519271930626637</v>
      </c>
      <c r="T23" s="8">
        <f>T22</f>
        <v>0.50984620391538082</v>
      </c>
      <c r="U23" s="151">
        <f>U24</f>
        <v>8.2515723270440253E-2</v>
      </c>
      <c r="V23" s="8">
        <f>V22</f>
        <v>1.120169129269551</v>
      </c>
      <c r="W23" s="151">
        <f>W24</f>
        <v>9.2967714884696018E-2</v>
      </c>
      <c r="X23" s="8">
        <f>X22</f>
        <v>0.89129803226173732</v>
      </c>
      <c r="Y23" s="151">
        <f>Y24</f>
        <v>0.15402935010482177</v>
      </c>
      <c r="Z23" s="8">
        <f>Z22</f>
        <v>0.50984620391538082</v>
      </c>
    </row>
    <row r="24" spans="3:26" x14ac:dyDescent="0.35">
      <c r="C24" s="151">
        <v>88.566876310272534</v>
      </c>
      <c r="D24" s="8">
        <v>1.1716638879621391</v>
      </c>
      <c r="E24" s="8">
        <v>93.233323216267493</v>
      </c>
      <c r="F24" s="8">
        <v>0.93291866206629326</v>
      </c>
      <c r="G24" s="8">
        <v>111.59523129019854</v>
      </c>
      <c r="H24" s="152">
        <v>0.53500995223988312</v>
      </c>
      <c r="I24" s="153">
        <v>25.029769392033547</v>
      </c>
      <c r="J24" s="154">
        <v>1.1716638879621391</v>
      </c>
      <c r="K24" s="8">
        <v>26.161927136460154</v>
      </c>
      <c r="L24" s="8">
        <v>0.93291866206629326</v>
      </c>
      <c r="M24" s="8">
        <v>30.315611471651899</v>
      </c>
      <c r="N24" s="8">
        <v>0.53500995223988312</v>
      </c>
      <c r="O24" s="160">
        <v>7.4264150943396237</v>
      </c>
      <c r="P24" s="161">
        <v>1.1716638879621391</v>
      </c>
      <c r="Q24" s="8">
        <v>7.8971305303583037</v>
      </c>
      <c r="R24" s="8">
        <v>0.93291866206629326</v>
      </c>
      <c r="S24" s="8">
        <v>8.5519271930626637</v>
      </c>
      <c r="T24" s="152">
        <v>0.53500995223988312</v>
      </c>
      <c r="U24" s="151">
        <v>8.2515723270440253E-2</v>
      </c>
      <c r="V24" s="8">
        <v>1.1716638879621391</v>
      </c>
      <c r="W24" s="8">
        <v>9.2967714884696018E-2</v>
      </c>
      <c r="X24" s="8">
        <v>0.93291866206629326</v>
      </c>
      <c r="Y24" s="8">
        <v>0.15402935010482177</v>
      </c>
      <c r="Z24" s="152">
        <v>0.53500995223988312</v>
      </c>
    </row>
    <row r="25" spans="3:26" x14ac:dyDescent="0.35">
      <c r="C25" s="151">
        <f>C26</f>
        <v>90.524528301886789</v>
      </c>
      <c r="D25" s="8">
        <f>D24</f>
        <v>1.1716638879621391</v>
      </c>
      <c r="E25" s="151">
        <f>E26</f>
        <v>95.294120756870967</v>
      </c>
      <c r="F25" s="8">
        <f>F24</f>
        <v>0.93291866206629326</v>
      </c>
      <c r="G25" s="151">
        <f>G26</f>
        <v>114.06189417694836</v>
      </c>
      <c r="H25" s="8">
        <f>H24</f>
        <v>0.53500995223988312</v>
      </c>
      <c r="I25" s="151">
        <f>I26</f>
        <v>25.583018867924533</v>
      </c>
      <c r="J25" s="8">
        <f>J24</f>
        <v>1.1716638879621391</v>
      </c>
      <c r="K25" s="151">
        <f>K26</f>
        <v>26.740201440543494</v>
      </c>
      <c r="L25" s="8">
        <f>L24</f>
        <v>0.93291866206629326</v>
      </c>
      <c r="M25" s="151">
        <f>M26</f>
        <v>30.985697395949082</v>
      </c>
      <c r="N25" s="8">
        <f>N24</f>
        <v>0.53500995223988312</v>
      </c>
      <c r="O25" s="151">
        <f>O26</f>
        <v>7.5905660377358499</v>
      </c>
      <c r="P25" s="8">
        <f>P24</f>
        <v>1.1716638879621391</v>
      </c>
      <c r="Q25" s="151">
        <f>Q26</f>
        <v>8.0716860070201868</v>
      </c>
      <c r="R25" s="8">
        <f>R24</f>
        <v>0.93291866206629326</v>
      </c>
      <c r="S25" s="151">
        <f>S26</f>
        <v>8.7409560715678598</v>
      </c>
      <c r="T25" s="8">
        <f>T24</f>
        <v>0.53500995223988312</v>
      </c>
      <c r="U25" s="151">
        <f>U26</f>
        <v>8.4339622641509432E-2</v>
      </c>
      <c r="V25" s="8">
        <f>V24</f>
        <v>1.1716638879621391</v>
      </c>
      <c r="W25" s="151">
        <f>W26</f>
        <v>9.5022641509433958E-2</v>
      </c>
      <c r="X25" s="8">
        <f>X24</f>
        <v>0.93291866206629326</v>
      </c>
      <c r="Y25" s="151">
        <f>Y26</f>
        <v>0.15743396226415091</v>
      </c>
      <c r="Z25" s="8">
        <f>Z24</f>
        <v>0.53500995223988312</v>
      </c>
    </row>
    <row r="26" spans="3:26" x14ac:dyDescent="0.35">
      <c r="C26" s="151">
        <v>90.524528301886789</v>
      </c>
      <c r="D26" s="8">
        <v>2.5208657555515366</v>
      </c>
      <c r="E26" s="8">
        <v>95.294120756870967</v>
      </c>
      <c r="F26" s="8">
        <v>2.0818901646014245</v>
      </c>
      <c r="G26" s="8">
        <v>114.06189417694836</v>
      </c>
      <c r="H26" s="152">
        <v>1.350264179684572</v>
      </c>
      <c r="I26" s="153">
        <v>25.583018867924533</v>
      </c>
      <c r="J26" s="154">
        <v>2.5208657555515366</v>
      </c>
      <c r="K26" s="8">
        <v>26.740201440543494</v>
      </c>
      <c r="L26" s="8">
        <v>2.0818901646014245</v>
      </c>
      <c r="M26" s="8">
        <v>30.985697395949082</v>
      </c>
      <c r="N26" s="8">
        <v>1.350264179684572</v>
      </c>
      <c r="O26" s="160">
        <v>7.5905660377358499</v>
      </c>
      <c r="P26" s="161">
        <v>2.5208657555515366</v>
      </c>
      <c r="Q26" s="8">
        <v>8.0716860070201868</v>
      </c>
      <c r="R26" s="8">
        <v>2.0818901646014245</v>
      </c>
      <c r="S26" s="8">
        <v>8.7409560715678598</v>
      </c>
      <c r="T26" s="152">
        <v>1.350264179684572</v>
      </c>
      <c r="U26" s="151">
        <v>8.4339622641509432E-2</v>
      </c>
      <c r="V26" s="8">
        <v>2.5208657555515366</v>
      </c>
      <c r="W26" s="8">
        <v>9.5022641509433958E-2</v>
      </c>
      <c r="X26" s="8">
        <v>2.0818901646014245</v>
      </c>
      <c r="Y26" s="8">
        <v>0.15743396226415091</v>
      </c>
      <c r="Z26" s="152">
        <v>1.350264179684572</v>
      </c>
    </row>
    <row r="27" spans="3:26" x14ac:dyDescent="0.35">
      <c r="C27" s="151">
        <f>C28</f>
        <v>92.88721174004192</v>
      </c>
      <c r="D27" s="8">
        <f>D26</f>
        <v>2.5208657555515366</v>
      </c>
      <c r="E27" s="151">
        <f>E28</f>
        <v>97.781290202426888</v>
      </c>
      <c r="F27" s="8">
        <f>F26</f>
        <v>2.0818901646014245</v>
      </c>
      <c r="G27" s="151">
        <f>G28</f>
        <v>117.03890110923261</v>
      </c>
      <c r="H27" s="8">
        <f>H26</f>
        <v>1.350264179684572</v>
      </c>
      <c r="I27" s="151">
        <f>I28</f>
        <v>26.250733752620551</v>
      </c>
      <c r="J27" s="8">
        <f>J26</f>
        <v>2.5208657555515366</v>
      </c>
      <c r="K27" s="151">
        <f>K28</f>
        <v>27.438118704092354</v>
      </c>
      <c r="L27" s="8">
        <f>L26</f>
        <v>2.0818901646014245</v>
      </c>
      <c r="M27" s="151">
        <f>M28</f>
        <v>31.794421787342234</v>
      </c>
      <c r="N27" s="8">
        <f>N26</f>
        <v>1.350264179684572</v>
      </c>
      <c r="O27" s="151">
        <f>O28</f>
        <v>7.7886792452830198</v>
      </c>
      <c r="P27" s="8">
        <f>P26</f>
        <v>2.5208657555515366</v>
      </c>
      <c r="Q27" s="151">
        <f>Q28</f>
        <v>8.2823564098879761</v>
      </c>
      <c r="R27" s="8">
        <f>R26</f>
        <v>2.0818901646014245</v>
      </c>
      <c r="S27" s="151">
        <f>S28</f>
        <v>8.9690943732120623</v>
      </c>
      <c r="T27" s="8">
        <f>T26</f>
        <v>1.350264179684572</v>
      </c>
      <c r="U27" s="151">
        <f>U28</f>
        <v>8.6540880503144652E-2</v>
      </c>
      <c r="V27" s="8">
        <f>V26</f>
        <v>2.5208657555515366</v>
      </c>
      <c r="W27" s="151">
        <f>W28</f>
        <v>9.7502725366876306E-2</v>
      </c>
      <c r="X27" s="8">
        <f>X26</f>
        <v>2.0818901646014245</v>
      </c>
      <c r="Y27" s="151">
        <f>Y28</f>
        <v>0.16154297693920333</v>
      </c>
      <c r="Z27" s="8">
        <f>Z26</f>
        <v>1.350264179684572</v>
      </c>
    </row>
    <row r="28" spans="3:26" x14ac:dyDescent="0.35">
      <c r="C28" s="151">
        <v>92.88721174004192</v>
      </c>
      <c r="D28" s="8">
        <v>3.6685487435817601</v>
      </c>
      <c r="E28" s="8">
        <v>97.781290202426888</v>
      </c>
      <c r="F28" s="8">
        <v>3.055270789342972</v>
      </c>
      <c r="G28" s="8">
        <v>117.03890110923261</v>
      </c>
      <c r="H28" s="152">
        <v>2.0331408656116561</v>
      </c>
      <c r="I28" s="153">
        <v>26.250733752620551</v>
      </c>
      <c r="J28" s="154">
        <v>3.6685487435817601</v>
      </c>
      <c r="K28" s="8">
        <v>27.438118704092354</v>
      </c>
      <c r="L28" s="8">
        <v>3.055270789342972</v>
      </c>
      <c r="M28" s="8">
        <v>31.794421787342234</v>
      </c>
      <c r="N28" s="8">
        <v>2.0331408656116561</v>
      </c>
      <c r="O28" s="160">
        <v>7.7886792452830198</v>
      </c>
      <c r="P28" s="161">
        <v>3.6685487435817601</v>
      </c>
      <c r="Q28" s="8">
        <v>8.2823564098879761</v>
      </c>
      <c r="R28" s="8">
        <v>3.055270789342972</v>
      </c>
      <c r="S28" s="8">
        <v>8.9690943732120623</v>
      </c>
      <c r="T28" s="152">
        <v>2.0331408656116561</v>
      </c>
      <c r="U28" s="151">
        <v>8.6540880503144652E-2</v>
      </c>
      <c r="V28" s="8">
        <v>3.6685487435817601</v>
      </c>
      <c r="W28" s="8">
        <v>9.7502725366876306E-2</v>
      </c>
      <c r="X28" s="8">
        <v>3.055270789342972</v>
      </c>
      <c r="Y28" s="8">
        <v>0.16154297693920333</v>
      </c>
      <c r="Z28" s="152">
        <v>2.0331408656116561</v>
      </c>
    </row>
    <row r="29" spans="3:26" x14ac:dyDescent="0.35">
      <c r="C29" s="151">
        <f>C30</f>
        <v>93.899790356394121</v>
      </c>
      <c r="D29" s="8">
        <f>D28</f>
        <v>3.6685487435817601</v>
      </c>
      <c r="E29" s="151">
        <f>E30</f>
        <v>98.847219964807991</v>
      </c>
      <c r="F29" s="8">
        <f>F28</f>
        <v>3.055270789342972</v>
      </c>
      <c r="G29" s="151">
        <f>G30</f>
        <v>118.31476122306873</v>
      </c>
      <c r="H29" s="8">
        <f>H28</f>
        <v>2.0331408656116561</v>
      </c>
      <c r="I29" s="151">
        <f>I30</f>
        <v>26.53689727463313</v>
      </c>
      <c r="J29" s="8">
        <f>J28</f>
        <v>3.6685487435817601</v>
      </c>
      <c r="K29" s="151">
        <f>K30</f>
        <v>27.73722610275615</v>
      </c>
      <c r="L29" s="8">
        <f>L28</f>
        <v>3.055270789342972</v>
      </c>
      <c r="M29" s="151">
        <f>M30</f>
        <v>32.141017955082155</v>
      </c>
      <c r="N29" s="8">
        <f>N28</f>
        <v>2.0331408656116561</v>
      </c>
      <c r="O29" s="151">
        <f>O30</f>
        <v>7.8735849056603779</v>
      </c>
      <c r="P29" s="8">
        <f>P28</f>
        <v>3.6685487435817601</v>
      </c>
      <c r="Q29" s="151">
        <f>Q30</f>
        <v>8.3726437254027424</v>
      </c>
      <c r="R29" s="8">
        <f>R28</f>
        <v>3.055270789342972</v>
      </c>
      <c r="S29" s="151">
        <f>S30</f>
        <v>9.0668679310595781</v>
      </c>
      <c r="T29" s="8">
        <f>T28</f>
        <v>2.0331408656116561</v>
      </c>
      <c r="U29" s="151">
        <f>U30</f>
        <v>8.7484276729559746E-2</v>
      </c>
      <c r="V29" s="8">
        <f>V28</f>
        <v>3.6685487435817601</v>
      </c>
      <c r="W29" s="151">
        <f>W30</f>
        <v>9.8565618448637315E-2</v>
      </c>
      <c r="X29" s="8">
        <f>X28</f>
        <v>3.055270789342972</v>
      </c>
      <c r="Y29" s="151">
        <f>Y30</f>
        <v>0.1633039832285115</v>
      </c>
      <c r="Z29" s="8">
        <f>Z28</f>
        <v>2.0331408656116561</v>
      </c>
    </row>
    <row r="30" spans="3:26" x14ac:dyDescent="0.35">
      <c r="C30" s="151">
        <v>93.899790356394121</v>
      </c>
      <c r="D30" s="8">
        <v>5.2644586707873833</v>
      </c>
      <c r="E30" s="8">
        <v>98.847219964807991</v>
      </c>
      <c r="F30" s="8">
        <v>4.4139441425518946</v>
      </c>
      <c r="G30" s="8">
        <v>118.31476122306873</v>
      </c>
      <c r="H30" s="152">
        <v>2.9964199288260804</v>
      </c>
      <c r="I30" s="153">
        <v>26.53689727463313</v>
      </c>
      <c r="J30" s="154">
        <v>5.2644586707873833</v>
      </c>
      <c r="K30" s="8">
        <v>27.73722610275615</v>
      </c>
      <c r="L30" s="8">
        <v>4.4139441425518946</v>
      </c>
      <c r="M30" s="8">
        <v>32.141017955082155</v>
      </c>
      <c r="N30" s="8">
        <v>2.9964199288260804</v>
      </c>
      <c r="O30" s="160">
        <v>7.8735849056603779</v>
      </c>
      <c r="P30" s="161">
        <v>5.2644586707873833</v>
      </c>
      <c r="Q30" s="8">
        <v>8.3726437254027424</v>
      </c>
      <c r="R30" s="8">
        <v>4.4139441425518946</v>
      </c>
      <c r="S30" s="8">
        <v>9.0668679310595781</v>
      </c>
      <c r="T30" s="152">
        <v>2.9964199288260804</v>
      </c>
      <c r="U30" s="151">
        <v>8.7484276729559746E-2</v>
      </c>
      <c r="V30" s="8">
        <v>5.2644586707873833</v>
      </c>
      <c r="W30" s="8">
        <v>9.8565618448637315E-2</v>
      </c>
      <c r="X30" s="8">
        <v>4.4139441425518946</v>
      </c>
      <c r="Y30" s="8">
        <v>0.1633039832285115</v>
      </c>
      <c r="Z30" s="152">
        <v>2.9964199288260804</v>
      </c>
    </row>
    <row r="31" spans="3:26" x14ac:dyDescent="0.35">
      <c r="C31" s="151">
        <f>C32</f>
        <v>95.587421383647794</v>
      </c>
      <c r="D31" s="8">
        <f>D30</f>
        <v>5.2644586707873833</v>
      </c>
      <c r="E31" s="151">
        <f>E32</f>
        <v>100.62376956877651</v>
      </c>
      <c r="F31" s="8">
        <f>F30</f>
        <v>4.4139441425518946</v>
      </c>
      <c r="G31" s="151">
        <f>G32</f>
        <v>120.44119474612891</v>
      </c>
      <c r="H31" s="8">
        <f>H30</f>
        <v>2.9964199288260804</v>
      </c>
      <c r="I31" s="151">
        <f>I32</f>
        <v>27.013836477987429</v>
      </c>
      <c r="J31" s="8">
        <f>J30</f>
        <v>5.2644586707873833</v>
      </c>
      <c r="K31" s="151">
        <f>K32</f>
        <v>28.23573843386248</v>
      </c>
      <c r="L31" s="8">
        <f>L30</f>
        <v>4.4139441425518946</v>
      </c>
      <c r="M31" s="151">
        <f>M32</f>
        <v>32.718678234648692</v>
      </c>
      <c r="N31" s="8">
        <f>N30</f>
        <v>2.9964199288260804</v>
      </c>
      <c r="O31" s="151">
        <f>O32</f>
        <v>8.0150943396226424</v>
      </c>
      <c r="P31" s="8">
        <f>P30</f>
        <v>5.2644586707873833</v>
      </c>
      <c r="Q31" s="151">
        <f>Q32</f>
        <v>8.5231225845940202</v>
      </c>
      <c r="R31" s="8">
        <f>R30</f>
        <v>4.4139441425518946</v>
      </c>
      <c r="S31" s="151">
        <f>S32</f>
        <v>9.2298238608054373</v>
      </c>
      <c r="T31" s="8">
        <f>T30</f>
        <v>2.9964199288260804</v>
      </c>
      <c r="U31" s="151">
        <f>U32</f>
        <v>8.9056603773584903E-2</v>
      </c>
      <c r="V31" s="8">
        <f>V30</f>
        <v>5.2644586707873833</v>
      </c>
      <c r="W31" s="151">
        <f>W32</f>
        <v>0.10033710691823899</v>
      </c>
      <c r="X31" s="8">
        <f>X30</f>
        <v>4.4139441425518946</v>
      </c>
      <c r="Y31" s="151">
        <f>Y32</f>
        <v>0.16623899371069178</v>
      </c>
      <c r="Z31" s="8">
        <f>Z30</f>
        <v>2.9964199288260804</v>
      </c>
    </row>
    <row r="32" spans="3:26" x14ac:dyDescent="0.35">
      <c r="C32" s="151">
        <v>95.587421383647794</v>
      </c>
      <c r="D32" s="8">
        <v>5.2644586707873833</v>
      </c>
      <c r="E32" s="8">
        <v>100.62376956877651</v>
      </c>
      <c r="F32" s="8">
        <v>4.4139441425518946</v>
      </c>
      <c r="G32" s="8">
        <v>120.44119474612891</v>
      </c>
      <c r="H32" s="152">
        <v>2.9964199288260804</v>
      </c>
      <c r="I32" s="153">
        <v>27.013836477987429</v>
      </c>
      <c r="J32" s="154">
        <v>5.2644586707873833</v>
      </c>
      <c r="K32" s="8">
        <v>28.23573843386248</v>
      </c>
      <c r="L32" s="8">
        <v>4.4139441425518946</v>
      </c>
      <c r="M32" s="8">
        <v>32.718678234648692</v>
      </c>
      <c r="N32" s="8">
        <v>2.9964199288260804</v>
      </c>
      <c r="O32" s="160">
        <v>8.0150943396226424</v>
      </c>
      <c r="P32" s="161">
        <v>5.2644586707873833</v>
      </c>
      <c r="Q32" s="8">
        <v>8.5231225845940202</v>
      </c>
      <c r="R32" s="8">
        <v>4.4139441425518946</v>
      </c>
      <c r="S32" s="8">
        <v>9.2298238608054373</v>
      </c>
      <c r="T32" s="152">
        <v>2.9964199288260804</v>
      </c>
      <c r="U32" s="151">
        <v>8.9056603773584903E-2</v>
      </c>
      <c r="V32" s="8">
        <v>5.2644586707873833</v>
      </c>
      <c r="W32" s="8">
        <v>0.10033710691823899</v>
      </c>
      <c r="X32" s="8">
        <v>4.4139441425518946</v>
      </c>
      <c r="Y32" s="8">
        <v>0.16623899371069178</v>
      </c>
      <c r="Z32" s="152">
        <v>2.9964199288260804</v>
      </c>
    </row>
    <row r="33" spans="3:26" x14ac:dyDescent="0.35">
      <c r="C33" s="151">
        <f>C34</f>
        <v>96.262473794549265</v>
      </c>
      <c r="D33" s="8">
        <f>D32</f>
        <v>5.2644586707873833</v>
      </c>
      <c r="E33" s="151">
        <f>E34</f>
        <v>101.33438941036391</v>
      </c>
      <c r="F33" s="8">
        <f>F32</f>
        <v>4.4139441425518946</v>
      </c>
      <c r="G33" s="151">
        <f>G34</f>
        <v>121.29176815535298</v>
      </c>
      <c r="H33" s="8">
        <f>H32</f>
        <v>2.9964199288260804</v>
      </c>
      <c r="I33" s="151">
        <f>I34</f>
        <v>27.204612159329148</v>
      </c>
      <c r="J33" s="8">
        <f>J32</f>
        <v>5.2644586707873833</v>
      </c>
      <c r="K33" s="151">
        <f>K34</f>
        <v>28.435143366305013</v>
      </c>
      <c r="L33" s="8">
        <f>L32</f>
        <v>4.4139441425518946</v>
      </c>
      <c r="M33" s="151">
        <f>M34</f>
        <v>32.949742346475304</v>
      </c>
      <c r="N33" s="8">
        <f>N32</f>
        <v>2.9964199288260804</v>
      </c>
      <c r="O33" s="151">
        <f>O34</f>
        <v>8.0716981132075478</v>
      </c>
      <c r="P33" s="8">
        <f>P32</f>
        <v>5.2644586707873833</v>
      </c>
      <c r="Q33" s="151">
        <f>Q34</f>
        <v>8.5833141282705316</v>
      </c>
      <c r="R33" s="8">
        <f>R32</f>
        <v>4.4139441425518946</v>
      </c>
      <c r="S33" s="151">
        <f>S34</f>
        <v>9.2950062327037806</v>
      </c>
      <c r="T33" s="8">
        <f>T32</f>
        <v>2.9964199288260804</v>
      </c>
      <c r="U33" s="151">
        <f>U34</f>
        <v>8.9685534591194965E-2</v>
      </c>
      <c r="V33" s="8">
        <f>V32</f>
        <v>5.2644586707873833</v>
      </c>
      <c r="W33" s="151">
        <f>W34</f>
        <v>0.10104570230607966</v>
      </c>
      <c r="X33" s="8">
        <f>X32</f>
        <v>4.4139441425518946</v>
      </c>
      <c r="Y33" s="151">
        <f>Y34</f>
        <v>0.1674129979035639</v>
      </c>
      <c r="Z33" s="8">
        <f>Z32</f>
        <v>2.9964199288260804</v>
      </c>
    </row>
    <row r="34" spans="3:26" x14ac:dyDescent="0.35">
      <c r="C34" s="151">
        <v>96.262473794549265</v>
      </c>
      <c r="D34" s="8">
        <v>5.2644586707873833</v>
      </c>
      <c r="E34" s="8">
        <v>101.33438941036391</v>
      </c>
      <c r="F34" s="8">
        <v>4.4139441425518946</v>
      </c>
      <c r="G34" s="8">
        <v>121.29176815535298</v>
      </c>
      <c r="H34" s="152">
        <v>2.9964199288260804</v>
      </c>
      <c r="I34" s="153">
        <v>27.204612159329148</v>
      </c>
      <c r="J34" s="154">
        <v>5.2644586707873833</v>
      </c>
      <c r="K34" s="8">
        <v>28.435143366305013</v>
      </c>
      <c r="L34" s="8">
        <v>4.4139441425518946</v>
      </c>
      <c r="M34" s="8">
        <v>32.949742346475304</v>
      </c>
      <c r="N34" s="8">
        <v>2.9964199288260804</v>
      </c>
      <c r="O34" s="160">
        <v>8.0716981132075478</v>
      </c>
      <c r="P34" s="161">
        <v>5.2644586707873833</v>
      </c>
      <c r="Q34" s="8">
        <v>8.5833141282705316</v>
      </c>
      <c r="R34" s="8">
        <v>4.4139441425518946</v>
      </c>
      <c r="S34" s="8">
        <v>9.2950062327037806</v>
      </c>
      <c r="T34" s="152">
        <v>2.9964199288260804</v>
      </c>
      <c r="U34" s="151">
        <v>8.9685534591194965E-2</v>
      </c>
      <c r="V34" s="8">
        <v>5.2644586707873833</v>
      </c>
      <c r="W34" s="8">
        <v>0.10104570230607966</v>
      </c>
      <c r="X34" s="8">
        <v>4.4139441425518946</v>
      </c>
      <c r="Y34" s="8">
        <v>0.1674129979035639</v>
      </c>
      <c r="Z34" s="152">
        <v>2.9964199288260804</v>
      </c>
    </row>
    <row r="35" spans="3:26" x14ac:dyDescent="0.35">
      <c r="C35" s="151">
        <f>C36</f>
        <v>97.342557651991612</v>
      </c>
      <c r="D35" s="8">
        <f>D34</f>
        <v>5.2644586707873833</v>
      </c>
      <c r="E35" s="151">
        <f>E36</f>
        <v>102.47138115690376</v>
      </c>
      <c r="F35" s="8">
        <f>F34</f>
        <v>4.4139441425518946</v>
      </c>
      <c r="G35" s="151">
        <f>G36</f>
        <v>122.6526856101115</v>
      </c>
      <c r="H35" s="8">
        <f>H34</f>
        <v>2.9964199288260804</v>
      </c>
      <c r="I35" s="151">
        <f>I36</f>
        <v>27.509853249475899</v>
      </c>
      <c r="J35" s="8">
        <f>J34</f>
        <v>5.2644586707873833</v>
      </c>
      <c r="K35" s="151">
        <f>K36</f>
        <v>28.754191258213062</v>
      </c>
      <c r="L35" s="8">
        <f>L34</f>
        <v>4.4139441425518946</v>
      </c>
      <c r="M35" s="151">
        <f>M36</f>
        <v>33.319444925397889</v>
      </c>
      <c r="N35" s="8">
        <f>N34</f>
        <v>2.9964199288260804</v>
      </c>
      <c r="O35" s="151">
        <f>O36</f>
        <v>8.1622641509433969</v>
      </c>
      <c r="P35" s="8">
        <f>P34</f>
        <v>5.2644586707873833</v>
      </c>
      <c r="Q35" s="151">
        <f>Q36</f>
        <v>8.6796205981529493</v>
      </c>
      <c r="R35" s="8">
        <f>R34</f>
        <v>4.4139441425518946</v>
      </c>
      <c r="S35" s="151">
        <f>S36</f>
        <v>9.3992980277411302</v>
      </c>
      <c r="T35" s="8">
        <f>T34</f>
        <v>2.9964199288260804</v>
      </c>
      <c r="U35" s="151">
        <f>U36</f>
        <v>9.0691823899371068E-2</v>
      </c>
      <c r="V35" s="8">
        <f>V34</f>
        <v>5.2644586707873833</v>
      </c>
      <c r="W35" s="151">
        <f>W36</f>
        <v>0.10217945492662474</v>
      </c>
      <c r="X35" s="8">
        <f>X34</f>
        <v>4.4139441425518946</v>
      </c>
      <c r="Y35" s="151">
        <f>Y36</f>
        <v>0.16929140461215927</v>
      </c>
      <c r="Z35" s="8">
        <f>Z34</f>
        <v>2.9964199288260804</v>
      </c>
    </row>
    <row r="36" spans="3:26" x14ac:dyDescent="0.35">
      <c r="C36" s="151">
        <v>97.342557651991612</v>
      </c>
      <c r="D36" s="8">
        <v>5.2644586707873833</v>
      </c>
      <c r="E36" s="8">
        <v>102.47138115690376</v>
      </c>
      <c r="F36" s="8">
        <v>4.4139441425518946</v>
      </c>
      <c r="G36" s="8">
        <v>122.6526856101115</v>
      </c>
      <c r="H36" s="152">
        <v>2.9964199288260804</v>
      </c>
      <c r="I36" s="153">
        <v>27.509853249475899</v>
      </c>
      <c r="J36" s="154">
        <v>5.2644586707873833</v>
      </c>
      <c r="K36" s="8">
        <v>28.754191258213062</v>
      </c>
      <c r="L36" s="8">
        <v>4.4139441425518946</v>
      </c>
      <c r="M36" s="8">
        <v>33.319444925397889</v>
      </c>
      <c r="N36" s="8">
        <v>2.9964199288260804</v>
      </c>
      <c r="O36" s="160">
        <v>8.1622641509433969</v>
      </c>
      <c r="P36" s="161">
        <v>5.2644586707873833</v>
      </c>
      <c r="Q36" s="8">
        <v>8.6796205981529493</v>
      </c>
      <c r="R36" s="8">
        <v>4.4139441425518946</v>
      </c>
      <c r="S36" s="8">
        <v>9.3992980277411302</v>
      </c>
      <c r="T36" s="152">
        <v>2.9964199288260804</v>
      </c>
      <c r="U36" s="151">
        <v>9.0691823899371068E-2</v>
      </c>
      <c r="V36" s="8">
        <v>5.2644586707873833</v>
      </c>
      <c r="W36" s="8">
        <v>0.10217945492662474</v>
      </c>
      <c r="X36" s="8">
        <v>4.4139441425518946</v>
      </c>
      <c r="Y36" s="8">
        <v>0.16929140461215927</v>
      </c>
      <c r="Z36" s="152">
        <v>2.9964199288260804</v>
      </c>
    </row>
    <row r="37" spans="3:26" x14ac:dyDescent="0.35">
      <c r="C37" s="151">
        <f>C38</f>
        <v>98.827672955974847</v>
      </c>
      <c r="D37" s="8">
        <f>D36</f>
        <v>5.2644586707873833</v>
      </c>
      <c r="E37" s="151">
        <f>E38</f>
        <v>104.03474480839606</v>
      </c>
      <c r="F37" s="8">
        <f>F36</f>
        <v>4.4139441425518946</v>
      </c>
      <c r="G37" s="151">
        <f>G38</f>
        <v>124.52394711040446</v>
      </c>
      <c r="H37" s="8">
        <f>H36</f>
        <v>2.9964199288260804</v>
      </c>
      <c r="I37" s="151">
        <f>I38</f>
        <v>27.929559748427682</v>
      </c>
      <c r="J37" s="8">
        <f>J36</f>
        <v>5.2644586707873833</v>
      </c>
      <c r="K37" s="151">
        <f>K38</f>
        <v>29.19288210958663</v>
      </c>
      <c r="L37" s="8">
        <f>L36</f>
        <v>4.4139441425518946</v>
      </c>
      <c r="M37" s="151">
        <f>M38</f>
        <v>33.827785971416439</v>
      </c>
      <c r="N37" s="8">
        <f>N36</f>
        <v>2.9964199288260804</v>
      </c>
      <c r="O37" s="151">
        <f>O38</f>
        <v>8.2867924528301895</v>
      </c>
      <c r="P37" s="8">
        <f>P36</f>
        <v>5.2644586707873833</v>
      </c>
      <c r="Q37" s="151">
        <f>Q38</f>
        <v>8.8120419942412749</v>
      </c>
      <c r="R37" s="8">
        <f>R36</f>
        <v>4.4139441425518946</v>
      </c>
      <c r="S37" s="151">
        <f>S38</f>
        <v>9.5426992459174862</v>
      </c>
      <c r="T37" s="8">
        <f>T36</f>
        <v>2.9964199288260804</v>
      </c>
      <c r="U37" s="151">
        <f>U38</f>
        <v>9.2075471698113212E-2</v>
      </c>
      <c r="V37" s="8">
        <f>V36</f>
        <v>5.2644586707873833</v>
      </c>
      <c r="W37" s="151">
        <f>W38</f>
        <v>0.10373836477987422</v>
      </c>
      <c r="X37" s="8">
        <f>X36</f>
        <v>4.4139441425518946</v>
      </c>
      <c r="Y37" s="151">
        <f>Y38</f>
        <v>0.17187421383647794</v>
      </c>
      <c r="Z37" s="8">
        <f>Z36</f>
        <v>2.9964199288260804</v>
      </c>
    </row>
    <row r="38" spans="3:26" x14ac:dyDescent="0.35">
      <c r="C38" s="151">
        <v>98.827672955974847</v>
      </c>
      <c r="D38" s="8">
        <v>5.5908829966703557</v>
      </c>
      <c r="E38" s="8">
        <v>104.03474480839606</v>
      </c>
      <c r="F38" s="8">
        <v>4.6914048195524209</v>
      </c>
      <c r="G38" s="8">
        <v>124.52394711040446</v>
      </c>
      <c r="H38" s="152">
        <v>3.1922745243558639</v>
      </c>
      <c r="I38" s="153">
        <v>27.929559748427682</v>
      </c>
      <c r="J38" s="154">
        <v>5.5908829966703557</v>
      </c>
      <c r="K38" s="8">
        <v>29.19288210958663</v>
      </c>
      <c r="L38" s="8">
        <v>4.6914048195524209</v>
      </c>
      <c r="M38" s="8">
        <v>33.827785971416439</v>
      </c>
      <c r="N38" s="8">
        <v>3.1922745243558639</v>
      </c>
      <c r="O38" s="160">
        <v>8.2867924528301895</v>
      </c>
      <c r="P38" s="161">
        <v>5.5908829966703557</v>
      </c>
      <c r="Q38" s="8">
        <v>8.8120419942412749</v>
      </c>
      <c r="R38" s="8">
        <v>4.6914048195524209</v>
      </c>
      <c r="S38" s="8">
        <v>9.5426992459174862</v>
      </c>
      <c r="T38" s="152">
        <v>3.1922745243558639</v>
      </c>
      <c r="U38" s="151">
        <v>9.2075471698113212E-2</v>
      </c>
      <c r="V38" s="8">
        <v>5.5908829966703557</v>
      </c>
      <c r="W38" s="8">
        <v>0.10373836477987422</v>
      </c>
      <c r="X38" s="8">
        <v>4.6914048195524209</v>
      </c>
      <c r="Y38" s="8">
        <v>0.17187421383647794</v>
      </c>
      <c r="Z38" s="152">
        <v>3.1922745243558639</v>
      </c>
    </row>
    <row r="39" spans="3:26" x14ac:dyDescent="0.35">
      <c r="C39" s="151">
        <f>C40</f>
        <v>100.17777777777778</v>
      </c>
      <c r="D39" s="8">
        <f>D38</f>
        <v>5.5908829966703557</v>
      </c>
      <c r="E39" s="151">
        <f>E40</f>
        <v>105.45598449157086</v>
      </c>
      <c r="F39" s="8">
        <f>F38</f>
        <v>4.6914048195524209</v>
      </c>
      <c r="G39" s="151">
        <f>G40</f>
        <v>126.22509392885262</v>
      </c>
      <c r="H39" s="8">
        <f>H38</f>
        <v>3.1922745243558639</v>
      </c>
      <c r="I39" s="151">
        <f>I40</f>
        <v>28.311111111111121</v>
      </c>
      <c r="J39" s="8">
        <f>J38</f>
        <v>5.5908829966703557</v>
      </c>
      <c r="K39" s="151">
        <f>K40</f>
        <v>29.591691974471694</v>
      </c>
      <c r="L39" s="8">
        <f>L38</f>
        <v>4.6914048195524209</v>
      </c>
      <c r="M39" s="151">
        <f>M40</f>
        <v>34.520978306896282</v>
      </c>
      <c r="N39" s="8">
        <f>N38</f>
        <v>3.1922745243558639</v>
      </c>
      <c r="O39" s="151">
        <f>O40</f>
        <v>8.4</v>
      </c>
      <c r="P39" s="8">
        <f>P38</f>
        <v>5.5908829966703557</v>
      </c>
      <c r="Q39" s="151">
        <f>Q40</f>
        <v>8.9324250815942978</v>
      </c>
      <c r="R39" s="8">
        <f>R38</f>
        <v>4.6914048195524209</v>
      </c>
      <c r="S39" s="151">
        <f>S40</f>
        <v>9.7382463616125161</v>
      </c>
      <c r="T39" s="8">
        <f>T38</f>
        <v>3.1922745243558639</v>
      </c>
      <c r="U39" s="151">
        <f>U40</f>
        <v>9.3333333333333338E-2</v>
      </c>
      <c r="V39" s="8">
        <f>V38</f>
        <v>5.5908829966703557</v>
      </c>
      <c r="W39" s="151">
        <f>W40</f>
        <v>0.10515555555555556</v>
      </c>
      <c r="X39" s="8">
        <f>X38</f>
        <v>4.6914048195524209</v>
      </c>
      <c r="Y39" s="151">
        <f>Y40</f>
        <v>0.17539622641509428</v>
      </c>
      <c r="Z39" s="8">
        <f>Z38</f>
        <v>3.1922745243558639</v>
      </c>
    </row>
    <row r="40" spans="3:26" x14ac:dyDescent="0.35">
      <c r="C40" s="151">
        <v>100.17777777777778</v>
      </c>
      <c r="D40" s="8">
        <v>5.7123614063489203</v>
      </c>
      <c r="E40" s="8">
        <v>105.45598449157086</v>
      </c>
      <c r="F40" s="8">
        <v>4.8027833692081883</v>
      </c>
      <c r="G40" s="8">
        <v>126.22509392885262</v>
      </c>
      <c r="H40" s="152">
        <v>3.2868199739736359</v>
      </c>
      <c r="I40" s="153">
        <v>28.311111111111121</v>
      </c>
      <c r="J40" s="154">
        <v>5.7665074158755081</v>
      </c>
      <c r="K40" s="8">
        <v>29.591691974471694</v>
      </c>
      <c r="L40" s="8">
        <v>4.8569293787347751</v>
      </c>
      <c r="M40" s="8">
        <v>34.520978306896282</v>
      </c>
      <c r="N40" s="8">
        <v>3.3331656114103958</v>
      </c>
      <c r="O40" s="160">
        <v>8.4</v>
      </c>
      <c r="P40" s="161">
        <v>5.7665074158755081</v>
      </c>
      <c r="Q40" s="8">
        <v>8.9324250815942978</v>
      </c>
      <c r="R40" s="8">
        <v>4.8569293787347751</v>
      </c>
      <c r="S40" s="8">
        <v>9.7382463616125161</v>
      </c>
      <c r="T40" s="152">
        <v>3.3331656114103958</v>
      </c>
      <c r="U40" s="151">
        <v>9.3333333333333338E-2</v>
      </c>
      <c r="V40" s="8">
        <v>5.7665074158755081</v>
      </c>
      <c r="W40" s="8">
        <v>0.10515555555555556</v>
      </c>
      <c r="X40" s="8">
        <v>4.8569293787347751</v>
      </c>
      <c r="Y40" s="8">
        <v>0.17539622641509428</v>
      </c>
      <c r="Z40" s="152">
        <v>3.3331656114103958</v>
      </c>
    </row>
    <row r="41" spans="3:26" x14ac:dyDescent="0.35">
      <c r="C41" s="151">
        <f>C42</f>
        <v>101.52788259958071</v>
      </c>
      <c r="D41" s="8">
        <f>D40</f>
        <v>5.7123614063489203</v>
      </c>
      <c r="E41" s="151">
        <f>E42</f>
        <v>106.87722417474566</v>
      </c>
      <c r="F41" s="8">
        <f>F40</f>
        <v>4.8027833692081883</v>
      </c>
      <c r="G41" s="151">
        <f>G42</f>
        <v>127.92624074730077</v>
      </c>
      <c r="H41" s="8">
        <f>H40</f>
        <v>3.2868199739736359</v>
      </c>
      <c r="I41" s="151">
        <f>I42</f>
        <v>28.692662473794559</v>
      </c>
      <c r="J41" s="8">
        <f>J40</f>
        <v>5.7665074158755081</v>
      </c>
      <c r="K41" s="151">
        <f>K42</f>
        <v>29.990501839356757</v>
      </c>
      <c r="L41" s="8">
        <f>L40</f>
        <v>4.8569293787347751</v>
      </c>
      <c r="M41" s="151">
        <f>M42</f>
        <v>34.983106530549513</v>
      </c>
      <c r="N41" s="8">
        <f>N40</f>
        <v>3.3331656114103958</v>
      </c>
      <c r="O41" s="151">
        <f>O42</f>
        <v>8.5132075471698112</v>
      </c>
      <c r="P41" s="8">
        <f>P40</f>
        <v>5.7665074158755081</v>
      </c>
      <c r="Q41" s="151">
        <f>Q42</f>
        <v>9.0528081689473208</v>
      </c>
      <c r="R41" s="8">
        <f>R40</f>
        <v>4.8569293787347751</v>
      </c>
      <c r="S41" s="151">
        <f>S42</f>
        <v>9.8686111054092027</v>
      </c>
      <c r="T41" s="8">
        <f>T40</f>
        <v>3.3331656114103958</v>
      </c>
      <c r="U41" s="151">
        <f>U42</f>
        <v>9.4591194968553463E-2</v>
      </c>
      <c r="V41" s="8">
        <f>V40</f>
        <v>5.7665074158755081</v>
      </c>
      <c r="W41" s="151">
        <f>W42</f>
        <v>0.1065727463312369</v>
      </c>
      <c r="X41" s="8">
        <f>X40</f>
        <v>4.8569293787347751</v>
      </c>
      <c r="Y41" s="151">
        <f>Y42</f>
        <v>0.17774423480083851</v>
      </c>
      <c r="Z41" s="8">
        <f>Z40</f>
        <v>3.3331656114103958</v>
      </c>
    </row>
    <row r="42" spans="3:26" x14ac:dyDescent="0.35">
      <c r="C42" s="151">
        <v>101.52788259958071</v>
      </c>
      <c r="D42" s="8">
        <v>5.7123614063489203</v>
      </c>
      <c r="E42" s="8">
        <v>106.87722417474566</v>
      </c>
      <c r="F42" s="8">
        <v>4.8027833692081883</v>
      </c>
      <c r="G42" s="8">
        <v>127.92624074730077</v>
      </c>
      <c r="H42" s="152">
        <v>3.2868199739736359</v>
      </c>
      <c r="I42" s="153">
        <v>28.692662473794559</v>
      </c>
      <c r="J42" s="154">
        <v>5.7665074158755081</v>
      </c>
      <c r="K42" s="8">
        <v>29.990501839356757</v>
      </c>
      <c r="L42" s="8">
        <v>4.8569293787347751</v>
      </c>
      <c r="M42" s="8">
        <v>34.983106530549513</v>
      </c>
      <c r="N42" s="8">
        <v>3.3409659835002232</v>
      </c>
      <c r="O42" s="160">
        <v>8.5132075471698112</v>
      </c>
      <c r="P42" s="161">
        <v>5.7665074158755081</v>
      </c>
      <c r="Q42" s="8">
        <v>9.0528081689473208</v>
      </c>
      <c r="R42" s="8">
        <v>4.8569293787347751</v>
      </c>
      <c r="S42" s="8">
        <v>9.8686111054092027</v>
      </c>
      <c r="T42" s="152">
        <v>3.3409659835002232</v>
      </c>
      <c r="U42" s="151">
        <v>9.4591194968553463E-2</v>
      </c>
      <c r="V42" s="8">
        <v>5.7665074158755081</v>
      </c>
      <c r="W42" s="8">
        <v>0.1065727463312369</v>
      </c>
      <c r="X42" s="8">
        <v>4.8569293787347751</v>
      </c>
      <c r="Y42" s="8">
        <v>0.17774423480083851</v>
      </c>
      <c r="Z42" s="152">
        <v>3.3409659835002232</v>
      </c>
    </row>
    <row r="43" spans="3:26" x14ac:dyDescent="0.35">
      <c r="C43" s="151">
        <f>C44</f>
        <v>103.55303983228511</v>
      </c>
      <c r="D43" s="8">
        <f>D42</f>
        <v>5.7123614063489203</v>
      </c>
      <c r="E43" s="151">
        <f>E44</f>
        <v>109.00908369950788</v>
      </c>
      <c r="F43" s="8">
        <f>F42</f>
        <v>4.8027833692081883</v>
      </c>
      <c r="G43" s="151">
        <f>G44</f>
        <v>130.477960974973</v>
      </c>
      <c r="H43" s="8">
        <f>H42</f>
        <v>3.2868199739736359</v>
      </c>
      <c r="I43" s="151">
        <f>I44</f>
        <v>29.264989517819718</v>
      </c>
      <c r="J43" s="8">
        <f>J42</f>
        <v>5.7665074158755081</v>
      </c>
      <c r="K43" s="151">
        <f>K44</f>
        <v>30.588716636684353</v>
      </c>
      <c r="L43" s="8">
        <f>L42</f>
        <v>4.8569293787347751</v>
      </c>
      <c r="M43" s="151">
        <f>M44</f>
        <v>35.445234754202744</v>
      </c>
      <c r="N43" s="8">
        <f>N42</f>
        <v>3.3409659835002232</v>
      </c>
      <c r="O43" s="151">
        <f>O44</f>
        <v>8.6830188679245275</v>
      </c>
      <c r="P43" s="8">
        <f>P42</f>
        <v>5.7665074158755081</v>
      </c>
      <c r="Q43" s="151">
        <f>Q44</f>
        <v>9.2333827999768552</v>
      </c>
      <c r="R43" s="8">
        <f>R42</f>
        <v>4.8569293787347751</v>
      </c>
      <c r="S43" s="151">
        <f>S44</f>
        <v>9.9989758492058893</v>
      </c>
      <c r="T43" s="8">
        <f>T42</f>
        <v>3.3409659835002232</v>
      </c>
      <c r="U43" s="151">
        <f>U44</f>
        <v>9.6477987421383651E-2</v>
      </c>
      <c r="V43" s="8">
        <f>V42</f>
        <v>5.7665074158755081</v>
      </c>
      <c r="W43" s="151">
        <f>W44</f>
        <v>0.10869853249475891</v>
      </c>
      <c r="X43" s="8">
        <f>X42</f>
        <v>4.8569293787347751</v>
      </c>
      <c r="Y43" s="151">
        <f>Y44</f>
        <v>0.18009224318658273</v>
      </c>
      <c r="Z43" s="8">
        <f>Z42</f>
        <v>3.3409659835002232</v>
      </c>
    </row>
    <row r="44" spans="3:26" x14ac:dyDescent="0.35">
      <c r="C44" s="151">
        <v>103.55303983228511</v>
      </c>
      <c r="D44" s="8">
        <v>5.8352566532463275</v>
      </c>
      <c r="E44" s="8">
        <v>109.00908369950788</v>
      </c>
      <c r="F44" s="8">
        <v>4.8969725125578529</v>
      </c>
      <c r="G44" s="8">
        <v>130.477960974973</v>
      </c>
      <c r="H44" s="152">
        <v>3.3331656114103958</v>
      </c>
      <c r="I44" s="153">
        <v>29.264989517819718</v>
      </c>
      <c r="J44" s="154">
        <v>5.8352566532463275</v>
      </c>
      <c r="K44" s="8">
        <v>30.588716636684353</v>
      </c>
      <c r="L44" s="8">
        <v>4.8969725125578529</v>
      </c>
      <c r="M44" s="8">
        <v>35.445234754202744</v>
      </c>
      <c r="N44" s="8">
        <v>3.3409659835002232</v>
      </c>
      <c r="O44" s="160">
        <v>8.6830188679245275</v>
      </c>
      <c r="P44" s="161">
        <v>5.8352566532463275</v>
      </c>
      <c r="Q44" s="8">
        <v>9.2333827999768552</v>
      </c>
      <c r="R44" s="8">
        <v>4.8969725125578529</v>
      </c>
      <c r="S44" s="8">
        <v>9.9989758492058893</v>
      </c>
      <c r="T44" s="152">
        <v>3.3409659835002232</v>
      </c>
      <c r="U44" s="151">
        <v>9.6477987421383651E-2</v>
      </c>
      <c r="V44" s="8">
        <v>5.8352566532463275</v>
      </c>
      <c r="W44" s="8">
        <v>0.10869853249475891</v>
      </c>
      <c r="X44" s="8">
        <v>4.8969725125578529</v>
      </c>
      <c r="Y44" s="8">
        <v>0.18009224318658273</v>
      </c>
      <c r="Z44" s="152">
        <v>3.3409659835002232</v>
      </c>
    </row>
    <row r="45" spans="3:26" x14ac:dyDescent="0.35">
      <c r="C45" s="151">
        <f>C46</f>
        <v>104.97064989517818</v>
      </c>
      <c r="D45" s="8">
        <f>D44</f>
        <v>5.8352566532463275</v>
      </c>
      <c r="E45" s="151">
        <f>E46</f>
        <v>110.50138536684143</v>
      </c>
      <c r="F45" s="8">
        <f>F44</f>
        <v>4.8969725125578529</v>
      </c>
      <c r="G45" s="151">
        <f>G46</f>
        <v>132.26416513434356</v>
      </c>
      <c r="H45" s="8">
        <f>H44</f>
        <v>3.3331656114103958</v>
      </c>
      <c r="I45" s="151">
        <f>I46</f>
        <v>29.665618448637328</v>
      </c>
      <c r="J45" s="8">
        <f>J44</f>
        <v>5.8352566532463275</v>
      </c>
      <c r="K45" s="151">
        <f>K46</f>
        <v>31.007466994813669</v>
      </c>
      <c r="L45" s="8">
        <f>L44</f>
        <v>4.8969725125578529</v>
      </c>
      <c r="M45" s="151">
        <f>M46</f>
        <v>35.930469389038635</v>
      </c>
      <c r="N45" s="8">
        <f>N44</f>
        <v>3.3409659835002232</v>
      </c>
      <c r="O45" s="151">
        <f>O46</f>
        <v>8.8018867924528301</v>
      </c>
      <c r="P45" s="8">
        <f>P44</f>
        <v>5.8352566532463275</v>
      </c>
      <c r="Q45" s="151">
        <f>Q46</f>
        <v>9.3597850416975295</v>
      </c>
      <c r="R45" s="8">
        <f>R44</f>
        <v>4.8969725125578529</v>
      </c>
      <c r="S45" s="151">
        <f>S46</f>
        <v>10.135858830192412</v>
      </c>
      <c r="T45" s="8">
        <f>T44</f>
        <v>3.3409659835002232</v>
      </c>
      <c r="U45" s="151">
        <f>U46</f>
        <v>9.7798742138364786E-2</v>
      </c>
      <c r="V45" s="8">
        <f>V44</f>
        <v>5.8352566532463275</v>
      </c>
      <c r="W45" s="151">
        <f>W46</f>
        <v>0.11018658280922432</v>
      </c>
      <c r="X45" s="8">
        <f>X44</f>
        <v>4.8969725125578529</v>
      </c>
      <c r="Y45" s="151">
        <f>Y46</f>
        <v>0.18255765199161417</v>
      </c>
      <c r="Z45" s="8">
        <f>Z44</f>
        <v>3.3409659835002232</v>
      </c>
    </row>
    <row r="46" spans="3:26" x14ac:dyDescent="0.35">
      <c r="C46" s="151">
        <v>104.97064989517818</v>
      </c>
      <c r="D46" s="8">
        <v>9.2807772763438585</v>
      </c>
      <c r="E46" s="8">
        <v>110.50138536684143</v>
      </c>
      <c r="F46" s="8">
        <v>7.8278149572748985</v>
      </c>
      <c r="G46" s="8">
        <v>132.26416513434356</v>
      </c>
      <c r="H46" s="152">
        <v>5.4062110921599649</v>
      </c>
      <c r="I46" s="153">
        <v>29.665618448637328</v>
      </c>
      <c r="J46" s="154">
        <v>9.2807772763438585</v>
      </c>
      <c r="K46" s="8">
        <v>31.007466994813669</v>
      </c>
      <c r="L46" s="8">
        <v>7.8278149572748985</v>
      </c>
      <c r="M46" s="8">
        <v>35.930469389038635</v>
      </c>
      <c r="N46" s="8">
        <v>5.4062110921599649</v>
      </c>
      <c r="O46" s="160">
        <v>8.8018867924528301</v>
      </c>
      <c r="P46" s="161">
        <v>9.2807772763438585</v>
      </c>
      <c r="Q46" s="8">
        <v>9.3597850416975295</v>
      </c>
      <c r="R46" s="8">
        <v>7.8278149572748985</v>
      </c>
      <c r="S46" s="8">
        <v>10.135858830192412</v>
      </c>
      <c r="T46" s="152">
        <v>5.4062110921599649</v>
      </c>
      <c r="U46" s="151">
        <v>9.7798742138364786E-2</v>
      </c>
      <c r="V46" s="8">
        <v>9.2807772763438585</v>
      </c>
      <c r="W46" s="8">
        <v>0.11018658280922432</v>
      </c>
      <c r="X46" s="8">
        <v>7.8278149572748985</v>
      </c>
      <c r="Y46" s="8">
        <v>0.18255765199161417</v>
      </c>
      <c r="Z46" s="152">
        <v>5.4062110921599649</v>
      </c>
    </row>
    <row r="47" spans="3:26" x14ac:dyDescent="0.35">
      <c r="C47" s="151">
        <f>C48</f>
        <v>105.98322851153038</v>
      </c>
      <c r="D47" s="8">
        <f>D46</f>
        <v>9.2807772763438585</v>
      </c>
      <c r="E47" s="151">
        <f>E48</f>
        <v>111.56731512922254</v>
      </c>
      <c r="F47" s="8">
        <f>F46</f>
        <v>7.8278149572748985</v>
      </c>
      <c r="G47" s="151">
        <f>G48</f>
        <v>133.54002524817966</v>
      </c>
      <c r="H47" s="8">
        <f>H46</f>
        <v>5.4062110921599649</v>
      </c>
      <c r="I47" s="151">
        <f>I48</f>
        <v>29.951781970649908</v>
      </c>
      <c r="J47" s="8">
        <f>J46</f>
        <v>9.2807772763438585</v>
      </c>
      <c r="K47" s="151">
        <f>K48</f>
        <v>31.306574393477465</v>
      </c>
      <c r="L47" s="8">
        <f>L46</f>
        <v>7.8278149572748985</v>
      </c>
      <c r="M47" s="151">
        <f>M48</f>
        <v>36.27706555677856</v>
      </c>
      <c r="N47" s="8">
        <f>N46</f>
        <v>5.4062110921599649</v>
      </c>
      <c r="O47" s="151">
        <f>O48</f>
        <v>8.8867924528301891</v>
      </c>
      <c r="P47" s="8">
        <f>P46</f>
        <v>9.2807772763438585</v>
      </c>
      <c r="Q47" s="151">
        <f>Q48</f>
        <v>9.4500723572122958</v>
      </c>
      <c r="R47" s="8">
        <f>R46</f>
        <v>7.8278149572748985</v>
      </c>
      <c r="S47" s="151">
        <f>S48</f>
        <v>10.233632388039927</v>
      </c>
      <c r="T47" s="8">
        <f>T46</f>
        <v>5.4062110921599649</v>
      </c>
      <c r="U47" s="151">
        <f>U48</f>
        <v>9.874213836477988E-2</v>
      </c>
      <c r="V47" s="8">
        <f>V46</f>
        <v>9.2807772763438585</v>
      </c>
      <c r="W47" s="151">
        <f>W48</f>
        <v>0.11124947589098533</v>
      </c>
      <c r="X47" s="8">
        <f>X46</f>
        <v>7.8278149572748985</v>
      </c>
      <c r="Y47" s="151">
        <f>Y48</f>
        <v>0.18431865828092234</v>
      </c>
      <c r="Z47" s="8">
        <f>Z46</f>
        <v>5.4062110921599649</v>
      </c>
    </row>
    <row r="48" spans="3:26" x14ac:dyDescent="0.35">
      <c r="C48" s="151">
        <v>105.98322851153038</v>
      </c>
      <c r="D48" s="8">
        <v>9.2807772763438585</v>
      </c>
      <c r="E48" s="8">
        <v>111.56731512922254</v>
      </c>
      <c r="F48" s="8">
        <v>7.8278149572748985</v>
      </c>
      <c r="G48" s="8">
        <v>133.54002524817966</v>
      </c>
      <c r="H48" s="152">
        <v>5.4062110921599649</v>
      </c>
      <c r="I48" s="153">
        <v>29.951781970649908</v>
      </c>
      <c r="J48" s="154">
        <v>9.2807772763438585</v>
      </c>
      <c r="K48" s="8">
        <v>31.306574393477465</v>
      </c>
      <c r="L48" s="8">
        <v>7.8278149572748985</v>
      </c>
      <c r="M48" s="8">
        <v>36.27706555677856</v>
      </c>
      <c r="N48" s="8">
        <v>5.4062110921599649</v>
      </c>
      <c r="O48" s="160">
        <v>8.8867924528301891</v>
      </c>
      <c r="P48" s="161">
        <v>9.2807772763438585</v>
      </c>
      <c r="Q48" s="8">
        <v>9.4500723572122958</v>
      </c>
      <c r="R48" s="8">
        <v>7.8278149572748985</v>
      </c>
      <c r="S48" s="8">
        <v>10.233632388039927</v>
      </c>
      <c r="T48" s="152">
        <v>5.4062110921599649</v>
      </c>
      <c r="U48" s="151">
        <v>9.874213836477988E-2</v>
      </c>
      <c r="V48" s="8">
        <v>9.2807772763438585</v>
      </c>
      <c r="W48" s="8">
        <v>0.11124947589098533</v>
      </c>
      <c r="X48" s="8">
        <v>7.8278149572748985</v>
      </c>
      <c r="Y48" s="8">
        <v>0.18431865828092234</v>
      </c>
      <c r="Z48" s="152">
        <v>5.4062110921599649</v>
      </c>
    </row>
    <row r="49" spans="3:26" x14ac:dyDescent="0.35">
      <c r="C49" s="151">
        <f>C50</f>
        <v>107.33333333333331</v>
      </c>
      <c r="D49" s="8">
        <f>D48</f>
        <v>9.2807772763438585</v>
      </c>
      <c r="E49" s="151">
        <f>E50</f>
        <v>112.98855481239734</v>
      </c>
      <c r="F49" s="8">
        <f>F48</f>
        <v>7.8278149572748985</v>
      </c>
      <c r="G49" s="151">
        <f>G50</f>
        <v>135.2411720666278</v>
      </c>
      <c r="H49" s="8">
        <f>H48</f>
        <v>5.4062110921599649</v>
      </c>
      <c r="I49" s="151">
        <f>I50</f>
        <v>30.333333333333346</v>
      </c>
      <c r="J49" s="8">
        <f>J48</f>
        <v>9.2807772763438585</v>
      </c>
      <c r="K49" s="151">
        <f>K50</f>
        <v>31.705384258362528</v>
      </c>
      <c r="L49" s="8">
        <f>L48</f>
        <v>7.8278149572748985</v>
      </c>
      <c r="M49" s="151">
        <f>M50</f>
        <v>36.739193780431791</v>
      </c>
      <c r="N49" s="8">
        <f>N48</f>
        <v>5.4062110921599649</v>
      </c>
      <c r="O49" s="151">
        <f>O50</f>
        <v>9</v>
      </c>
      <c r="P49" s="8">
        <f>P48</f>
        <v>9.2807772763438585</v>
      </c>
      <c r="Q49" s="151">
        <f>Q50</f>
        <v>9.5704554445653187</v>
      </c>
      <c r="R49" s="8">
        <f>R48</f>
        <v>7.8278149572748985</v>
      </c>
      <c r="S49" s="151">
        <f>S50</f>
        <v>10.363997131836614</v>
      </c>
      <c r="T49" s="8">
        <f>T48</f>
        <v>5.4062110921599649</v>
      </c>
      <c r="U49" s="151">
        <f>U50</f>
        <v>0.1</v>
      </c>
      <c r="V49" s="8">
        <f>V48</f>
        <v>9.2807772763438585</v>
      </c>
      <c r="W49" s="151">
        <f>W50</f>
        <v>0.11266666666666666</v>
      </c>
      <c r="X49" s="8">
        <f>X48</f>
        <v>7.8278149572748985</v>
      </c>
      <c r="Y49" s="151">
        <f>Y50</f>
        <v>0.18666666666666656</v>
      </c>
      <c r="Z49" s="8">
        <f>Z48</f>
        <v>5.4062110921599649</v>
      </c>
    </row>
    <row r="50" spans="3:26" x14ac:dyDescent="0.35">
      <c r="C50" s="151">
        <v>107.33333333333331</v>
      </c>
      <c r="D50" s="8">
        <v>14.872122786040128</v>
      </c>
      <c r="E50" s="8">
        <v>112.98855481239734</v>
      </c>
      <c r="F50" s="8">
        <v>12.580458640516728</v>
      </c>
      <c r="G50" s="8">
        <v>135.2411720666278</v>
      </c>
      <c r="H50" s="152">
        <v>8.7610183979777254</v>
      </c>
      <c r="I50" s="153">
        <v>30.333333333333346</v>
      </c>
      <c r="J50" s="154">
        <v>14.872122786040128</v>
      </c>
      <c r="K50" s="8">
        <v>31.705384258362528</v>
      </c>
      <c r="L50" s="8">
        <v>12.580458640516728</v>
      </c>
      <c r="M50" s="8">
        <v>36.739193780431791</v>
      </c>
      <c r="N50" s="8">
        <v>8.7610183979777254</v>
      </c>
      <c r="O50" s="160">
        <v>9</v>
      </c>
      <c r="P50" s="161">
        <v>14.872122786040128</v>
      </c>
      <c r="Q50" s="8">
        <v>9.5704554445653187</v>
      </c>
      <c r="R50" s="8">
        <v>12.580458640516728</v>
      </c>
      <c r="S50" s="8">
        <v>10.363997131836614</v>
      </c>
      <c r="T50" s="152">
        <v>8.7610183979777254</v>
      </c>
      <c r="U50" s="151">
        <v>0.1</v>
      </c>
      <c r="V50" s="8">
        <v>14.872122786040128</v>
      </c>
      <c r="W50" s="8">
        <v>0.11266666666666666</v>
      </c>
      <c r="X50" s="8">
        <v>12.580458640516728</v>
      </c>
      <c r="Y50" s="8">
        <v>0.18666666666666656</v>
      </c>
      <c r="Z50" s="152">
        <v>8.7610183979777254</v>
      </c>
    </row>
    <row r="51" spans="3:26" x14ac:dyDescent="0.35">
      <c r="C51" s="151">
        <f>C52</f>
        <v>108.21090146750522</v>
      </c>
      <c r="D51" s="8">
        <f>D50</f>
        <v>14.872122786040128</v>
      </c>
      <c r="E51" s="151">
        <f>E52</f>
        <v>113.91236060646096</v>
      </c>
      <c r="F51" s="8">
        <f>F50</f>
        <v>12.580458640516728</v>
      </c>
      <c r="G51" s="151">
        <f>G52</f>
        <v>136.34691749861909</v>
      </c>
      <c r="H51" s="8">
        <f>H50</f>
        <v>8.7610183979777254</v>
      </c>
      <c r="I51" s="151">
        <f>I52</f>
        <v>30.581341719077582</v>
      </c>
      <c r="J51" s="8">
        <f>J50</f>
        <v>14.872122786040128</v>
      </c>
      <c r="K51" s="151">
        <f>K52</f>
        <v>31.964610670537819</v>
      </c>
      <c r="L51" s="8">
        <f>L50</f>
        <v>12.580458640516728</v>
      </c>
      <c r="M51" s="151">
        <f>M52</f>
        <v>37.039577125806389</v>
      </c>
      <c r="N51" s="8">
        <f>N50</f>
        <v>8.7610183979777254</v>
      </c>
      <c r="O51" s="151">
        <f>O52</f>
        <v>9.0735849056603772</v>
      </c>
      <c r="P51" s="8">
        <f>P50</f>
        <v>14.872122786040128</v>
      </c>
      <c r="Q51" s="151">
        <f>Q52</f>
        <v>9.6487044513447842</v>
      </c>
      <c r="R51" s="8">
        <f>R50</f>
        <v>12.580458640516728</v>
      </c>
      <c r="S51" s="151">
        <f>S52</f>
        <v>10.44873421530446</v>
      </c>
      <c r="T51" s="8">
        <f>T50</f>
        <v>8.7610183979777254</v>
      </c>
      <c r="U51" s="151">
        <f>U52</f>
        <v>0.10081761006289308</v>
      </c>
      <c r="V51" s="8">
        <f>V50</f>
        <v>14.872122786040128</v>
      </c>
      <c r="W51" s="151">
        <f>W52</f>
        <v>0.11358784067085954</v>
      </c>
      <c r="X51" s="8">
        <f>X50</f>
        <v>12.580458640516728</v>
      </c>
      <c r="Y51" s="151">
        <f>Y52</f>
        <v>0.18819287211740032</v>
      </c>
      <c r="Z51" s="8">
        <f>Z50</f>
        <v>8.7610183979777254</v>
      </c>
    </row>
    <row r="52" spans="3:26" ht="15" thickBot="1" x14ac:dyDescent="0.4">
      <c r="C52" s="159">
        <v>108.21090146750522</v>
      </c>
      <c r="D52" s="157">
        <v>14.872122786040128</v>
      </c>
      <c r="E52" s="157">
        <v>113.91236060646096</v>
      </c>
      <c r="F52" s="157">
        <v>12.580458640516728</v>
      </c>
      <c r="G52" s="157">
        <v>136.34691749861909</v>
      </c>
      <c r="H52" s="158">
        <v>8.7610183979777254</v>
      </c>
      <c r="I52" s="155">
        <v>30.581341719077582</v>
      </c>
      <c r="J52" s="156">
        <v>14.872122786040128</v>
      </c>
      <c r="K52" s="157">
        <v>31.964610670537819</v>
      </c>
      <c r="L52" s="157">
        <v>12.580458640516728</v>
      </c>
      <c r="M52" s="157">
        <v>37.039577125806389</v>
      </c>
      <c r="N52" s="157">
        <v>8.7610183979777254</v>
      </c>
      <c r="O52" s="162">
        <v>9.0735849056603772</v>
      </c>
      <c r="P52" s="163">
        <v>14.872122786040128</v>
      </c>
      <c r="Q52" s="157">
        <v>9.6487044513447842</v>
      </c>
      <c r="R52" s="157">
        <v>12.580458640516728</v>
      </c>
      <c r="S52" s="157">
        <v>10.44873421530446</v>
      </c>
      <c r="T52" s="158">
        <v>8.7610183979777254</v>
      </c>
      <c r="U52" s="159">
        <v>0.10081761006289308</v>
      </c>
      <c r="V52" s="157">
        <v>14.872122786040128</v>
      </c>
      <c r="W52" s="157">
        <v>0.11358784067085954</v>
      </c>
      <c r="X52" s="157">
        <v>12.580458640516728</v>
      </c>
      <c r="Y52" s="157">
        <v>0.18819287211740032</v>
      </c>
      <c r="Z52" s="158">
        <v>8.7610183979777254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6D326-C3A9-4F25-AECF-97676C0F522F}">
  <dimension ref="A1:D34"/>
  <sheetViews>
    <sheetView tabSelected="1" workbookViewId="0">
      <selection activeCell="D26" sqref="D26"/>
    </sheetView>
  </sheetViews>
  <sheetFormatPr defaultRowHeight="14.5" x14ac:dyDescent="0.35"/>
  <cols>
    <col min="1" max="1" width="25.6328125" bestFit="1" customWidth="1"/>
    <col min="2" max="2" width="54.08984375" bestFit="1" customWidth="1"/>
    <col min="3" max="3" width="12.7265625" bestFit="1" customWidth="1"/>
    <col min="4" max="4" width="8.1796875" bestFit="1" customWidth="1"/>
  </cols>
  <sheetData>
    <row r="1" spans="1:4" s="4" customFormat="1" x14ac:dyDescent="0.35">
      <c r="A1" s="4" t="s">
        <v>289</v>
      </c>
      <c r="B1" s="4" t="s">
        <v>288</v>
      </c>
      <c r="C1" s="4" t="s">
        <v>290</v>
      </c>
      <c r="D1" s="4" t="s">
        <v>15</v>
      </c>
    </row>
    <row r="2" spans="1:4" x14ac:dyDescent="0.35">
      <c r="A2" t="str">
        <f>'base 2019'!C4</f>
        <v>Elec heat pump</v>
      </c>
      <c r="B2" t="str">
        <f>'base 2019'!B4</f>
        <v>Cooling and ventilation</v>
      </c>
      <c r="C2" s="6">
        <f>'base 2019'!AH4</f>
        <v>8.10062893081761</v>
      </c>
      <c r="D2" s="6">
        <f>'base 2019'!AK4</f>
        <v>-0.94987870640465422</v>
      </c>
    </row>
    <row r="3" spans="1:4" x14ac:dyDescent="0.35">
      <c r="A3" t="str">
        <f>'base 2019'!C5</f>
        <v>Equipment upgrade/ controls</v>
      </c>
      <c r="B3" t="str">
        <f>'base 2019'!B5</f>
        <v>Baggage/people movement</v>
      </c>
      <c r="C3" s="6">
        <f>'base 2019'!AH5</f>
        <v>14.851153039832285</v>
      </c>
      <c r="D3" s="6">
        <f>'base 2019'!AK5</f>
        <v>-0.28586998712561951</v>
      </c>
    </row>
    <row r="4" spans="1:4" x14ac:dyDescent="0.35">
      <c r="A4" t="str">
        <f>'base 2019'!C6</f>
        <v>Equipment upgrade/ controls</v>
      </c>
      <c r="B4" t="str">
        <f>'base 2019'!B6</f>
        <v>Lighting, comms, electronics and security</v>
      </c>
      <c r="C4" s="6">
        <f>'base 2019'!AH6</f>
        <v>8.10062893081761</v>
      </c>
      <c r="D4" s="6">
        <f>'base 2019'!AK6</f>
        <v>-0.23840664091790578</v>
      </c>
    </row>
    <row r="5" spans="1:4" x14ac:dyDescent="0.35">
      <c r="A5" t="str">
        <f>'base 2019'!C7</f>
        <v xml:space="preserve">Miscelaneous </v>
      </c>
      <c r="B5" t="str">
        <f>'base 2019'!B7</f>
        <v xml:space="preserve">Miscelaneous </v>
      </c>
      <c r="C5" s="6">
        <f>'base 2019'!AH7</f>
        <v>5.40041928721174</v>
      </c>
      <c r="D5" s="6">
        <f>'base 2019'!AK7</f>
        <v>-0.23840664091790578</v>
      </c>
    </row>
    <row r="6" spans="1:4" x14ac:dyDescent="0.35">
      <c r="A6" t="str">
        <f>'base 2019'!C8</f>
        <v>Equipment upgrade/ controls</v>
      </c>
      <c r="B6" t="str">
        <f>'base 2019'!B8</f>
        <v>Retail, hotels and catering</v>
      </c>
      <c r="C6" s="6">
        <f>'base 2019'!AH8</f>
        <v>13.50104821802935</v>
      </c>
      <c r="D6" s="6">
        <f>'base 2019'!AK8</f>
        <v>-0.14347994850247839</v>
      </c>
    </row>
    <row r="7" spans="1:4" x14ac:dyDescent="0.35">
      <c r="A7" t="str">
        <f>'base 2019'!C9</f>
        <v>Elec heat pump</v>
      </c>
      <c r="B7" t="str">
        <f>'base 2019'!B9</f>
        <v>Heating</v>
      </c>
      <c r="C7" s="6">
        <f>'base 2019'!AH9</f>
        <v>16.876310272536688</v>
      </c>
      <c r="D7" s="6">
        <f>'base 2019'!AK9</f>
        <v>-0.13846968723611039</v>
      </c>
    </row>
    <row r="8" spans="1:4" x14ac:dyDescent="0.35">
      <c r="A8" t="str">
        <f>'base 2019'!C10</f>
        <v>PCA</v>
      </c>
      <c r="B8" t="str">
        <f>'base 2019'!B10</f>
        <v>Aircraft auxillary power (when on ground)</v>
      </c>
      <c r="C8" s="6">
        <f>'base 2019'!AH10</f>
        <v>16.876310272536688</v>
      </c>
      <c r="D8" s="6">
        <f>'base 2019'!AK10</f>
        <v>7.6573028079437847E-2</v>
      </c>
    </row>
    <row r="9" spans="1:4" x14ac:dyDescent="0.35">
      <c r="A9" t="str">
        <f>'base 2019'!C11&amp;" - "&amp;'base 2019'!E11</f>
        <v>Electric vehicle - Cars/vans</v>
      </c>
      <c r="B9" t="str">
        <f>'base 2019'!B11</f>
        <v>Ops cars</v>
      </c>
      <c r="C9" s="6">
        <f>'base 2019'!AH11</f>
        <v>1.350104821802935</v>
      </c>
      <c r="D9" s="6">
        <f>'base 2019'!AK11</f>
        <v>0.50420411664041909</v>
      </c>
    </row>
    <row r="10" spans="1:4" x14ac:dyDescent="0.35">
      <c r="A10" t="str">
        <f>'base 2019'!C12&amp;" - "&amp;'base 2019'!E12</f>
        <v>Electric vehicle - Cars/vans</v>
      </c>
      <c r="B10" t="str">
        <f>'base 2019'!B12</f>
        <v>Cars (Ops/Company)</v>
      </c>
      <c r="C10" s="6">
        <f>'base 2019'!AH12</f>
        <v>1.350104821802935</v>
      </c>
      <c r="D10" s="6">
        <f>'base 2019'!AK12</f>
        <v>0.50420411664041909</v>
      </c>
    </row>
    <row r="11" spans="1:4" x14ac:dyDescent="0.35">
      <c r="A11" t="str">
        <f>'base 2019'!C13&amp;" - "&amp;'base 2019'!E13</f>
        <v>Electric vehicle - Heavy</v>
      </c>
      <c r="B11" t="str">
        <f>'base 2019'!B13</f>
        <v>Other 3rd party vehicles (Logistics, maintenance, construction)</v>
      </c>
      <c r="C11" s="6">
        <f>'base 2019'!AH13</f>
        <v>1.4851153039832286</v>
      </c>
      <c r="D11" s="6">
        <f>'base 2019'!AK13</f>
        <v>1.120169129269551</v>
      </c>
    </row>
    <row r="12" spans="1:4" x14ac:dyDescent="0.35">
      <c r="A12" t="str">
        <f>'base 2019'!C14&amp;" - "&amp;'base 2019'!E14</f>
        <v>Electric vehicle - Cars/vans</v>
      </c>
      <c r="B12" t="str">
        <f>'base 2019'!B14</f>
        <v>Crew transport</v>
      </c>
      <c r="C12" s="6">
        <f>'base 2019'!AH14</f>
        <v>0.6750524109014675</v>
      </c>
      <c r="D12" s="6">
        <f>'base 2019'!AK14</f>
        <v>1.1716638879621391</v>
      </c>
    </row>
    <row r="13" spans="1:4" x14ac:dyDescent="0.35">
      <c r="A13" t="str">
        <f>'base 2019'!C15&amp;" - "&amp;'base 2019'!E15</f>
        <v>Electric vehicle - Heavy</v>
      </c>
      <c r="B13" t="str">
        <f>'base 2019'!B15</f>
        <v>Aircraft tugs</v>
      </c>
      <c r="C13" s="6">
        <f>'base 2019'!AH15</f>
        <v>1.9576519916142556</v>
      </c>
      <c r="D13" s="6">
        <f>'base 2019'!AK15</f>
        <v>2.5208657555515366</v>
      </c>
    </row>
    <row r="14" spans="1:4" x14ac:dyDescent="0.35">
      <c r="A14" t="str">
        <f>'base 2019'!C16&amp;" - "&amp;'base 2019'!E16</f>
        <v>Electric vehicle - Cars/vans</v>
      </c>
      <c r="B14" t="str">
        <f>'base 2019'!B16</f>
        <v>Baggage tugs</v>
      </c>
      <c r="C14" s="6">
        <f>'base 2019'!AH16</f>
        <v>2.3626834381551363</v>
      </c>
      <c r="D14" s="6">
        <f>'base 2019'!AK16</f>
        <v>3.6685487435817601</v>
      </c>
    </row>
    <row r="15" spans="1:4" x14ac:dyDescent="0.35">
      <c r="A15" t="str">
        <f>'base 2019'!C17&amp;" - "&amp;'base 2019'!E17</f>
        <v>Electric vehicle - Heavy</v>
      </c>
      <c r="B15" t="str">
        <f>'base 2019'!B17</f>
        <v>Catering trucks</v>
      </c>
      <c r="C15" s="6">
        <f>'base 2019'!AH17</f>
        <v>1.0125786163522013</v>
      </c>
      <c r="D15" s="6">
        <f>'base 2019'!AK17</f>
        <v>5.2644586707873833</v>
      </c>
    </row>
    <row r="16" spans="1:4" x14ac:dyDescent="0.35">
      <c r="A16" t="str">
        <f>'base 2019'!C18&amp;" - "&amp;'base 2019'!E18</f>
        <v>Electric vehicle - Heavy</v>
      </c>
      <c r="B16" t="str">
        <f>'base 2019'!B18</f>
        <v>Aircraft service (bowser, water, cleaning staff, materials/waste)</v>
      </c>
      <c r="C16" s="6">
        <f>'base 2019'!AH18</f>
        <v>1.6876310272536688</v>
      </c>
      <c r="D16" s="6">
        <f>'base 2019'!AK18</f>
        <v>5.2644586707873833</v>
      </c>
    </row>
    <row r="17" spans="1:4" x14ac:dyDescent="0.35">
      <c r="A17" t="str">
        <f>'base 2019'!C19&amp;" - "&amp;'base 2019'!E19</f>
        <v>Electric vehicle - Heavy</v>
      </c>
      <c r="B17" t="str">
        <f>'base 2019'!B19</f>
        <v>Mobile stairs</v>
      </c>
      <c r="C17" s="6">
        <f>'base 2019'!AH19</f>
        <v>0.6750524109014675</v>
      </c>
      <c r="D17" s="6">
        <f>'base 2019'!AK19</f>
        <v>5.2644586707873833</v>
      </c>
    </row>
    <row r="18" spans="1:4" x14ac:dyDescent="0.35">
      <c r="A18" t="str">
        <f>'base 2019'!C20&amp;" - "&amp;'base 2019'!E20</f>
        <v>Electric vehicle - Heavy</v>
      </c>
      <c r="B18" t="str">
        <f>'base 2019'!B20</f>
        <v>Airport de-icing/snow</v>
      </c>
      <c r="C18" s="6">
        <f>'base 2019'!AH20</f>
        <v>1.0800838574423481</v>
      </c>
      <c r="D18" s="6">
        <f>'base 2019'!AK20</f>
        <v>5.2644586707873833</v>
      </c>
    </row>
    <row r="19" spans="1:4" x14ac:dyDescent="0.35">
      <c r="A19" t="str">
        <f>'base 2019'!C21&amp;" - "&amp;'base 2019'!E21</f>
        <v>Electric vehicle - Heavy</v>
      </c>
      <c r="B19" t="str">
        <f>'base 2019'!B21</f>
        <v>Cargo handling</v>
      </c>
      <c r="C19" s="6">
        <f>'base 2019'!AH21</f>
        <v>1.4851153039832286</v>
      </c>
      <c r="D19" s="6">
        <f>'base 2019'!AK21</f>
        <v>5.5908829966703557</v>
      </c>
    </row>
    <row r="20" spans="1:4" x14ac:dyDescent="0.35">
      <c r="A20" t="str">
        <f>'base 2019'!C22&amp;" - "&amp;'base 2019'!E22</f>
        <v>FCEV - Heavy</v>
      </c>
      <c r="B20" t="str">
        <f>'base 2019'!B22</f>
        <v>Cargo handling</v>
      </c>
      <c r="C20" s="6">
        <f>'base 2019'!AH22</f>
        <v>1.350104821802935</v>
      </c>
      <c r="D20" s="6">
        <f>'base 2019'!AK22</f>
        <v>5.7123614063489203</v>
      </c>
    </row>
    <row r="21" spans="1:4" x14ac:dyDescent="0.35">
      <c r="A21" t="str">
        <f>'base 2019'!C23&amp;" - "&amp;'base 2019'!E23</f>
        <v>FCEV - Heavy</v>
      </c>
      <c r="B21" t="str">
        <f>'base 2019'!B23</f>
        <v>Aircraft De-icing</v>
      </c>
      <c r="C21" s="6">
        <f>'base 2019'!AH23</f>
        <v>1.350104821802935</v>
      </c>
      <c r="D21" s="6">
        <f>'base 2019'!AK23</f>
        <v>5.7123614063489203</v>
      </c>
    </row>
    <row r="22" spans="1:4" x14ac:dyDescent="0.35">
      <c r="A22" t="str">
        <f>'base 2019'!C24&amp;" - "&amp;'base 2019'!E24</f>
        <v>Electric vehicle - Cars/vans</v>
      </c>
      <c r="B22" t="str">
        <f>'base 2019'!B24</f>
        <v>Baggage loaders</v>
      </c>
      <c r="C22" s="6">
        <f>'base 2019'!AH24</f>
        <v>2.0251572327044025</v>
      </c>
      <c r="D22" s="6">
        <f>'base 2019'!AK24</f>
        <v>5.8352566532463275</v>
      </c>
    </row>
    <row r="23" spans="1:4" x14ac:dyDescent="0.35">
      <c r="A23" t="str">
        <f>'base 2019'!C25&amp;" - "&amp;'base 2019'!E25</f>
        <v>Electric vehicle - Heavy</v>
      </c>
      <c r="B23" t="str">
        <f>'base 2019'!B25</f>
        <v>Re-fuelling trucks</v>
      </c>
      <c r="C23" s="6">
        <f>'base 2019'!AH25</f>
        <v>1.4176100628930819</v>
      </c>
      <c r="D23" s="6">
        <f>'base 2019'!AK25</f>
        <v>9.2807772763438585</v>
      </c>
    </row>
    <row r="24" spans="1:4" x14ac:dyDescent="0.35">
      <c r="A24" t="str">
        <f>'base 2019'!C26&amp;" - "&amp;'base 2019'!E26</f>
        <v>Electric vehicle - Heavy</v>
      </c>
      <c r="B24" t="str">
        <f>'base 2019'!B26</f>
        <v>Aircraft De-icing</v>
      </c>
      <c r="C24" s="6">
        <f>'base 2019'!AH26</f>
        <v>1.0125786163522013</v>
      </c>
      <c r="D24" s="6">
        <f>'base 2019'!AK26</f>
        <v>9.2807772763438585</v>
      </c>
    </row>
    <row r="25" spans="1:4" x14ac:dyDescent="0.35">
      <c r="A25" t="str">
        <f>'base 2019'!C27&amp;" - "&amp;'base 2019'!E27</f>
        <v>Electric vehicle - Heavy</v>
      </c>
      <c r="B25" t="str">
        <f>'base 2019'!B27</f>
        <v>Buses</v>
      </c>
      <c r="C25" s="6">
        <f>'base 2019'!AH27</f>
        <v>1.350104821802935</v>
      </c>
      <c r="D25" s="6">
        <f>'base 2019'!AK27</f>
        <v>14.872122786040128</v>
      </c>
    </row>
    <row r="26" spans="1:4" x14ac:dyDescent="0.35">
      <c r="A26" t="str">
        <f>'base 2019'!C28&amp;" - "&amp;'base 2019'!E28</f>
        <v>Electric vehicle - Heavy</v>
      </c>
      <c r="B26" t="str">
        <f>'base 2019'!B28</f>
        <v>Fire tenders</v>
      </c>
      <c r="C26" s="6">
        <f>'base 2019'!AH28</f>
        <v>0.87756813417190782</v>
      </c>
      <c r="D26" s="6">
        <f>'base 2019'!AK28</f>
        <v>14.872122786040128</v>
      </c>
    </row>
    <row r="27" spans="1:4" x14ac:dyDescent="0.35">
      <c r="C27" s="186">
        <f>SUM(C2:C26)</f>
        <v>108.21090146750522</v>
      </c>
    </row>
    <row r="28" spans="1:4" x14ac:dyDescent="0.35">
      <c r="C28" s="138"/>
    </row>
    <row r="29" spans="1:4" x14ac:dyDescent="0.35">
      <c r="C29" s="138">
        <f>SUMPRODUCT(C2:C26,D2:D26)</f>
        <v>113.96224004413828</v>
      </c>
    </row>
    <row r="30" spans="1:4" x14ac:dyDescent="0.35">
      <c r="C30" s="138"/>
    </row>
    <row r="31" spans="1:4" x14ac:dyDescent="0.35">
      <c r="C31" s="138"/>
    </row>
    <row r="32" spans="1:4" x14ac:dyDescent="0.35">
      <c r="C32" s="138"/>
    </row>
    <row r="33" spans="3:3" x14ac:dyDescent="0.35">
      <c r="C33" s="138"/>
    </row>
    <row r="34" spans="3:3" x14ac:dyDescent="0.35">
      <c r="C34" s="138"/>
    </row>
  </sheetData>
  <pageMargins left="0.7" right="0.7" top="0.75" bottom="0.75" header="0.3" footer="0.3"/>
  <pageSetup paperSize="9" orientation="portrait" horizont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46A37-B954-43CE-8372-79519BE9788C}">
  <dimension ref="A1:D34"/>
  <sheetViews>
    <sheetView topLeftCell="A5" workbookViewId="0">
      <selection activeCell="B30" sqref="B30"/>
    </sheetView>
  </sheetViews>
  <sheetFormatPr defaultRowHeight="14.5" x14ac:dyDescent="0.35"/>
  <cols>
    <col min="1" max="1" width="25.6328125" bestFit="1" customWidth="1"/>
    <col min="2" max="2" width="18" bestFit="1" customWidth="1"/>
    <col min="3" max="3" width="12.7265625" bestFit="1" customWidth="1"/>
    <col min="4" max="4" width="8.1796875" bestFit="1" customWidth="1"/>
  </cols>
  <sheetData>
    <row r="1" spans="1:4" s="4" customFormat="1" x14ac:dyDescent="0.35">
      <c r="A1" s="4" t="s">
        <v>289</v>
      </c>
      <c r="B1" s="4" t="s">
        <v>288</v>
      </c>
      <c r="C1" s="4" t="s">
        <v>290</v>
      </c>
      <c r="D1" s="4" t="s">
        <v>15</v>
      </c>
    </row>
    <row r="2" spans="1:4" x14ac:dyDescent="0.35">
      <c r="A2" t="str">
        <f>'2040'!C4</f>
        <v>Elec heat pump</v>
      </c>
      <c r="B2" t="str">
        <f>'2040'!B4</f>
        <v>Cooling and ventilation</v>
      </c>
      <c r="C2" s="6">
        <f>'2040'!AH4</f>
        <v>10.206880910688891</v>
      </c>
      <c r="D2" s="6">
        <f>'2040'!AK4</f>
        <v>-0.9699272238427924</v>
      </c>
    </row>
    <row r="3" spans="1:4" x14ac:dyDescent="0.35">
      <c r="A3" t="str">
        <f>'2040'!C5</f>
        <v>Equipment upgrade/ controls</v>
      </c>
      <c r="B3" t="str">
        <f>'2040'!B5</f>
        <v>Baggage/people movement</v>
      </c>
      <c r="C3" s="6">
        <f>'2040'!AH5</f>
        <v>18.712615002929635</v>
      </c>
      <c r="D3" s="6">
        <f>'2040'!AK5</f>
        <v>-0.30485532560870487</v>
      </c>
    </row>
    <row r="4" spans="1:4" x14ac:dyDescent="0.35">
      <c r="A4" t="str">
        <f>'2040'!C6</f>
        <v>Equipment upgrade/ controls</v>
      </c>
      <c r="B4" t="str">
        <f>'2040'!B6</f>
        <v>Lighting, comms, electronics and security</v>
      </c>
      <c r="C4" s="6">
        <f>'2040'!AH6</f>
        <v>10.206880910688891</v>
      </c>
      <c r="D4" s="6">
        <f>'2040'!AK6</f>
        <v>-0.27637731788407677</v>
      </c>
    </row>
    <row r="5" spans="1:4" x14ac:dyDescent="0.35">
      <c r="A5" t="str">
        <f>'2040'!C7</f>
        <v xml:space="preserve">Miscelaneous </v>
      </c>
      <c r="B5" t="str">
        <f>'2040'!B7</f>
        <v xml:space="preserve">Miscelaneous </v>
      </c>
      <c r="C5" s="6">
        <f>'2040'!AH7</f>
        <v>6.8045872737925945</v>
      </c>
      <c r="D5" s="6">
        <f>'2040'!AK7</f>
        <v>-0.27637731788407677</v>
      </c>
    </row>
    <row r="6" spans="1:4" x14ac:dyDescent="0.35">
      <c r="A6" t="str">
        <f>'2040'!C8</f>
        <v>Equipment upgrade/ controls</v>
      </c>
      <c r="B6" t="str">
        <f>'2040'!B8</f>
        <v>Retail, hotels and catering</v>
      </c>
      <c r="C6" s="6">
        <f>'2040'!AH8</f>
        <v>17.011468184481487</v>
      </c>
      <c r="D6" s="6">
        <f>'2040'!AK8</f>
        <v>-0.21942130243482039</v>
      </c>
    </row>
    <row r="7" spans="1:4" x14ac:dyDescent="0.35">
      <c r="A7" t="str">
        <f>'2040'!C9</f>
        <v>Elec heat pump</v>
      </c>
      <c r="B7" t="str">
        <f>'2040'!B9</f>
        <v>Heating</v>
      </c>
      <c r="C7" s="6">
        <f>'2040'!AH9</f>
        <v>21.264335230601858</v>
      </c>
      <c r="D7" s="6">
        <f>'2040'!AK9</f>
        <v>-0.18498657424642811</v>
      </c>
    </row>
    <row r="8" spans="1:4" x14ac:dyDescent="0.35">
      <c r="A8" t="str">
        <f>'2040'!C10</f>
        <v>PCA</v>
      </c>
      <c r="B8" t="str">
        <f>'2040'!B10</f>
        <v>Aircraft auxillary power (when on ground)</v>
      </c>
      <c r="C8" s="6">
        <f>'2040'!AH10</f>
        <v>21.264335230601858</v>
      </c>
      <c r="D8" s="6">
        <f>'2040'!AK10</f>
        <v>-0.1022043313004854</v>
      </c>
    </row>
    <row r="9" spans="1:4" x14ac:dyDescent="0.35">
      <c r="A9" t="str">
        <f>'2040'!C11&amp;" - "&amp;'2040'!E11</f>
        <v>Electric vehicle - Cars/vans</v>
      </c>
      <c r="B9" t="str">
        <f>'2040'!B11</f>
        <v>Ops cars</v>
      </c>
      <c r="C9" s="6">
        <f>'2040'!AH11</f>
        <v>1.7011468184481486</v>
      </c>
      <c r="D9" s="6">
        <f>'2040'!AK11</f>
        <v>0.13453408944685141</v>
      </c>
    </row>
    <row r="10" spans="1:4" x14ac:dyDescent="0.35">
      <c r="A10" t="str">
        <f>'2040'!C12&amp;" - "&amp;'2040'!E12</f>
        <v>Electric vehicle - Cars/vans</v>
      </c>
      <c r="B10" t="str">
        <f>'2040'!B12</f>
        <v>Cars (Ops/Company)</v>
      </c>
      <c r="C10" s="6">
        <f>'2040'!AH12</f>
        <v>1.7011468184481486</v>
      </c>
      <c r="D10" s="6">
        <f>'2040'!AK12</f>
        <v>0.13453408944685141</v>
      </c>
    </row>
    <row r="11" spans="1:4" x14ac:dyDescent="0.35">
      <c r="A11" t="str">
        <f>'2040'!C13&amp;" - "&amp;'2040'!E13</f>
        <v>Electric vehicle - Heavy</v>
      </c>
      <c r="B11" t="str">
        <f>'2040'!B13</f>
        <v>Other 3rd party vehicles (Logistics, maintenance, construction)</v>
      </c>
      <c r="C11" s="6">
        <f>'2040'!AH13</f>
        <v>1.8712615002929636</v>
      </c>
      <c r="D11" s="6">
        <f>'2040'!AK13</f>
        <v>0.50984620391538082</v>
      </c>
    </row>
    <row r="12" spans="1:4" x14ac:dyDescent="0.35">
      <c r="A12" t="str">
        <f>'2040'!C14&amp;" - "&amp;'2040'!E14</f>
        <v>Electric vehicle - Cars/vans</v>
      </c>
      <c r="B12" t="str">
        <f>'2040'!B14</f>
        <v>Crew transport</v>
      </c>
      <c r="C12" s="6">
        <f>'2040'!AH14</f>
        <v>0.85057340922407432</v>
      </c>
      <c r="D12" s="6">
        <f>'2040'!AK14</f>
        <v>0.53500995223988312</v>
      </c>
    </row>
    <row r="13" spans="1:4" x14ac:dyDescent="0.35">
      <c r="A13" t="str">
        <f>'2040'!C15&amp;" - "&amp;'2040'!E15</f>
        <v>Electric vehicle - Heavy</v>
      </c>
      <c r="B13" t="str">
        <f>'2040'!B15</f>
        <v>Aircraft tugs</v>
      </c>
      <c r="C13" s="6">
        <f>'2040'!AH15</f>
        <v>2.4666628867498153</v>
      </c>
      <c r="D13" s="6">
        <f>'2040'!AK15</f>
        <v>1.350264179684572</v>
      </c>
    </row>
    <row r="14" spans="1:4" x14ac:dyDescent="0.35">
      <c r="A14" t="str">
        <f>'2040'!C16&amp;" - "&amp;'2040'!E16</f>
        <v>Electric vehicle - Cars/vans</v>
      </c>
      <c r="B14" t="str">
        <f>'2040'!B16</f>
        <v>Baggage tugs</v>
      </c>
      <c r="C14" s="6">
        <f>'2040'!AH16</f>
        <v>2.9770069322842603</v>
      </c>
      <c r="D14" s="6">
        <f>'2040'!AK16</f>
        <v>2.0331408656116561</v>
      </c>
    </row>
    <row r="15" spans="1:4" x14ac:dyDescent="0.35">
      <c r="A15" t="str">
        <f>'2040'!C17&amp;" - "&amp;'2040'!E17</f>
        <v>Electric vehicle - Heavy</v>
      </c>
      <c r="B15" t="str">
        <f>'2040'!B17</f>
        <v>Catering trucks</v>
      </c>
      <c r="C15" s="6">
        <f>'2040'!AH17</f>
        <v>1.2758601138361114</v>
      </c>
      <c r="D15" s="6">
        <f>'2040'!AK17</f>
        <v>2.9964199288260804</v>
      </c>
    </row>
    <row r="16" spans="1:4" x14ac:dyDescent="0.35">
      <c r="A16" t="str">
        <f>'2040'!C18&amp;" - "&amp;'2040'!E18</f>
        <v>Electric vehicle - Heavy</v>
      </c>
      <c r="B16" t="str">
        <f>'2040'!B18</f>
        <v>Aircraft service (bowser, water, cleaning staff, materials/waste)</v>
      </c>
      <c r="C16" s="6">
        <f>'2040'!AH18</f>
        <v>2.1264335230601858</v>
      </c>
      <c r="D16" s="6">
        <f>'2040'!AK18</f>
        <v>2.9964199288260804</v>
      </c>
    </row>
    <row r="17" spans="1:4" x14ac:dyDescent="0.35">
      <c r="A17" t="str">
        <f>'2040'!C19&amp;" - "&amp;'2040'!E19</f>
        <v>Electric vehicle - Heavy</v>
      </c>
      <c r="B17" t="str">
        <f>'2040'!B19</f>
        <v>Mobile stairs</v>
      </c>
      <c r="C17" s="6">
        <f>'2040'!AH19</f>
        <v>0.85057340922407432</v>
      </c>
      <c r="D17" s="6">
        <f>'2040'!AK19</f>
        <v>2.9964199288260804</v>
      </c>
    </row>
    <row r="18" spans="1:4" x14ac:dyDescent="0.35">
      <c r="A18" t="str">
        <f>'2040'!C20&amp;" - "&amp;'2040'!E20</f>
        <v>Electric vehicle - Heavy</v>
      </c>
      <c r="B18" t="str">
        <f>'2040'!B20</f>
        <v>Airport de-icing/snow</v>
      </c>
      <c r="C18" s="6">
        <f>'2040'!AH20</f>
        <v>1.360917454758519</v>
      </c>
      <c r="D18" s="6">
        <f>'2040'!AK20</f>
        <v>2.9964199288260804</v>
      </c>
    </row>
    <row r="19" spans="1:4" x14ac:dyDescent="0.35">
      <c r="A19" t="str">
        <f>'2040'!C21&amp;" - "&amp;'2040'!E21</f>
        <v>Electric vehicle - Heavy</v>
      </c>
      <c r="B19" t="str">
        <f>'2040'!B21</f>
        <v>Cargo handling</v>
      </c>
      <c r="C19" s="6">
        <f>'2040'!AH21</f>
        <v>1.8712615002929636</v>
      </c>
      <c r="D19" s="6">
        <f>'2040'!AK21</f>
        <v>3.1922745243558639</v>
      </c>
    </row>
    <row r="20" spans="1:4" x14ac:dyDescent="0.35">
      <c r="A20" t="str">
        <f>'2040'!C22&amp;" - "&amp;'2040'!E22</f>
        <v>FCEV - Heavy</v>
      </c>
      <c r="B20" t="str">
        <f>'2040'!B22</f>
        <v>Cargo handling</v>
      </c>
      <c r="C20" s="6">
        <f>'2040'!AH22</f>
        <v>1.7011468184481486</v>
      </c>
      <c r="D20" s="6">
        <f>'2040'!AK22</f>
        <v>3.2868199739736359</v>
      </c>
    </row>
    <row r="21" spans="1:4" x14ac:dyDescent="0.35">
      <c r="A21" t="str">
        <f>'2040'!C23&amp;" - "&amp;'2040'!E23</f>
        <v>FCEV - Heavy</v>
      </c>
      <c r="B21" t="str">
        <f>'2040'!B23</f>
        <v>Aircraft De-icing</v>
      </c>
      <c r="C21" s="6">
        <f>'2040'!AH23</f>
        <v>1.7011468184481486</v>
      </c>
      <c r="D21" s="6">
        <f>'2040'!AK23</f>
        <v>3.2868199739736359</v>
      </c>
    </row>
    <row r="22" spans="1:4" x14ac:dyDescent="0.35">
      <c r="A22" t="str">
        <f>'2040'!C24&amp;" - "&amp;'2040'!E24</f>
        <v>Electric vehicle - Cars/vans</v>
      </c>
      <c r="B22" t="str">
        <f>'2040'!B24</f>
        <v>Baggage loaders</v>
      </c>
      <c r="C22" s="6">
        <f>'2040'!AH24</f>
        <v>2.5517202276722228</v>
      </c>
      <c r="D22" s="6">
        <f>'2040'!AK24</f>
        <v>3.3331656114103958</v>
      </c>
    </row>
    <row r="23" spans="1:4" x14ac:dyDescent="0.35">
      <c r="A23" t="str">
        <f>'2040'!C25&amp;" - "&amp;'2040'!E25</f>
        <v>Electric vehicle - Heavy</v>
      </c>
      <c r="B23" t="str">
        <f>'2040'!B25</f>
        <v>Re-fuelling trucks</v>
      </c>
      <c r="C23" s="6">
        <f>'2040'!AH25</f>
        <v>1.7862041593705562</v>
      </c>
      <c r="D23" s="6">
        <f>'2040'!AK25</f>
        <v>5.4062110921599649</v>
      </c>
    </row>
    <row r="24" spans="1:4" x14ac:dyDescent="0.35">
      <c r="A24" t="str">
        <f>'2040'!C26&amp;" - "&amp;'2040'!E26</f>
        <v>Electric vehicle - Heavy</v>
      </c>
      <c r="B24" t="str">
        <f>'2040'!B26</f>
        <v>Aircraft De-icing</v>
      </c>
      <c r="C24" s="6">
        <f>'2040'!AH26</f>
        <v>1.2758601138361114</v>
      </c>
      <c r="D24" s="6">
        <f>'2040'!AK26</f>
        <v>5.4062110921599649</v>
      </c>
    </row>
    <row r="25" spans="1:4" x14ac:dyDescent="0.35">
      <c r="A25" t="str">
        <f>'2040'!C27&amp;" - "&amp;'2040'!E27</f>
        <v>Electric vehicle - Heavy</v>
      </c>
      <c r="B25" t="str">
        <f>'2040'!B27</f>
        <v>Buses</v>
      </c>
      <c r="C25" s="6">
        <f>'2040'!AH27</f>
        <v>1.7011468184481486</v>
      </c>
      <c r="D25" s="6">
        <f>'2040'!AK27</f>
        <v>8.7610183979777254</v>
      </c>
    </row>
    <row r="26" spans="1:4" x14ac:dyDescent="0.35">
      <c r="A26" t="str">
        <f>'2040'!C28&amp;" - "&amp;'2040'!E28</f>
        <v>Electric vehicle - Heavy</v>
      </c>
      <c r="B26" t="str">
        <f>'2040'!B28</f>
        <v>Fire tenders</v>
      </c>
      <c r="C26" s="6">
        <f>'2040'!AH28</f>
        <v>1.1057454319912967</v>
      </c>
      <c r="D26" s="6">
        <f>'2040'!AK28</f>
        <v>8.7610183979777254</v>
      </c>
    </row>
    <row r="27" spans="1:4" x14ac:dyDescent="0.35">
      <c r="C27" s="186">
        <f>SUM(C2:C26)</f>
        <v>136.34691749861909</v>
      </c>
    </row>
    <row r="28" spans="1:4" x14ac:dyDescent="0.35">
      <c r="C28" s="138"/>
    </row>
    <row r="29" spans="1:4" x14ac:dyDescent="0.35">
      <c r="B29" t="s">
        <v>291</v>
      </c>
      <c r="C29" s="138">
        <f>SUMPRODUCT(C2:C26,D2:D26)</f>
        <v>64.732677579054965</v>
      </c>
    </row>
    <row r="30" spans="1:4" x14ac:dyDescent="0.35">
      <c r="C30" s="138"/>
    </row>
    <row r="31" spans="1:4" x14ac:dyDescent="0.35">
      <c r="C31" s="138"/>
    </row>
    <row r="32" spans="1:4" x14ac:dyDescent="0.35">
      <c r="C32" s="138"/>
    </row>
    <row r="33" spans="3:3" x14ac:dyDescent="0.35">
      <c r="C33" s="138"/>
    </row>
    <row r="34" spans="3:3" x14ac:dyDescent="0.35">
      <c r="C34" s="138"/>
    </row>
  </sheetData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21</vt:i4>
      </vt:variant>
    </vt:vector>
  </HeadingPairs>
  <TitlesOfParts>
    <vt:vector size="35" baseType="lpstr">
      <vt:lpstr>Control panel</vt:lpstr>
      <vt:lpstr>vehicle E calcs</vt:lpstr>
      <vt:lpstr>optimisation model</vt:lpstr>
      <vt:lpstr>simple cost calcs old</vt:lpstr>
      <vt:lpstr>time-factors</vt:lpstr>
      <vt:lpstr>base 2019</vt:lpstr>
      <vt:lpstr>2025</vt:lpstr>
      <vt:lpstr>2030</vt:lpstr>
      <vt:lpstr>2035</vt:lpstr>
      <vt:lpstr>2040</vt:lpstr>
      <vt:lpstr>Summary</vt:lpstr>
      <vt:lpstr>Summary_updatedformatting</vt:lpstr>
      <vt:lpstr>csv_output_2019</vt:lpstr>
      <vt:lpstr>csv_output_2040</vt:lpstr>
      <vt:lpstr>General2019</vt:lpstr>
      <vt:lpstr>General2025</vt:lpstr>
      <vt:lpstr>General2030</vt:lpstr>
      <vt:lpstr>General2035</vt:lpstr>
      <vt:lpstr>General2040</vt:lpstr>
      <vt:lpstr>Large2019</vt:lpstr>
      <vt:lpstr>Large2025</vt:lpstr>
      <vt:lpstr>Large2030</vt:lpstr>
      <vt:lpstr>Large2035</vt:lpstr>
      <vt:lpstr>Large2040</vt:lpstr>
      <vt:lpstr>Medium2019</vt:lpstr>
      <vt:lpstr>Medium2025</vt:lpstr>
      <vt:lpstr>Medium2030</vt:lpstr>
      <vt:lpstr>Medium2035</vt:lpstr>
      <vt:lpstr>Medium2040</vt:lpstr>
      <vt:lpstr>Small2019</vt:lpstr>
      <vt:lpstr>Small2025</vt:lpstr>
      <vt:lpstr>Small2030</vt:lpstr>
      <vt:lpstr>Small2035</vt:lpstr>
      <vt:lpstr>Small2040</vt:lpstr>
      <vt:lpstr>WBMIN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Doyle</dc:creator>
  <cp:lastModifiedBy>Guy Doyle</cp:lastModifiedBy>
  <cp:lastPrinted>2023-05-04T08:06:38Z</cp:lastPrinted>
  <dcterms:created xsi:type="dcterms:W3CDTF">2023-03-09T15:54:22Z</dcterms:created>
  <dcterms:modified xsi:type="dcterms:W3CDTF">2023-08-15T14:09:03Z</dcterms:modified>
</cp:coreProperties>
</file>